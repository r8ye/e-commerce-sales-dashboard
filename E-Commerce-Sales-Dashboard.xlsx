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xcel Dashboards\"/>
    </mc:Choice>
  </mc:AlternateContent>
  <xr:revisionPtr revIDLastSave="0" documentId="8_{5343B593-0CD0-4E87-A490-4B2AF3510C91}" xr6:coauthVersionLast="47" xr6:coauthVersionMax="47" xr10:uidLastSave="{00000000-0000-0000-0000-000000000000}"/>
  <bookViews>
    <workbookView xWindow="-120" yWindow="-120" windowWidth="29040" windowHeight="15840" activeTab="2" xr2:uid="{DCD4FD16-1AAA-43D1-BFED-BA22E626BE51}"/>
  </bookViews>
  <sheets>
    <sheet name="E-Commerce-Orders" sheetId="1" r:id="rId1"/>
    <sheet name="Worksheet" sheetId="2" r:id="rId2"/>
    <sheet name="Pivot Table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J990" i="2"/>
  <c r="L990" i="2" s="1"/>
  <c r="J980" i="2"/>
  <c r="L980" i="2" s="1"/>
  <c r="J976" i="2"/>
  <c r="L976" i="2" s="1"/>
  <c r="J970" i="2"/>
  <c r="L970" i="2" s="1"/>
  <c r="J969" i="2"/>
  <c r="L969" i="2" s="1"/>
  <c r="J967" i="2"/>
  <c r="L967" i="2" s="1"/>
  <c r="J963" i="2"/>
  <c r="L963" i="2" s="1"/>
  <c r="J957" i="2"/>
  <c r="L957" i="2" s="1"/>
  <c r="J956" i="2"/>
  <c r="L956" i="2" s="1"/>
  <c r="J953" i="2"/>
  <c r="L953" i="2" s="1"/>
  <c r="J950" i="2"/>
  <c r="L950" i="2" s="1"/>
  <c r="J939" i="2"/>
  <c r="L939" i="2" s="1"/>
  <c r="J926" i="2"/>
  <c r="L926" i="2" s="1"/>
  <c r="J920" i="2"/>
  <c r="L920" i="2" s="1"/>
  <c r="J913" i="2"/>
  <c r="L913" i="2" s="1"/>
  <c r="J903" i="2"/>
  <c r="L903" i="2" s="1"/>
  <c r="J892" i="2"/>
  <c r="L892" i="2" s="1"/>
  <c r="J890" i="2"/>
  <c r="L890" i="2" s="1"/>
  <c r="J886" i="2"/>
  <c r="L886" i="2" s="1"/>
  <c r="J869" i="2"/>
  <c r="L869" i="2" s="1"/>
  <c r="J867" i="2"/>
  <c r="L867" i="2" s="1"/>
  <c r="J866" i="2"/>
  <c r="L866" i="2" s="1"/>
  <c r="J865" i="2"/>
  <c r="L865" i="2" s="1"/>
  <c r="J863" i="2"/>
  <c r="L863" i="2" s="1"/>
  <c r="J853" i="2"/>
  <c r="L853" i="2" s="1"/>
  <c r="J838" i="2"/>
  <c r="L838" i="2" s="1"/>
  <c r="J836" i="2"/>
  <c r="L836" i="2" s="1"/>
  <c r="J828" i="2"/>
  <c r="L828" i="2" s="1"/>
  <c r="J805" i="2"/>
  <c r="L805" i="2" s="1"/>
  <c r="J801" i="2"/>
  <c r="L801" i="2" s="1"/>
  <c r="J797" i="2"/>
  <c r="L797" i="2" s="1"/>
  <c r="J794" i="2"/>
  <c r="L794" i="2" s="1"/>
  <c r="J792" i="2"/>
  <c r="L792" i="2" s="1"/>
  <c r="J779" i="2"/>
  <c r="L779" i="2" s="1"/>
  <c r="J780" i="2"/>
  <c r="L780" i="2" s="1"/>
  <c r="J774" i="2"/>
  <c r="L774" i="2" s="1"/>
  <c r="J757" i="2"/>
  <c r="L757" i="2" s="1"/>
  <c r="J758" i="2"/>
  <c r="L758" i="2" s="1"/>
  <c r="J755" i="2"/>
  <c r="L755" i="2" s="1"/>
  <c r="J735" i="2"/>
  <c r="L735" i="2" s="1"/>
  <c r="J730" i="2"/>
  <c r="L730" i="2" s="1"/>
  <c r="J726" i="2"/>
  <c r="L726" i="2" s="1"/>
  <c r="J724" i="2"/>
  <c r="L724" i="2" s="1"/>
  <c r="J722" i="2"/>
  <c r="L722" i="2" s="1"/>
  <c r="J720" i="2"/>
  <c r="L720" i="2" s="1"/>
  <c r="J716" i="2"/>
  <c r="L716" i="2" s="1"/>
  <c r="J711" i="2"/>
  <c r="L711" i="2" s="1"/>
  <c r="J705" i="2"/>
  <c r="L705" i="2" s="1"/>
  <c r="J689" i="2"/>
  <c r="L689" i="2" s="1"/>
  <c r="J687" i="2"/>
  <c r="L687" i="2" s="1"/>
  <c r="J678" i="2"/>
  <c r="L678" i="2" s="1"/>
  <c r="J670" i="2"/>
  <c r="L670" i="2" s="1"/>
  <c r="J667" i="2"/>
  <c r="L667" i="2" s="1"/>
  <c r="J666" i="2"/>
  <c r="L666" i="2" s="1"/>
  <c r="J654" i="2"/>
  <c r="L654" i="2" s="1"/>
  <c r="J653" i="2"/>
  <c r="L653" i="2" s="1"/>
  <c r="J652" i="2"/>
  <c r="L652" i="2" s="1"/>
  <c r="J649" i="2"/>
  <c r="L649" i="2" s="1"/>
  <c r="J648" i="2"/>
  <c r="L648" i="2" s="1"/>
  <c r="J643" i="2"/>
  <c r="L643" i="2" s="1"/>
  <c r="J642" i="2"/>
  <c r="L642" i="2" s="1"/>
  <c r="J635" i="2"/>
  <c r="L635" i="2" s="1"/>
  <c r="J625" i="2"/>
  <c r="L625" i="2" s="1"/>
  <c r="J620" i="2"/>
  <c r="L620" i="2" s="1"/>
  <c r="J616" i="2"/>
  <c r="L616" i="2" s="1"/>
  <c r="J615" i="2"/>
  <c r="L615" i="2" s="1"/>
  <c r="J613" i="2"/>
  <c r="L613" i="2" s="1"/>
  <c r="J610" i="2"/>
  <c r="L610" i="2" s="1"/>
  <c r="J607" i="2"/>
  <c r="L607" i="2" s="1"/>
  <c r="J605" i="2"/>
  <c r="L605" i="2" s="1"/>
  <c r="J604" i="2"/>
  <c r="L604" i="2" s="1"/>
  <c r="J603" i="2"/>
  <c r="L603" i="2" s="1"/>
  <c r="J599" i="2"/>
  <c r="L599" i="2" s="1"/>
  <c r="J591" i="2"/>
  <c r="L591" i="2" s="1"/>
  <c r="J592" i="2"/>
  <c r="L592" i="2" s="1"/>
  <c r="J590" i="2"/>
  <c r="L590" i="2" s="1"/>
  <c r="J582" i="2"/>
  <c r="L582" i="2" s="1"/>
  <c r="J578" i="2"/>
  <c r="L578" i="2" s="1"/>
  <c r="J576" i="2"/>
  <c r="L576" i="2" s="1"/>
  <c r="J571" i="2"/>
  <c r="L571" i="2" s="1"/>
  <c r="J569" i="2"/>
  <c r="L569" i="2" s="1"/>
  <c r="J568" i="2"/>
  <c r="L568" i="2" s="1"/>
  <c r="J565" i="2"/>
  <c r="L565" i="2" s="1"/>
  <c r="J566" i="2"/>
  <c r="L566" i="2" s="1"/>
  <c r="J552" i="2"/>
  <c r="L552" i="2" s="1"/>
  <c r="J549" i="2"/>
  <c r="L549" i="2" s="1"/>
  <c r="J545" i="2"/>
  <c r="L545" i="2" s="1"/>
  <c r="J543" i="2"/>
  <c r="L543" i="2" s="1"/>
  <c r="J542" i="2"/>
  <c r="L542" i="2" s="1"/>
  <c r="J538" i="2"/>
  <c r="L538" i="2" s="1"/>
  <c r="J536" i="2"/>
  <c r="L536" i="2" s="1"/>
  <c r="J535" i="2"/>
  <c r="L535" i="2" s="1"/>
  <c r="J533" i="2"/>
  <c r="L533" i="2" s="1"/>
  <c r="J531" i="2"/>
  <c r="L531" i="2" s="1"/>
  <c r="J529" i="2"/>
  <c r="L529" i="2" s="1"/>
  <c r="J528" i="2"/>
  <c r="L528" i="2" s="1"/>
  <c r="J523" i="2"/>
  <c r="L523" i="2" s="1"/>
  <c r="J519" i="2"/>
  <c r="L519" i="2" s="1"/>
  <c r="J515" i="2"/>
  <c r="L515" i="2" s="1"/>
  <c r="J514" i="2"/>
  <c r="L514" i="2" s="1"/>
  <c r="J506" i="2"/>
  <c r="L506" i="2" s="1"/>
  <c r="J494" i="2"/>
  <c r="L494" i="2" s="1"/>
  <c r="J492" i="2"/>
  <c r="L492" i="2" s="1"/>
  <c r="J486" i="2"/>
  <c r="L486" i="2" s="1"/>
  <c r="J481" i="2"/>
  <c r="L481" i="2" s="1"/>
  <c r="J480" i="2"/>
  <c r="L480" i="2" s="1"/>
  <c r="J474" i="2"/>
  <c r="L474" i="2" s="1"/>
  <c r="J475" i="2"/>
  <c r="L475" i="2" s="1"/>
  <c r="J473" i="2"/>
  <c r="L473" i="2" s="1"/>
  <c r="J469" i="2"/>
  <c r="L469" i="2" s="1"/>
  <c r="J466" i="2"/>
  <c r="L466" i="2" s="1"/>
  <c r="J464" i="2"/>
  <c r="L464" i="2" s="1"/>
  <c r="J461" i="2"/>
  <c r="L461" i="2" s="1"/>
  <c r="J460" i="2"/>
  <c r="L460" i="2" s="1"/>
  <c r="J458" i="2"/>
  <c r="L458" i="2" s="1"/>
  <c r="J453" i="2"/>
  <c r="L453" i="2" s="1"/>
  <c r="J450" i="2"/>
  <c r="L450" i="2" s="1"/>
  <c r="J447" i="2"/>
  <c r="L447" i="2" s="1"/>
  <c r="J446" i="2"/>
  <c r="L446" i="2" s="1"/>
  <c r="J442" i="2"/>
  <c r="L442" i="2" s="1"/>
  <c r="J438" i="2"/>
  <c r="L438" i="2" s="1"/>
  <c r="J433" i="2"/>
  <c r="L433" i="2" s="1"/>
  <c r="J429" i="2"/>
  <c r="L429" i="2" s="1"/>
  <c r="J426" i="2"/>
  <c r="L426" i="2" s="1"/>
  <c r="J418" i="2"/>
  <c r="L418" i="2" s="1"/>
  <c r="J414" i="2"/>
  <c r="L414" i="2" s="1"/>
  <c r="J405" i="2"/>
  <c r="L405" i="2" s="1"/>
  <c r="J404" i="2"/>
  <c r="L404" i="2" s="1"/>
  <c r="J403" i="2"/>
  <c r="L403" i="2" s="1"/>
  <c r="J400" i="2"/>
  <c r="L400" i="2" s="1"/>
  <c r="J395" i="2"/>
  <c r="L395" i="2" s="1"/>
  <c r="J390" i="2"/>
  <c r="L390" i="2" s="1"/>
  <c r="J389" i="2"/>
  <c r="L389" i="2" s="1"/>
  <c r="J385" i="2"/>
  <c r="L385" i="2" s="1"/>
  <c r="J378" i="2"/>
  <c r="L378" i="2" s="1"/>
  <c r="J371" i="2"/>
  <c r="L371" i="2" s="1"/>
  <c r="J362" i="2"/>
  <c r="L362" i="2" s="1"/>
  <c r="J361" i="2"/>
  <c r="L361" i="2" s="1"/>
  <c r="J352" i="2"/>
  <c r="L352" i="2" s="1"/>
  <c r="J350" i="2"/>
  <c r="L350" i="2" s="1"/>
  <c r="J348" i="2"/>
  <c r="L348" i="2" s="1"/>
  <c r="J344" i="2"/>
  <c r="L344" i="2" s="1"/>
  <c r="J340" i="2"/>
  <c r="L340" i="2" s="1"/>
  <c r="J339" i="2"/>
  <c r="L339" i="2" s="1"/>
  <c r="J338" i="2"/>
  <c r="L338" i="2" s="1"/>
  <c r="J334" i="2"/>
  <c r="L334" i="2" s="1"/>
  <c r="J335" i="2"/>
  <c r="L335" i="2" s="1"/>
  <c r="J333" i="2"/>
  <c r="L333" i="2" s="1"/>
  <c r="J328" i="2"/>
  <c r="L328" i="2" s="1"/>
  <c r="J325" i="2"/>
  <c r="L325" i="2" s="1"/>
  <c r="J321" i="2"/>
  <c r="L321" i="2" s="1"/>
  <c r="J320" i="2"/>
  <c r="L320" i="2" s="1"/>
  <c r="J318" i="2"/>
  <c r="L318" i="2" s="1"/>
  <c r="J307" i="2"/>
  <c r="L307" i="2" s="1"/>
  <c r="J297" i="2"/>
  <c r="L297" i="2" s="1"/>
  <c r="J292" i="2"/>
  <c r="L292" i="2" s="1"/>
  <c r="J290" i="2"/>
  <c r="L290" i="2" s="1"/>
  <c r="J289" i="2"/>
  <c r="L289" i="2" s="1"/>
  <c r="J280" i="2"/>
  <c r="L280" i="2" s="1"/>
  <c r="J276" i="2"/>
  <c r="L276" i="2" s="1"/>
  <c r="J268" i="2"/>
  <c r="L268" i="2" s="1"/>
  <c r="J265" i="2"/>
  <c r="L265" i="2" s="1"/>
  <c r="J264" i="2"/>
  <c r="L264" i="2" s="1"/>
  <c r="J260" i="2"/>
  <c r="L260" i="2" s="1"/>
  <c r="J255" i="2"/>
  <c r="L255" i="2" s="1"/>
  <c r="J251" i="2"/>
  <c r="L251" i="2" s="1"/>
  <c r="J249" i="2"/>
  <c r="L249" i="2" s="1"/>
  <c r="J245" i="2"/>
  <c r="L245" i="2" s="1"/>
  <c r="J235" i="2"/>
  <c r="L235" i="2" s="1"/>
  <c r="J232" i="2"/>
  <c r="L232" i="2" s="1"/>
  <c r="J230" i="2"/>
  <c r="L230" i="2" s="1"/>
  <c r="J229" i="2"/>
  <c r="L229" i="2" s="1"/>
  <c r="J227" i="2"/>
  <c r="L227" i="2" s="1"/>
  <c r="J226" i="2"/>
  <c r="L226" i="2" s="1"/>
  <c r="J221" i="2"/>
  <c r="L221" i="2" s="1"/>
  <c r="J220" i="2"/>
  <c r="L220" i="2" s="1"/>
  <c r="J218" i="2"/>
  <c r="L218" i="2" s="1"/>
  <c r="J216" i="2"/>
  <c r="L216" i="2" s="1"/>
  <c r="J210" i="2"/>
  <c r="L210" i="2" s="1"/>
  <c r="J208" i="2"/>
  <c r="L208" i="2" s="1"/>
  <c r="J205" i="2"/>
  <c r="L205" i="2" s="1"/>
  <c r="J204" i="2"/>
  <c r="L204" i="2" s="1"/>
  <c r="J200" i="2"/>
  <c r="L200" i="2" s="1"/>
  <c r="J196" i="2"/>
  <c r="L196" i="2" s="1"/>
  <c r="J194" i="2"/>
  <c r="L194" i="2" s="1"/>
  <c r="J182" i="2"/>
  <c r="L182" i="2" s="1"/>
  <c r="J180" i="2"/>
  <c r="L180" i="2" s="1"/>
  <c r="J178" i="2"/>
  <c r="L178" i="2" s="1"/>
  <c r="J175" i="2"/>
  <c r="L175" i="2" s="1"/>
  <c r="J170" i="2"/>
  <c r="L170" i="2" s="1"/>
  <c r="J165" i="2"/>
  <c r="L165" i="2" s="1"/>
  <c r="J164" i="2"/>
  <c r="L164" i="2" s="1"/>
  <c r="J162" i="2"/>
  <c r="L162" i="2" s="1"/>
  <c r="J161" i="2"/>
  <c r="L161" i="2" s="1"/>
  <c r="J159" i="2"/>
  <c r="L159" i="2" s="1"/>
  <c r="J158" i="2"/>
  <c r="L158" i="2" s="1"/>
  <c r="J147" i="2"/>
  <c r="L147" i="2" s="1"/>
  <c r="J144" i="2"/>
  <c r="L144" i="2" s="1"/>
  <c r="J140" i="2"/>
  <c r="L140" i="2" s="1"/>
  <c r="J136" i="2"/>
  <c r="L136" i="2" s="1"/>
  <c r="J132" i="2"/>
  <c r="L132" i="2" s="1"/>
  <c r="J128" i="2"/>
  <c r="L128" i="2" s="1"/>
  <c r="J127" i="2"/>
  <c r="L127" i="2" s="1"/>
  <c r="J124" i="2"/>
  <c r="L124" i="2" s="1"/>
  <c r="J123" i="2"/>
  <c r="L123" i="2" s="1"/>
  <c r="J118" i="2"/>
  <c r="L118" i="2" s="1"/>
  <c r="J116" i="2"/>
  <c r="L116" i="2" s="1"/>
  <c r="J117" i="2"/>
  <c r="L117" i="2" s="1"/>
  <c r="J113" i="2"/>
  <c r="L113" i="2" s="1"/>
  <c r="J111" i="2"/>
  <c r="L111" i="2" s="1"/>
  <c r="J103" i="2"/>
  <c r="L103" i="2" s="1"/>
  <c r="J99" i="2"/>
  <c r="L99" i="2" s="1"/>
  <c r="J81" i="2"/>
  <c r="L81" i="2" s="1"/>
  <c r="J75" i="2"/>
  <c r="L75" i="2" s="1"/>
  <c r="J73" i="2"/>
  <c r="L73" i="2" s="1"/>
  <c r="J72" i="2"/>
  <c r="L72" i="2" s="1"/>
  <c r="J68" i="2"/>
  <c r="L68" i="2" s="1"/>
  <c r="J66" i="2"/>
  <c r="L66" i="2" s="1"/>
  <c r="J64" i="2"/>
  <c r="L64" i="2" s="1"/>
  <c r="J62" i="2"/>
  <c r="L62" i="2" s="1"/>
  <c r="J61" i="2"/>
  <c r="L61" i="2" s="1"/>
  <c r="J59" i="2"/>
  <c r="L59" i="2" s="1"/>
  <c r="J52" i="2"/>
  <c r="L52" i="2" s="1"/>
  <c r="J51" i="2"/>
  <c r="L51" i="2" s="1"/>
  <c r="J45" i="2"/>
  <c r="L45" i="2" s="1"/>
  <c r="J44" i="2"/>
  <c r="L44" i="2" s="1"/>
  <c r="J38" i="2"/>
  <c r="L38" i="2" s="1"/>
  <c r="J36" i="2"/>
  <c r="L36" i="2" s="1"/>
  <c r="J33" i="2"/>
  <c r="L33" i="2" s="1"/>
  <c r="J31" i="2"/>
  <c r="L31" i="2" s="1"/>
  <c r="J29" i="2"/>
  <c r="L29" i="2" s="1"/>
  <c r="J23" i="2"/>
  <c r="L23" i="2" s="1"/>
  <c r="J914" i="2"/>
  <c r="L914" i="2" s="1"/>
  <c r="J912" i="2"/>
  <c r="L912" i="2" s="1"/>
  <c r="J909" i="2"/>
  <c r="L909" i="2" s="1"/>
  <c r="J898" i="2"/>
  <c r="L898" i="2" s="1"/>
  <c r="J889" i="2"/>
  <c r="L889" i="2" s="1"/>
  <c r="J882" i="2"/>
  <c r="L882" i="2" s="1"/>
  <c r="J874" i="2"/>
  <c r="L874" i="2" s="1"/>
  <c r="J851" i="2"/>
  <c r="L851" i="2" s="1"/>
  <c r="J830" i="2"/>
  <c r="L830" i="2" s="1"/>
  <c r="J823" i="2"/>
  <c r="L823" i="2" s="1"/>
  <c r="J804" i="2"/>
  <c r="L804" i="2" s="1"/>
  <c r="J796" i="2"/>
  <c r="L796" i="2" s="1"/>
  <c r="J790" i="2"/>
  <c r="L790" i="2" s="1"/>
  <c r="J784" i="2"/>
  <c r="L784" i="2" s="1"/>
  <c r="J773" i="2"/>
  <c r="L773" i="2" s="1"/>
  <c r="J760" i="2"/>
  <c r="L760" i="2" s="1"/>
  <c r="J752" i="2"/>
  <c r="L752" i="2" s="1"/>
  <c r="J740" i="2"/>
  <c r="L740" i="2" s="1"/>
  <c r="J738" i="2"/>
  <c r="L738" i="2" s="1"/>
  <c r="J729" i="2"/>
  <c r="L729" i="2" s="1"/>
  <c r="J701" i="2"/>
  <c r="L701" i="2" s="1"/>
  <c r="J690" i="2"/>
  <c r="L690" i="2" s="1"/>
  <c r="J686" i="2"/>
  <c r="L686" i="2" s="1"/>
  <c r="J683" i="2"/>
  <c r="L683" i="2" s="1"/>
  <c r="J675" i="2"/>
  <c r="L675" i="2" s="1"/>
  <c r="J673" i="2"/>
  <c r="L673" i="2" s="1"/>
  <c r="J663" i="2"/>
  <c r="L663" i="2" s="1"/>
  <c r="J660" i="2"/>
  <c r="L660" i="2" s="1"/>
  <c r="J659" i="2"/>
  <c r="L659" i="2" s="1"/>
  <c r="J647" i="2"/>
  <c r="L647" i="2" s="1"/>
  <c r="J639" i="2"/>
  <c r="L639" i="2" s="1"/>
  <c r="J634" i="2"/>
  <c r="L634" i="2" s="1"/>
  <c r="J628" i="2"/>
  <c r="L628" i="2" s="1"/>
  <c r="J622" i="2"/>
  <c r="L622" i="2" s="1"/>
  <c r="J619" i="2"/>
  <c r="L619" i="2" s="1"/>
  <c r="J617" i="2"/>
  <c r="L617" i="2" s="1"/>
  <c r="J614" i="2"/>
  <c r="L614" i="2" s="1"/>
  <c r="J612" i="2"/>
  <c r="L612" i="2" s="1"/>
  <c r="J594" i="2"/>
  <c r="L594" i="2" s="1"/>
  <c r="J588" i="2"/>
  <c r="L588" i="2" s="1"/>
  <c r="J583" i="2"/>
  <c r="L583" i="2" s="1"/>
  <c r="J559" i="2"/>
  <c r="L559" i="2" s="1"/>
  <c r="J560" i="2"/>
  <c r="L560" i="2" s="1"/>
  <c r="J553" i="2"/>
  <c r="L553" i="2" s="1"/>
  <c r="J550" i="2"/>
  <c r="L550" i="2" s="1"/>
  <c r="J546" i="2"/>
  <c r="L546" i="2" s="1"/>
  <c r="J544" i="2"/>
  <c r="L544" i="2" s="1"/>
  <c r="J527" i="2"/>
  <c r="L527" i="2" s="1"/>
  <c r="J524" i="2"/>
  <c r="L524" i="2" s="1"/>
  <c r="J522" i="2"/>
  <c r="L522" i="2" s="1"/>
  <c r="J512" i="2"/>
  <c r="L512" i="2" s="1"/>
  <c r="J510" i="2"/>
  <c r="L510" i="2" s="1"/>
  <c r="J504" i="2"/>
  <c r="L504" i="2" s="1"/>
  <c r="J502" i="2"/>
  <c r="L502" i="2" s="1"/>
  <c r="J499" i="2"/>
  <c r="L499" i="2" s="1"/>
  <c r="J495" i="2"/>
  <c r="L495" i="2" s="1"/>
  <c r="J490" i="2"/>
  <c r="L490" i="2" s="1"/>
  <c r="J491" i="2"/>
  <c r="L491" i="2" s="1"/>
  <c r="J484" i="2"/>
  <c r="L484" i="2" s="1"/>
  <c r="J471" i="2"/>
  <c r="L471" i="2" s="1"/>
  <c r="J470" i="2"/>
  <c r="L470" i="2" s="1"/>
  <c r="J443" i="2"/>
  <c r="L443" i="2" s="1"/>
  <c r="J441" i="2"/>
  <c r="L441" i="2" s="1"/>
  <c r="J432" i="2"/>
  <c r="L432" i="2" s="1"/>
  <c r="J424" i="2"/>
  <c r="L424" i="2" s="1"/>
  <c r="J420" i="2"/>
  <c r="L420" i="2" s="1"/>
  <c r="J416" i="2"/>
  <c r="L416" i="2" s="1"/>
  <c r="J413" i="2"/>
  <c r="L413" i="2" s="1"/>
  <c r="J406" i="2"/>
  <c r="L406" i="2" s="1"/>
  <c r="J399" i="2"/>
  <c r="L399" i="2" s="1"/>
  <c r="J382" i="2"/>
  <c r="L382" i="2" s="1"/>
  <c r="J381" i="2"/>
  <c r="L381" i="2" s="1"/>
  <c r="J376" i="2"/>
  <c r="L376" i="2" s="1"/>
  <c r="J375" i="2"/>
  <c r="L375" i="2" s="1"/>
  <c r="J373" i="2"/>
  <c r="L373" i="2" s="1"/>
  <c r="J368" i="2"/>
  <c r="L368" i="2" s="1"/>
  <c r="J364" i="2"/>
  <c r="L364" i="2" s="1"/>
  <c r="J356" i="2"/>
  <c r="L356" i="2" s="1"/>
  <c r="J354" i="2"/>
  <c r="L354" i="2" s="1"/>
  <c r="J351" i="2"/>
  <c r="L351" i="2" s="1"/>
  <c r="J349" i="2"/>
  <c r="L349" i="2" s="1"/>
  <c r="J341" i="2"/>
  <c r="L341" i="2" s="1"/>
  <c r="J324" i="2"/>
  <c r="L324" i="2" s="1"/>
  <c r="J322" i="2"/>
  <c r="L322" i="2" s="1"/>
  <c r="J314" i="2"/>
  <c r="L314" i="2" s="1"/>
  <c r="J312" i="2"/>
  <c r="L312" i="2" s="1"/>
  <c r="J313" i="2"/>
  <c r="L313" i="2" s="1"/>
  <c r="J308" i="2"/>
  <c r="L308" i="2" s="1"/>
  <c r="J301" i="2"/>
  <c r="L301" i="2" s="1"/>
  <c r="J300" i="2"/>
  <c r="L300" i="2" s="1"/>
  <c r="J295" i="2"/>
  <c r="L295" i="2" s="1"/>
  <c r="J296" i="2"/>
  <c r="L296" i="2" s="1"/>
  <c r="J293" i="2"/>
  <c r="L293" i="2" s="1"/>
  <c r="J288" i="2"/>
  <c r="L288" i="2" s="1"/>
  <c r="J283" i="2"/>
  <c r="L283" i="2" s="1"/>
  <c r="J284" i="2"/>
  <c r="L284" i="2" s="1"/>
  <c r="J281" i="2"/>
  <c r="L281" i="2" s="1"/>
  <c r="J282" i="2"/>
  <c r="L282" i="2" s="1"/>
  <c r="J277" i="2"/>
  <c r="L277" i="2" s="1"/>
  <c r="J275" i="2"/>
  <c r="L275" i="2" s="1"/>
  <c r="J273" i="2"/>
  <c r="L273" i="2" s="1"/>
  <c r="J272" i="2"/>
  <c r="L272" i="2" s="1"/>
  <c r="J271" i="2"/>
  <c r="L271" i="2" s="1"/>
  <c r="J267" i="2"/>
  <c r="L267" i="2" s="1"/>
  <c r="J261" i="2"/>
  <c r="L261" i="2" s="1"/>
  <c r="J254" i="2"/>
  <c r="L254" i="2" s="1"/>
  <c r="J252" i="2"/>
  <c r="L252" i="2" s="1"/>
  <c r="J243" i="2"/>
  <c r="L243" i="2" s="1"/>
  <c r="J244" i="2"/>
  <c r="L244" i="2" s="1"/>
  <c r="J242" i="2"/>
  <c r="L242" i="2" s="1"/>
  <c r="J240" i="2"/>
  <c r="L240" i="2" s="1"/>
  <c r="J239" i="2"/>
  <c r="L239" i="2" s="1"/>
  <c r="J231" i="2"/>
  <c r="L231" i="2" s="1"/>
  <c r="J228" i="2"/>
  <c r="L228" i="2" s="1"/>
  <c r="J225" i="2"/>
  <c r="L225" i="2" s="1"/>
  <c r="J223" i="2"/>
  <c r="L223" i="2" s="1"/>
  <c r="J217" i="2"/>
  <c r="L217" i="2" s="1"/>
  <c r="J214" i="2"/>
  <c r="L214" i="2" s="1"/>
  <c r="J213" i="2"/>
  <c r="L213" i="2" s="1"/>
  <c r="J212" i="2"/>
  <c r="L212" i="2" s="1"/>
  <c r="J209" i="2"/>
  <c r="L209" i="2" s="1"/>
  <c r="J207" i="2"/>
  <c r="L207" i="2" s="1"/>
  <c r="J199" i="2"/>
  <c r="L199" i="2" s="1"/>
  <c r="J195" i="2"/>
  <c r="L195" i="2" s="1"/>
  <c r="J193" i="2"/>
  <c r="L193" i="2" s="1"/>
  <c r="J192" i="2"/>
  <c r="L192" i="2" s="1"/>
  <c r="J188" i="2"/>
  <c r="L188" i="2" s="1"/>
  <c r="J181" i="2"/>
  <c r="L181" i="2" s="1"/>
  <c r="J179" i="2"/>
  <c r="L179" i="2" s="1"/>
  <c r="J177" i="2"/>
  <c r="L177" i="2" s="1"/>
  <c r="J176" i="2"/>
  <c r="L176" i="2" s="1"/>
  <c r="J173" i="2"/>
  <c r="L173" i="2" s="1"/>
  <c r="J171" i="2"/>
  <c r="L171" i="2" s="1"/>
  <c r="J168" i="2"/>
  <c r="L168" i="2" s="1"/>
  <c r="J166" i="2"/>
  <c r="L166" i="2" s="1"/>
  <c r="J156" i="2"/>
  <c r="L156" i="2" s="1"/>
  <c r="J154" i="2"/>
  <c r="L154" i="2" s="1"/>
  <c r="J149" i="2"/>
  <c r="L149" i="2" s="1"/>
  <c r="J148" i="2"/>
  <c r="L148" i="2" s="1"/>
  <c r="J143" i="2"/>
  <c r="L143" i="2" s="1"/>
  <c r="J139" i="2"/>
  <c r="L139" i="2" s="1"/>
  <c r="J135" i="2"/>
  <c r="L135" i="2" s="1"/>
  <c r="J134" i="2"/>
  <c r="L134" i="2" s="1"/>
  <c r="J133" i="2"/>
  <c r="L133" i="2" s="1"/>
  <c r="J131" i="2"/>
  <c r="L131" i="2" s="1"/>
  <c r="J114" i="2"/>
  <c r="L114" i="2" s="1"/>
  <c r="J112" i="2"/>
  <c r="L112" i="2" s="1"/>
  <c r="J109" i="2"/>
  <c r="L109" i="2" s="1"/>
  <c r="J108" i="2"/>
  <c r="L108" i="2" s="1"/>
  <c r="J101" i="2"/>
  <c r="L101" i="2" s="1"/>
  <c r="J100" i="2"/>
  <c r="L100" i="2" s="1"/>
  <c r="J98" i="2"/>
  <c r="L98" i="2" s="1"/>
  <c r="J94" i="2"/>
  <c r="L94" i="2" s="1"/>
  <c r="J91" i="2"/>
  <c r="L91" i="2" s="1"/>
  <c r="J89" i="2"/>
  <c r="L89" i="2" s="1"/>
  <c r="J87" i="2"/>
  <c r="L87" i="2" s="1"/>
  <c r="J85" i="2"/>
  <c r="L85" i="2" s="1"/>
  <c r="J84" i="2"/>
  <c r="L84" i="2" s="1"/>
  <c r="J82" i="2"/>
  <c r="L82" i="2" s="1"/>
  <c r="J78" i="2"/>
  <c r="L78" i="2" s="1"/>
  <c r="J76" i="2"/>
  <c r="L76" i="2" s="1"/>
  <c r="J70" i="2"/>
  <c r="L70" i="2" s="1"/>
  <c r="J65" i="2"/>
  <c r="L65" i="2" s="1"/>
  <c r="J60" i="2"/>
  <c r="L60" i="2" s="1"/>
  <c r="J57" i="2"/>
  <c r="L57" i="2" s="1"/>
  <c r="J56" i="2"/>
  <c r="L56" i="2" s="1"/>
  <c r="J55" i="2"/>
  <c r="L55" i="2" s="1"/>
  <c r="J53" i="2"/>
  <c r="L53" i="2" s="1"/>
  <c r="J50" i="2"/>
  <c r="L50" i="2" s="1"/>
  <c r="J48" i="2"/>
  <c r="L48" i="2" s="1"/>
  <c r="J47" i="2"/>
  <c r="L47" i="2" s="1"/>
  <c r="J46" i="2"/>
  <c r="L46" i="2" s="1"/>
  <c r="J42" i="2"/>
  <c r="L42" i="2" s="1"/>
  <c r="J37" i="2"/>
  <c r="L37" i="2" s="1"/>
  <c r="J35" i="2"/>
  <c r="L35" i="2" s="1"/>
  <c r="J34" i="2"/>
  <c r="L34" i="2" s="1"/>
  <c r="J32" i="2"/>
  <c r="L32" i="2" s="1"/>
  <c r="J27" i="2"/>
  <c r="L27" i="2" s="1"/>
  <c r="J25" i="2"/>
  <c r="L25" i="2" s="1"/>
  <c r="J22" i="2"/>
  <c r="L22" i="2" s="1"/>
  <c r="J20" i="2"/>
  <c r="L20" i="2" s="1"/>
  <c r="J17" i="2"/>
  <c r="L17" i="2" s="1"/>
  <c r="J16" i="2"/>
  <c r="L16" i="2" s="1"/>
  <c r="J15" i="2"/>
  <c r="L15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999" i="2"/>
  <c r="L999" i="2" s="1"/>
  <c r="J992" i="2"/>
  <c r="L992" i="2" s="1"/>
  <c r="J987" i="2"/>
  <c r="L987" i="2" s="1"/>
  <c r="J986" i="2"/>
  <c r="L986" i="2" s="1"/>
  <c r="J984" i="2"/>
  <c r="L984" i="2" s="1"/>
  <c r="J966" i="2"/>
  <c r="L966" i="2" s="1"/>
  <c r="J965" i="2"/>
  <c r="L965" i="2" s="1"/>
  <c r="J962" i="2"/>
  <c r="L962" i="2" s="1"/>
  <c r="J955" i="2"/>
  <c r="L955" i="2" s="1"/>
  <c r="J951" i="2"/>
  <c r="L951" i="2" s="1"/>
  <c r="J948" i="2"/>
  <c r="L948" i="2" s="1"/>
  <c r="J944" i="2"/>
  <c r="L944" i="2" s="1"/>
  <c r="J943" i="2"/>
  <c r="L943" i="2" s="1"/>
  <c r="J937" i="2"/>
  <c r="L937" i="2" s="1"/>
  <c r="J934" i="2"/>
  <c r="L934" i="2" s="1"/>
  <c r="J932" i="2"/>
  <c r="L932" i="2" s="1"/>
  <c r="J930" i="2"/>
  <c r="L930" i="2" s="1"/>
  <c r="J928" i="2"/>
  <c r="L928" i="2" s="1"/>
  <c r="J927" i="2"/>
  <c r="L927" i="2" s="1"/>
  <c r="J925" i="2"/>
  <c r="L925" i="2" s="1"/>
  <c r="J905" i="2"/>
  <c r="L905" i="2" s="1"/>
  <c r="J904" i="2"/>
  <c r="L904" i="2" s="1"/>
  <c r="J887" i="2"/>
  <c r="L887" i="2" s="1"/>
  <c r="J885" i="2"/>
  <c r="L885" i="2" s="1"/>
  <c r="J880" i="2"/>
  <c r="L880" i="2" s="1"/>
  <c r="J879" i="2"/>
  <c r="L879" i="2" s="1"/>
  <c r="J868" i="2"/>
  <c r="L868" i="2" s="1"/>
  <c r="J860" i="2"/>
  <c r="L860" i="2" s="1"/>
  <c r="J859" i="2"/>
  <c r="L859" i="2" s="1"/>
  <c r="J852" i="2"/>
  <c r="L852" i="2" s="1"/>
  <c r="J847" i="2"/>
  <c r="L847" i="2" s="1"/>
  <c r="J832" i="2"/>
  <c r="L832" i="2" s="1"/>
  <c r="J822" i="2"/>
  <c r="L822" i="2" s="1"/>
  <c r="J814" i="2"/>
  <c r="L814" i="2" s="1"/>
  <c r="J813" i="2"/>
  <c r="L813" i="2" s="1"/>
  <c r="J812" i="2"/>
  <c r="L812" i="2" s="1"/>
  <c r="J775" i="2"/>
  <c r="L775" i="2" s="1"/>
  <c r="J772" i="2"/>
  <c r="L772" i="2" s="1"/>
  <c r="J771" i="2"/>
  <c r="L771" i="2" s="1"/>
  <c r="J766" i="2"/>
  <c r="L766" i="2" s="1"/>
  <c r="J756" i="2"/>
  <c r="L756" i="2" s="1"/>
  <c r="J753" i="2"/>
  <c r="L753" i="2" s="1"/>
  <c r="J748" i="2"/>
  <c r="L748" i="2" s="1"/>
  <c r="J746" i="2"/>
  <c r="L746" i="2" s="1"/>
  <c r="J745" i="2"/>
  <c r="L745" i="2" s="1"/>
  <c r="J742" i="2"/>
  <c r="L742" i="2" s="1"/>
  <c r="J733" i="2"/>
  <c r="L733" i="2" s="1"/>
  <c r="J710" i="2"/>
  <c r="L710" i="2" s="1"/>
  <c r="J704" i="2"/>
  <c r="L704" i="2" s="1"/>
  <c r="J695" i="2"/>
  <c r="L695" i="2" s="1"/>
  <c r="J688" i="2"/>
  <c r="L688" i="2" s="1"/>
  <c r="J685" i="2"/>
  <c r="L685" i="2" s="1"/>
  <c r="J684" i="2"/>
  <c r="L684" i="2" s="1"/>
  <c r="J674" i="2"/>
  <c r="L674" i="2" s="1"/>
  <c r="J662" i="2"/>
  <c r="L662" i="2" s="1"/>
  <c r="J661" i="2"/>
  <c r="L661" i="2" s="1"/>
  <c r="J658" i="2"/>
  <c r="L658" i="2" s="1"/>
  <c r="J645" i="2"/>
  <c r="L645" i="2" s="1"/>
  <c r="J638" i="2"/>
  <c r="L638" i="2" s="1"/>
  <c r="J636" i="2"/>
  <c r="L636" i="2" s="1"/>
  <c r="J631" i="2"/>
  <c r="L631" i="2" s="1"/>
  <c r="J608" i="2"/>
  <c r="L608" i="2" s="1"/>
  <c r="J602" i="2"/>
  <c r="L602" i="2" s="1"/>
  <c r="J601" i="2"/>
  <c r="L601" i="2" s="1"/>
  <c r="J598" i="2"/>
  <c r="L598" i="2" s="1"/>
  <c r="J593" i="2"/>
  <c r="L593" i="2" s="1"/>
  <c r="J584" i="2"/>
  <c r="L584" i="2" s="1"/>
  <c r="J575" i="2"/>
  <c r="L575" i="2" s="1"/>
  <c r="J573" i="2"/>
  <c r="L573" i="2" s="1"/>
  <c r="J562" i="2"/>
  <c r="L562" i="2" s="1"/>
  <c r="J558" i="2"/>
  <c r="L558" i="2" s="1"/>
  <c r="J537" i="2"/>
  <c r="L537" i="2" s="1"/>
  <c r="J526" i="2"/>
  <c r="L526" i="2" s="1"/>
  <c r="J525" i="2"/>
  <c r="L525" i="2" s="1"/>
  <c r="J520" i="2"/>
  <c r="L520" i="2" s="1"/>
  <c r="J517" i="2"/>
  <c r="L517" i="2" s="1"/>
  <c r="J516" i="2"/>
  <c r="L516" i="2" s="1"/>
  <c r="J513" i="2"/>
  <c r="L513" i="2" s="1"/>
  <c r="J508" i="2"/>
  <c r="L508" i="2" s="1"/>
  <c r="J505" i="2"/>
  <c r="L505" i="2" s="1"/>
  <c r="J503" i="2"/>
  <c r="L503" i="2" s="1"/>
  <c r="J500" i="2"/>
  <c r="L500" i="2" s="1"/>
  <c r="J501" i="2"/>
  <c r="L501" i="2" s="1"/>
  <c r="J498" i="2"/>
  <c r="L498" i="2" s="1"/>
  <c r="J497" i="2"/>
  <c r="L497" i="2" s="1"/>
  <c r="J496" i="2"/>
  <c r="L496" i="2" s="1"/>
  <c r="J493" i="2"/>
  <c r="L493" i="2" s="1"/>
  <c r="J483" i="2"/>
  <c r="L483" i="2" s="1"/>
  <c r="J468" i="2"/>
  <c r="L468" i="2" s="1"/>
  <c r="J467" i="2"/>
  <c r="L467" i="2" s="1"/>
  <c r="J465" i="2"/>
  <c r="L465" i="2" s="1"/>
  <c r="J462" i="2"/>
  <c r="L462" i="2" s="1"/>
  <c r="J456" i="2"/>
  <c r="L456" i="2" s="1"/>
  <c r="J451" i="2"/>
  <c r="L451" i="2" s="1"/>
  <c r="J445" i="2"/>
  <c r="L445" i="2" s="1"/>
  <c r="J439" i="2"/>
  <c r="L439" i="2" s="1"/>
  <c r="J437" i="2"/>
  <c r="L437" i="2" s="1"/>
  <c r="J430" i="2"/>
  <c r="L430" i="2" s="1"/>
  <c r="J428" i="2"/>
  <c r="L428" i="2" s="1"/>
  <c r="J421" i="2"/>
  <c r="L421" i="2" s="1"/>
  <c r="J417" i="2"/>
  <c r="L417" i="2" s="1"/>
  <c r="J415" i="2"/>
  <c r="L415" i="2" s="1"/>
  <c r="J411" i="2"/>
  <c r="L411" i="2" s="1"/>
  <c r="J410" i="2"/>
  <c r="L410" i="2" s="1"/>
  <c r="J408" i="2"/>
  <c r="L408" i="2" s="1"/>
  <c r="J401" i="2"/>
  <c r="L401" i="2" s="1"/>
  <c r="J397" i="2"/>
  <c r="L397" i="2" s="1"/>
  <c r="J387" i="2"/>
  <c r="L387" i="2" s="1"/>
  <c r="J386" i="2"/>
  <c r="L386" i="2" s="1"/>
  <c r="J384" i="2"/>
  <c r="L384" i="2" s="1"/>
  <c r="J380" i="2"/>
  <c r="L380" i="2" s="1"/>
  <c r="J377" i="2"/>
  <c r="L377" i="2" s="1"/>
  <c r="J370" i="2"/>
  <c r="L370" i="2" s="1"/>
  <c r="J365" i="2"/>
  <c r="L365" i="2" s="1"/>
  <c r="J357" i="2"/>
  <c r="L357" i="2" s="1"/>
  <c r="J353" i="2"/>
  <c r="L353" i="2" s="1"/>
  <c r="J347" i="2"/>
  <c r="L347" i="2" s="1"/>
  <c r="J342" i="2"/>
  <c r="L342" i="2" s="1"/>
  <c r="J332" i="2"/>
  <c r="L332" i="2" s="1"/>
  <c r="J330" i="2"/>
  <c r="L330" i="2" s="1"/>
  <c r="J326" i="2"/>
  <c r="L326" i="2" s="1"/>
  <c r="J317" i="2"/>
  <c r="L317" i="2" s="1"/>
  <c r="J315" i="2"/>
  <c r="L315" i="2" s="1"/>
  <c r="J309" i="2"/>
  <c r="L309" i="2" s="1"/>
  <c r="J299" i="2"/>
  <c r="L299" i="2" s="1"/>
  <c r="J298" i="2"/>
  <c r="L298" i="2" s="1"/>
  <c r="J270" i="2"/>
  <c r="L270" i="2" s="1"/>
  <c r="J269" i="2"/>
  <c r="L269" i="2" s="1"/>
  <c r="J263" i="2"/>
  <c r="L263" i="2" s="1"/>
  <c r="J257" i="2"/>
  <c r="L257" i="2" s="1"/>
  <c r="J247" i="2"/>
  <c r="L247" i="2" s="1"/>
  <c r="J241" i="2"/>
  <c r="L241" i="2" s="1"/>
  <c r="J224" i="2"/>
  <c r="L224" i="2" s="1"/>
  <c r="J219" i="2"/>
  <c r="L219" i="2" s="1"/>
  <c r="J206" i="2"/>
  <c r="L206" i="2" s="1"/>
  <c r="J198" i="2"/>
  <c r="L198" i="2" s="1"/>
  <c r="J191" i="2"/>
  <c r="L191" i="2" s="1"/>
  <c r="J189" i="2"/>
  <c r="L189" i="2" s="1"/>
  <c r="J184" i="2"/>
  <c r="L184" i="2" s="1"/>
  <c r="J163" i="2"/>
  <c r="L163" i="2" s="1"/>
  <c r="J152" i="2"/>
  <c r="L152" i="2" s="1"/>
  <c r="J150" i="2"/>
  <c r="L150" i="2" s="1"/>
  <c r="J145" i="2"/>
  <c r="L145" i="2" s="1"/>
  <c r="J141" i="2"/>
  <c r="L141" i="2" s="1"/>
  <c r="J137" i="2"/>
  <c r="L137" i="2" s="1"/>
  <c r="J129" i="2"/>
  <c r="L129" i="2" s="1"/>
  <c r="J122" i="2"/>
  <c r="L122" i="2" s="1"/>
  <c r="J121" i="2"/>
  <c r="L121" i="2" s="1"/>
  <c r="J119" i="2"/>
  <c r="L119" i="2" s="1"/>
  <c r="J106" i="2"/>
  <c r="L106" i="2" s="1"/>
  <c r="J104" i="2"/>
  <c r="L104" i="2" s="1"/>
  <c r="J97" i="2"/>
  <c r="L97" i="2" s="1"/>
  <c r="J96" i="2"/>
  <c r="L96" i="2" s="1"/>
  <c r="J95" i="2"/>
  <c r="L95" i="2" s="1"/>
  <c r="J88" i="2"/>
  <c r="L88" i="2" s="1"/>
  <c r="J80" i="2"/>
  <c r="L80" i="2" s="1"/>
  <c r="J79" i="2"/>
  <c r="L79" i="2" s="1"/>
  <c r="J74" i="2"/>
  <c r="L74" i="2" s="1"/>
  <c r="J58" i="2"/>
  <c r="L58" i="2" s="1"/>
  <c r="J54" i="2"/>
  <c r="L54" i="2" s="1"/>
  <c r="J24" i="2"/>
  <c r="L24" i="2" s="1"/>
  <c r="J21" i="2"/>
  <c r="L21" i="2" s="1"/>
  <c r="J19" i="2"/>
  <c r="L19" i="2" s="1"/>
  <c r="J18" i="2"/>
  <c r="L18" i="2" s="1"/>
  <c r="J13" i="2"/>
  <c r="L13" i="2" s="1"/>
  <c r="J12" i="2"/>
  <c r="L12" i="2" s="1"/>
  <c r="J9" i="2"/>
  <c r="L9" i="2" s="1"/>
  <c r="J998" i="2"/>
  <c r="L998" i="2" s="1"/>
  <c r="J988" i="2"/>
  <c r="L988" i="2" s="1"/>
  <c r="J982" i="2"/>
  <c r="L982" i="2" s="1"/>
  <c r="J978" i="2"/>
  <c r="L978" i="2" s="1"/>
  <c r="J979" i="2"/>
  <c r="L979" i="2" s="1"/>
  <c r="J975" i="2"/>
  <c r="L975" i="2" s="1"/>
  <c r="J973" i="2"/>
  <c r="L973" i="2" s="1"/>
  <c r="J964" i="2"/>
  <c r="L964" i="2" s="1"/>
  <c r="J960" i="2"/>
  <c r="L960" i="2" s="1"/>
  <c r="J952" i="2"/>
  <c r="L952" i="2" s="1"/>
  <c r="J947" i="2"/>
  <c r="L947" i="2" s="1"/>
  <c r="J945" i="2"/>
  <c r="L945" i="2" s="1"/>
  <c r="J935" i="2"/>
  <c r="L935" i="2" s="1"/>
  <c r="J931" i="2"/>
  <c r="L931" i="2" s="1"/>
  <c r="J921" i="2"/>
  <c r="L921" i="2" s="1"/>
  <c r="J918" i="2"/>
  <c r="L918" i="2" s="1"/>
  <c r="J917" i="2"/>
  <c r="L917" i="2" s="1"/>
  <c r="J911" i="2"/>
  <c r="L911" i="2" s="1"/>
  <c r="J907" i="2"/>
  <c r="L907" i="2" s="1"/>
  <c r="J906" i="2"/>
  <c r="L906" i="2" s="1"/>
  <c r="J900" i="2"/>
  <c r="L900" i="2" s="1"/>
  <c r="J896" i="2"/>
  <c r="L896" i="2" s="1"/>
  <c r="J883" i="2"/>
  <c r="L883" i="2" s="1"/>
  <c r="J881" i="2"/>
  <c r="L881" i="2" s="1"/>
  <c r="J864" i="2"/>
  <c r="L864" i="2" s="1"/>
  <c r="J855" i="2"/>
  <c r="L855" i="2" s="1"/>
  <c r="J854" i="2"/>
  <c r="L854" i="2" s="1"/>
  <c r="J850" i="2"/>
  <c r="L850" i="2" s="1"/>
  <c r="J849" i="2"/>
  <c r="L849" i="2" s="1"/>
  <c r="J845" i="2"/>
  <c r="L845" i="2" s="1"/>
  <c r="J844" i="2"/>
  <c r="L844" i="2" s="1"/>
  <c r="J839" i="2"/>
  <c r="L839" i="2" s="1"/>
  <c r="J833" i="2"/>
  <c r="L833" i="2" s="1"/>
  <c r="J831" i="2"/>
  <c r="L831" i="2" s="1"/>
  <c r="J829" i="2"/>
  <c r="L829" i="2" s="1"/>
  <c r="J821" i="2"/>
  <c r="L821" i="2" s="1"/>
  <c r="J818" i="2"/>
  <c r="L818" i="2" s="1"/>
  <c r="J816" i="2"/>
  <c r="L816" i="2" s="1"/>
  <c r="J808" i="2"/>
  <c r="L808" i="2" s="1"/>
  <c r="J807" i="2"/>
  <c r="L807" i="2" s="1"/>
  <c r="J806" i="2"/>
  <c r="L806" i="2" s="1"/>
  <c r="J802" i="2"/>
  <c r="L802" i="2" s="1"/>
  <c r="J798" i="2"/>
  <c r="L798" i="2" s="1"/>
  <c r="J795" i="2"/>
  <c r="L795" i="2" s="1"/>
  <c r="J791" i="2"/>
  <c r="L791" i="2" s="1"/>
  <c r="J787" i="2"/>
  <c r="L787" i="2" s="1"/>
  <c r="J777" i="2"/>
  <c r="L777" i="2" s="1"/>
  <c r="J770" i="2"/>
  <c r="L770" i="2" s="1"/>
  <c r="J768" i="2"/>
  <c r="L768" i="2" s="1"/>
  <c r="J765" i="2"/>
  <c r="L765" i="2" s="1"/>
  <c r="J763" i="2"/>
  <c r="L763" i="2" s="1"/>
  <c r="J750" i="2"/>
  <c r="L750" i="2" s="1"/>
  <c r="J747" i="2"/>
  <c r="L747" i="2" s="1"/>
  <c r="J744" i="2"/>
  <c r="L744" i="2" s="1"/>
  <c r="J743" i="2"/>
  <c r="L743" i="2" s="1"/>
  <c r="J737" i="2"/>
  <c r="L737" i="2" s="1"/>
  <c r="J725" i="2"/>
  <c r="L725" i="2" s="1"/>
  <c r="J718" i="2"/>
  <c r="L718" i="2" s="1"/>
  <c r="J719" i="2"/>
  <c r="L719" i="2" s="1"/>
  <c r="J715" i="2"/>
  <c r="L715" i="2" s="1"/>
  <c r="J714" i="2"/>
  <c r="L714" i="2" s="1"/>
  <c r="J712" i="2"/>
  <c r="L712" i="2" s="1"/>
  <c r="J707" i="2"/>
  <c r="L707" i="2" s="1"/>
  <c r="J708" i="2"/>
  <c r="L708" i="2" s="1"/>
  <c r="J702" i="2"/>
  <c r="L702" i="2" s="1"/>
  <c r="J699" i="2"/>
  <c r="L699" i="2" s="1"/>
  <c r="J698" i="2"/>
  <c r="L698" i="2" s="1"/>
  <c r="J697" i="2"/>
  <c r="L697" i="2" s="1"/>
  <c r="J691" i="2"/>
  <c r="L691" i="2" s="1"/>
  <c r="J681" i="2"/>
  <c r="L681" i="2" s="1"/>
  <c r="J680" i="2"/>
  <c r="L680" i="2" s="1"/>
  <c r="J679" i="2"/>
  <c r="L679" i="2" s="1"/>
  <c r="J677" i="2"/>
  <c r="L677" i="2" s="1"/>
  <c r="J676" i="2"/>
  <c r="L676" i="2" s="1"/>
  <c r="J671" i="2"/>
  <c r="L671" i="2" s="1"/>
  <c r="J669" i="2"/>
  <c r="L669" i="2" s="1"/>
  <c r="J668" i="2"/>
  <c r="L668" i="2" s="1"/>
  <c r="J664" i="2"/>
  <c r="L664" i="2" s="1"/>
  <c r="J657" i="2"/>
  <c r="L657" i="2" s="1"/>
  <c r="J656" i="2"/>
  <c r="L656" i="2" s="1"/>
  <c r="J651" i="2"/>
  <c r="L651" i="2" s="1"/>
  <c r="J650" i="2"/>
  <c r="L650" i="2" s="1"/>
  <c r="J646" i="2"/>
  <c r="L646" i="2" s="1"/>
  <c r="J641" i="2"/>
  <c r="L641" i="2" s="1"/>
  <c r="J640" i="2"/>
  <c r="L640" i="2" s="1"/>
  <c r="J637" i="2"/>
  <c r="L637" i="2" s="1"/>
  <c r="J632" i="2"/>
  <c r="L632" i="2" s="1"/>
  <c r="J630" i="2"/>
  <c r="L630" i="2" s="1"/>
  <c r="J626" i="2"/>
  <c r="L626" i="2" s="1"/>
  <c r="J618" i="2"/>
  <c r="L618" i="2" s="1"/>
  <c r="J609" i="2"/>
  <c r="L609" i="2" s="1"/>
  <c r="J606" i="2"/>
  <c r="L606" i="2" s="1"/>
  <c r="J595" i="2"/>
  <c r="L595" i="2" s="1"/>
  <c r="J589" i="2"/>
  <c r="L589" i="2" s="1"/>
  <c r="J586" i="2"/>
  <c r="L586" i="2" s="1"/>
  <c r="J581" i="2"/>
  <c r="L581" i="2" s="1"/>
  <c r="J579" i="2"/>
  <c r="L579" i="2" s="1"/>
  <c r="J572" i="2"/>
  <c r="L572" i="2" s="1"/>
  <c r="J567" i="2"/>
  <c r="L567" i="2" s="1"/>
  <c r="J555" i="2"/>
  <c r="L555" i="2" s="1"/>
  <c r="J551" i="2"/>
  <c r="L551" i="2" s="1"/>
  <c r="J548" i="2"/>
  <c r="L548" i="2" s="1"/>
  <c r="J541" i="2"/>
  <c r="L541" i="2" s="1"/>
  <c r="J539" i="2"/>
  <c r="L539" i="2" s="1"/>
  <c r="J540" i="2"/>
  <c r="L540" i="2" s="1"/>
  <c r="J534" i="2"/>
  <c r="L534" i="2" s="1"/>
  <c r="J532" i="2"/>
  <c r="L532" i="2" s="1"/>
  <c r="J530" i="2"/>
  <c r="L530" i="2" s="1"/>
  <c r="J521" i="2"/>
  <c r="L521" i="2" s="1"/>
  <c r="J518" i="2"/>
  <c r="L518" i="2" s="1"/>
  <c r="J509" i="2"/>
  <c r="L509" i="2" s="1"/>
  <c r="J507" i="2"/>
  <c r="L507" i="2" s="1"/>
  <c r="J482" i="2"/>
  <c r="L482" i="2" s="1"/>
  <c r="J479" i="2"/>
  <c r="L479" i="2" s="1"/>
  <c r="J478" i="2"/>
  <c r="L478" i="2" s="1"/>
  <c r="J477" i="2"/>
  <c r="L477" i="2" s="1"/>
  <c r="J472" i="2"/>
  <c r="L472" i="2" s="1"/>
  <c r="J463" i="2"/>
  <c r="L463" i="2" s="1"/>
  <c r="J455" i="2"/>
  <c r="L455" i="2" s="1"/>
  <c r="J454" i="2"/>
  <c r="L454" i="2" s="1"/>
  <c r="J448" i="2"/>
  <c r="L448" i="2" s="1"/>
  <c r="J444" i="2"/>
  <c r="L444" i="2" s="1"/>
  <c r="J436" i="2"/>
  <c r="L436" i="2" s="1"/>
  <c r="J434" i="2"/>
  <c r="L434" i="2" s="1"/>
  <c r="J427" i="2"/>
  <c r="L427" i="2" s="1"/>
  <c r="J425" i="2"/>
  <c r="L425" i="2" s="1"/>
  <c r="J423" i="2"/>
  <c r="L423" i="2" s="1"/>
  <c r="J409" i="2"/>
  <c r="L409" i="2" s="1"/>
  <c r="J394" i="2"/>
  <c r="L394" i="2" s="1"/>
  <c r="J393" i="2"/>
  <c r="L393" i="2" s="1"/>
  <c r="J392" i="2"/>
  <c r="L392" i="2" s="1"/>
  <c r="J391" i="2"/>
  <c r="L391" i="2" s="1"/>
  <c r="J388" i="2"/>
  <c r="L388" i="2" s="1"/>
  <c r="J379" i="2"/>
  <c r="L379" i="2" s="1"/>
  <c r="J372" i="2"/>
  <c r="L372" i="2" s="1"/>
  <c r="J369" i="2"/>
  <c r="L369" i="2" s="1"/>
  <c r="J367" i="2"/>
  <c r="L367" i="2" s="1"/>
  <c r="J359" i="2"/>
  <c r="L359" i="2" s="1"/>
  <c r="J355" i="2"/>
  <c r="L355" i="2" s="1"/>
  <c r="J346" i="2"/>
  <c r="L346" i="2" s="1"/>
  <c r="J336" i="2"/>
  <c r="L336" i="2" s="1"/>
  <c r="J331" i="2"/>
  <c r="L331" i="2" s="1"/>
  <c r="J329" i="2"/>
  <c r="L329" i="2" s="1"/>
  <c r="J327" i="2"/>
  <c r="L327" i="2" s="1"/>
  <c r="J323" i="2"/>
  <c r="L323" i="2" s="1"/>
  <c r="J319" i="2"/>
  <c r="L319" i="2" s="1"/>
  <c r="J310" i="2"/>
  <c r="L310" i="2" s="1"/>
  <c r="J306" i="2"/>
  <c r="L306" i="2" s="1"/>
  <c r="J302" i="2"/>
  <c r="L302" i="2" s="1"/>
  <c r="J294" i="2"/>
  <c r="L294" i="2" s="1"/>
  <c r="J291" i="2"/>
  <c r="L291" i="2" s="1"/>
  <c r="J286" i="2"/>
  <c r="L286" i="2" s="1"/>
  <c r="J279" i="2"/>
  <c r="L279" i="2" s="1"/>
  <c r="J274" i="2"/>
  <c r="L274" i="2" s="1"/>
  <c r="J266" i="2"/>
  <c r="L266" i="2" s="1"/>
  <c r="J262" i="2"/>
  <c r="L262" i="2" s="1"/>
  <c r="J258" i="2"/>
  <c r="L258" i="2" s="1"/>
  <c r="J256" i="2"/>
  <c r="L256" i="2" s="1"/>
  <c r="J246" i="2"/>
  <c r="L246" i="2" s="1"/>
  <c r="J238" i="2"/>
  <c r="L238" i="2" s="1"/>
  <c r="J222" i="2"/>
  <c r="L222" i="2" s="1"/>
  <c r="J215" i="2"/>
  <c r="L215" i="2" s="1"/>
  <c r="J211" i="2"/>
  <c r="L211" i="2" s="1"/>
  <c r="J203" i="2"/>
  <c r="L203" i="2" s="1"/>
  <c r="J202" i="2"/>
  <c r="L202" i="2" s="1"/>
  <c r="J197" i="2"/>
  <c r="L197" i="2" s="1"/>
  <c r="J190" i="2"/>
  <c r="L190" i="2" s="1"/>
  <c r="J183" i="2"/>
  <c r="L183" i="2" s="1"/>
  <c r="J172" i="2"/>
  <c r="L172" i="2" s="1"/>
  <c r="J157" i="2"/>
  <c r="L157" i="2" s="1"/>
  <c r="J155" i="2"/>
  <c r="L155" i="2" s="1"/>
  <c r="J151" i="2"/>
  <c r="L151" i="2" s="1"/>
  <c r="J146" i="2"/>
  <c r="L146" i="2" s="1"/>
  <c r="J142" i="2"/>
  <c r="L142" i="2" s="1"/>
  <c r="J138" i="2"/>
  <c r="L138" i="2" s="1"/>
  <c r="J126" i="2"/>
  <c r="L126" i="2" s="1"/>
  <c r="J115" i="2"/>
  <c r="L115" i="2" s="1"/>
  <c r="J110" i="2"/>
  <c r="L110" i="2" s="1"/>
  <c r="J107" i="2"/>
  <c r="L107" i="2" s="1"/>
  <c r="J105" i="2"/>
  <c r="L105" i="2" s="1"/>
  <c r="J92" i="2"/>
  <c r="L92" i="2" s="1"/>
  <c r="J90" i="2"/>
  <c r="L90" i="2" s="1"/>
  <c r="J86" i="2"/>
  <c r="L86" i="2" s="1"/>
  <c r="J77" i="2"/>
  <c r="L77" i="2" s="1"/>
  <c r="J71" i="2"/>
  <c r="L71" i="2" s="1"/>
  <c r="J69" i="2"/>
  <c r="L69" i="2" s="1"/>
  <c r="J49" i="2"/>
  <c r="L49" i="2" s="1"/>
  <c r="J43" i="2"/>
  <c r="L43" i="2" s="1"/>
  <c r="J41" i="2"/>
  <c r="L41" i="2" s="1"/>
  <c r="J40" i="2"/>
  <c r="L40" i="2" s="1"/>
  <c r="J39" i="2"/>
  <c r="L39" i="2" s="1"/>
  <c r="J30" i="2"/>
  <c r="L30" i="2" s="1"/>
  <c r="J28" i="2"/>
  <c r="L28" i="2" s="1"/>
  <c r="J26" i="2"/>
  <c r="L26" i="2" s="1"/>
  <c r="J14" i="2"/>
  <c r="L14" i="2" s="1"/>
  <c r="J8" i="2"/>
  <c r="L8" i="2" s="1"/>
  <c r="J1001" i="2"/>
  <c r="L1001" i="2" s="1"/>
  <c r="J1000" i="2"/>
  <c r="L1000" i="2" s="1"/>
  <c r="J997" i="2"/>
  <c r="L997" i="2" s="1"/>
  <c r="J996" i="2"/>
  <c r="L996" i="2" s="1"/>
  <c r="J995" i="2"/>
  <c r="L995" i="2" s="1"/>
  <c r="J994" i="2"/>
  <c r="L994" i="2" s="1"/>
  <c r="J993" i="2"/>
  <c r="L993" i="2" s="1"/>
  <c r="J991" i="2"/>
  <c r="L991" i="2" s="1"/>
  <c r="J989" i="2"/>
  <c r="L989" i="2" s="1"/>
  <c r="J985" i="2"/>
  <c r="L985" i="2" s="1"/>
  <c r="J983" i="2"/>
  <c r="L983" i="2" s="1"/>
  <c r="J981" i="2"/>
  <c r="L981" i="2" s="1"/>
  <c r="J977" i="2"/>
  <c r="L977" i="2" s="1"/>
  <c r="J974" i="2"/>
  <c r="L974" i="2" s="1"/>
  <c r="J972" i="2"/>
  <c r="L972" i="2" s="1"/>
  <c r="J971" i="2"/>
  <c r="L971" i="2" s="1"/>
  <c r="J968" i="2"/>
  <c r="L968" i="2" s="1"/>
  <c r="J961" i="2"/>
  <c r="L961" i="2" s="1"/>
  <c r="J959" i="2"/>
  <c r="L959" i="2" s="1"/>
  <c r="J958" i="2"/>
  <c r="L958" i="2" s="1"/>
  <c r="J954" i="2"/>
  <c r="L954" i="2" s="1"/>
  <c r="J949" i="2"/>
  <c r="L949" i="2" s="1"/>
  <c r="J946" i="2"/>
  <c r="L946" i="2" s="1"/>
  <c r="J941" i="2"/>
  <c r="L941" i="2" s="1"/>
  <c r="J942" i="2"/>
  <c r="L942" i="2" s="1"/>
  <c r="J940" i="2"/>
  <c r="L940" i="2" s="1"/>
  <c r="J938" i="2"/>
  <c r="L938" i="2" s="1"/>
  <c r="J936" i="2"/>
  <c r="L936" i="2" s="1"/>
  <c r="J933" i="2"/>
  <c r="L933" i="2" s="1"/>
  <c r="J929" i="2"/>
  <c r="L929" i="2" s="1"/>
  <c r="J924" i="2"/>
  <c r="L924" i="2" s="1"/>
  <c r="J923" i="2"/>
  <c r="L923" i="2" s="1"/>
  <c r="J922" i="2"/>
  <c r="L922" i="2" s="1"/>
  <c r="J919" i="2"/>
  <c r="L919" i="2" s="1"/>
  <c r="J915" i="2"/>
  <c r="L915" i="2" s="1"/>
  <c r="J916" i="2"/>
  <c r="L916" i="2" s="1"/>
  <c r="J910" i="2"/>
  <c r="L910" i="2" s="1"/>
  <c r="J908" i="2"/>
  <c r="L908" i="2" s="1"/>
  <c r="J902" i="2"/>
  <c r="L902" i="2" s="1"/>
  <c r="J901" i="2"/>
  <c r="L901" i="2" s="1"/>
  <c r="J899" i="2"/>
  <c r="L899" i="2" s="1"/>
  <c r="J897" i="2"/>
  <c r="L897" i="2" s="1"/>
  <c r="J895" i="2"/>
  <c r="L895" i="2" s="1"/>
  <c r="J894" i="2"/>
  <c r="L894" i="2" s="1"/>
  <c r="J893" i="2"/>
  <c r="L893" i="2" s="1"/>
  <c r="J891" i="2"/>
  <c r="L891" i="2" s="1"/>
  <c r="J888" i="2"/>
  <c r="L888" i="2" s="1"/>
  <c r="J884" i="2"/>
  <c r="L884" i="2" s="1"/>
  <c r="J878" i="2"/>
  <c r="L878" i="2" s="1"/>
  <c r="J876" i="2"/>
  <c r="L876" i="2" s="1"/>
  <c r="J877" i="2"/>
  <c r="L877" i="2" s="1"/>
  <c r="J875" i="2"/>
  <c r="L875" i="2" s="1"/>
  <c r="J873" i="2"/>
  <c r="L873" i="2" s="1"/>
  <c r="J872" i="2"/>
  <c r="L872" i="2" s="1"/>
  <c r="J870" i="2"/>
  <c r="L870" i="2" s="1"/>
  <c r="J871" i="2"/>
  <c r="L871" i="2" s="1"/>
  <c r="J862" i="2"/>
  <c r="L862" i="2" s="1"/>
  <c r="J861" i="2"/>
  <c r="L861" i="2" s="1"/>
  <c r="J858" i="2"/>
  <c r="L858" i="2" s="1"/>
  <c r="J857" i="2"/>
  <c r="L857" i="2" s="1"/>
  <c r="J856" i="2"/>
  <c r="L856" i="2" s="1"/>
  <c r="J848" i="2"/>
  <c r="L848" i="2" s="1"/>
  <c r="J846" i="2"/>
  <c r="L846" i="2" s="1"/>
  <c r="J843" i="2"/>
  <c r="L843" i="2" s="1"/>
  <c r="J842" i="2"/>
  <c r="L842" i="2" s="1"/>
  <c r="J841" i="2"/>
  <c r="L841" i="2" s="1"/>
  <c r="J840" i="2"/>
  <c r="L840" i="2" s="1"/>
  <c r="J837" i="2"/>
  <c r="L837" i="2" s="1"/>
  <c r="J835" i="2"/>
  <c r="L835" i="2" s="1"/>
  <c r="J834" i="2"/>
  <c r="L834" i="2" s="1"/>
  <c r="J826" i="2"/>
  <c r="L826" i="2" s="1"/>
  <c r="J827" i="2"/>
  <c r="L827" i="2" s="1"/>
  <c r="J825" i="2"/>
  <c r="L825" i="2" s="1"/>
  <c r="J824" i="2"/>
  <c r="L824" i="2" s="1"/>
  <c r="J819" i="2"/>
  <c r="L819" i="2" s="1"/>
  <c r="J820" i="2"/>
  <c r="L820" i="2" s="1"/>
  <c r="J817" i="2"/>
  <c r="L817" i="2" s="1"/>
  <c r="J815" i="2"/>
  <c r="L815" i="2" s="1"/>
  <c r="J811" i="2"/>
  <c r="L811" i="2" s="1"/>
  <c r="J810" i="2"/>
  <c r="L810" i="2" s="1"/>
  <c r="J809" i="2"/>
  <c r="L809" i="2" s="1"/>
  <c r="J803" i="2"/>
  <c r="L803" i="2" s="1"/>
  <c r="J799" i="2"/>
  <c r="L799" i="2" s="1"/>
  <c r="J800" i="2"/>
  <c r="L800" i="2" s="1"/>
  <c r="J793" i="2"/>
  <c r="L793" i="2" s="1"/>
  <c r="J788" i="2"/>
  <c r="L788" i="2" s="1"/>
  <c r="J789" i="2"/>
  <c r="L789" i="2" s="1"/>
  <c r="J786" i="2"/>
  <c r="L786" i="2" s="1"/>
  <c r="J785" i="2"/>
  <c r="L785" i="2" s="1"/>
  <c r="J783" i="2"/>
  <c r="L783" i="2" s="1"/>
  <c r="J782" i="2"/>
  <c r="L782" i="2" s="1"/>
  <c r="J781" i="2"/>
  <c r="L781" i="2" s="1"/>
  <c r="J778" i="2"/>
  <c r="L778" i="2" s="1"/>
  <c r="J776" i="2"/>
  <c r="L776" i="2" s="1"/>
  <c r="J769" i="2"/>
  <c r="L769" i="2" s="1"/>
  <c r="J767" i="2"/>
  <c r="L767" i="2" s="1"/>
  <c r="J764" i="2"/>
  <c r="L764" i="2" s="1"/>
  <c r="J762" i="2"/>
  <c r="L762" i="2" s="1"/>
  <c r="J761" i="2"/>
  <c r="L761" i="2" s="1"/>
  <c r="J759" i="2"/>
  <c r="L759" i="2" s="1"/>
  <c r="J754" i="2"/>
  <c r="L754" i="2" s="1"/>
  <c r="J751" i="2"/>
  <c r="L751" i="2" s="1"/>
  <c r="J749" i="2"/>
  <c r="L749" i="2" s="1"/>
  <c r="J741" i="2"/>
  <c r="L741" i="2" s="1"/>
  <c r="J739" i="2"/>
  <c r="L739" i="2" s="1"/>
  <c r="J736" i="2"/>
  <c r="L736" i="2" s="1"/>
  <c r="J734" i="2"/>
  <c r="L734" i="2" s="1"/>
  <c r="J732" i="2"/>
  <c r="L732" i="2" s="1"/>
  <c r="J731" i="2"/>
  <c r="L731" i="2" s="1"/>
  <c r="J728" i="2"/>
  <c r="L728" i="2" s="1"/>
  <c r="J727" i="2"/>
  <c r="L727" i="2" s="1"/>
  <c r="J723" i="2"/>
  <c r="L723" i="2" s="1"/>
  <c r="J721" i="2"/>
  <c r="L721" i="2" s="1"/>
  <c r="J717" i="2"/>
  <c r="L717" i="2" s="1"/>
  <c r="J713" i="2"/>
  <c r="L713" i="2" s="1"/>
  <c r="J709" i="2"/>
  <c r="L709" i="2" s="1"/>
  <c r="J706" i="2"/>
  <c r="L706" i="2" s="1"/>
  <c r="J703" i="2"/>
  <c r="L703" i="2" s="1"/>
  <c r="J700" i="2"/>
  <c r="L700" i="2" s="1"/>
  <c r="J696" i="2"/>
  <c r="L696" i="2" s="1"/>
  <c r="J694" i="2"/>
  <c r="L694" i="2" s="1"/>
  <c r="J693" i="2"/>
  <c r="L693" i="2" s="1"/>
  <c r="J692" i="2"/>
  <c r="L692" i="2" s="1"/>
  <c r="J682" i="2"/>
  <c r="L682" i="2" s="1"/>
  <c r="J672" i="2"/>
  <c r="L672" i="2" s="1"/>
  <c r="J665" i="2"/>
  <c r="L665" i="2" s="1"/>
  <c r="J655" i="2"/>
  <c r="L655" i="2" s="1"/>
  <c r="J644" i="2"/>
  <c r="L644" i="2" s="1"/>
  <c r="J633" i="2"/>
  <c r="L633" i="2" s="1"/>
  <c r="J629" i="2"/>
  <c r="L629" i="2" s="1"/>
  <c r="J627" i="2"/>
  <c r="L627" i="2" s="1"/>
  <c r="J623" i="2"/>
  <c r="L623" i="2" s="1"/>
  <c r="J624" i="2"/>
  <c r="L624" i="2" s="1"/>
  <c r="J621" i="2"/>
  <c r="L621" i="2" s="1"/>
  <c r="J611" i="2"/>
  <c r="L611" i="2" s="1"/>
  <c r="J600" i="2"/>
  <c r="L600" i="2" s="1"/>
  <c r="J597" i="2"/>
  <c r="L597" i="2" s="1"/>
  <c r="J596" i="2"/>
  <c r="L596" i="2" s="1"/>
  <c r="J587" i="2"/>
  <c r="L587" i="2" s="1"/>
  <c r="J585" i="2"/>
  <c r="L585" i="2" s="1"/>
  <c r="J580" i="2"/>
  <c r="L580" i="2" s="1"/>
  <c r="J577" i="2"/>
  <c r="L577" i="2" s="1"/>
  <c r="J574" i="2"/>
  <c r="L574" i="2" s="1"/>
  <c r="J570" i="2"/>
  <c r="L570" i="2" s="1"/>
  <c r="J563" i="2"/>
  <c r="L563" i="2" s="1"/>
  <c r="J564" i="2"/>
  <c r="L564" i="2" s="1"/>
  <c r="J561" i="2"/>
  <c r="L561" i="2" s="1"/>
  <c r="J557" i="2"/>
  <c r="L557" i="2" s="1"/>
  <c r="J556" i="2"/>
  <c r="L556" i="2" s="1"/>
  <c r="J554" i="2"/>
  <c r="L554" i="2" s="1"/>
  <c r="J547" i="2"/>
  <c r="L547" i="2" s="1"/>
  <c r="J511" i="2"/>
  <c r="L511" i="2" s="1"/>
  <c r="J489" i="2"/>
  <c r="L489" i="2" s="1"/>
  <c r="J488" i="2"/>
  <c r="L488" i="2" s="1"/>
  <c r="J487" i="2"/>
  <c r="L487" i="2" s="1"/>
  <c r="J485" i="2"/>
  <c r="L485" i="2" s="1"/>
  <c r="J476" i="2"/>
  <c r="L476" i="2" s="1"/>
  <c r="J459" i="2"/>
  <c r="L459" i="2" s="1"/>
  <c r="J457" i="2"/>
  <c r="L457" i="2" s="1"/>
  <c r="J452" i="2"/>
  <c r="L452" i="2" s="1"/>
  <c r="J449" i="2"/>
  <c r="L449" i="2" s="1"/>
  <c r="J440" i="2"/>
  <c r="L440" i="2" s="1"/>
  <c r="J435" i="2"/>
  <c r="L435" i="2" s="1"/>
  <c r="J431" i="2"/>
  <c r="L431" i="2" s="1"/>
  <c r="J422" i="2"/>
  <c r="L422" i="2" s="1"/>
  <c r="J419" i="2"/>
  <c r="L419" i="2" s="1"/>
  <c r="J412" i="2"/>
  <c r="L412" i="2" s="1"/>
  <c r="J407" i="2"/>
  <c r="L407" i="2" s="1"/>
  <c r="J402" i="2"/>
  <c r="L402" i="2" s="1"/>
  <c r="J398" i="2"/>
  <c r="L398" i="2" s="1"/>
  <c r="J396" i="2"/>
  <c r="L396" i="2" s="1"/>
  <c r="J383" i="2"/>
  <c r="L383" i="2" s="1"/>
  <c r="J374" i="2"/>
  <c r="L374" i="2" s="1"/>
  <c r="J366" i="2"/>
  <c r="L366" i="2" s="1"/>
  <c r="J363" i="2"/>
  <c r="L363" i="2" s="1"/>
  <c r="J360" i="2"/>
  <c r="L360" i="2" s="1"/>
  <c r="J358" i="2"/>
  <c r="L358" i="2" s="1"/>
  <c r="J345" i="2"/>
  <c r="L345" i="2" s="1"/>
  <c r="J343" i="2"/>
  <c r="L343" i="2" s="1"/>
  <c r="J337" i="2"/>
  <c r="L337" i="2" s="1"/>
  <c r="J316" i="2"/>
  <c r="L316" i="2" s="1"/>
  <c r="J311" i="2"/>
  <c r="L311" i="2" s="1"/>
  <c r="J305" i="2"/>
  <c r="L305" i="2" s="1"/>
  <c r="J304" i="2"/>
  <c r="L304" i="2" s="1"/>
  <c r="J303" i="2"/>
  <c r="L303" i="2" s="1"/>
  <c r="J287" i="2"/>
  <c r="L287" i="2" s="1"/>
  <c r="J285" i="2"/>
  <c r="L285" i="2" s="1"/>
  <c r="J278" i="2"/>
  <c r="L278" i="2" s="1"/>
  <c r="J259" i="2"/>
  <c r="L259" i="2" s="1"/>
  <c r="J253" i="2"/>
  <c r="L253" i="2" s="1"/>
  <c r="J250" i="2"/>
  <c r="L250" i="2" s="1"/>
  <c r="J248" i="2"/>
  <c r="L248" i="2" s="1"/>
  <c r="J237" i="2"/>
  <c r="L237" i="2" s="1"/>
  <c r="J236" i="2"/>
  <c r="L236" i="2" s="1"/>
  <c r="J234" i="2"/>
  <c r="L234" i="2" s="1"/>
  <c r="J233" i="2"/>
  <c r="L233" i="2" s="1"/>
  <c r="J201" i="2"/>
  <c r="L201" i="2" s="1"/>
  <c r="J187" i="2"/>
  <c r="L187" i="2" s="1"/>
  <c r="J186" i="2"/>
  <c r="L186" i="2" s="1"/>
  <c r="J185" i="2"/>
  <c r="L185" i="2" s="1"/>
  <c r="J174" i="2"/>
  <c r="L174" i="2" s="1"/>
  <c r="J169" i="2"/>
  <c r="L169" i="2" s="1"/>
  <c r="J167" i="2"/>
  <c r="L167" i="2" s="1"/>
  <c r="J160" i="2"/>
  <c r="L160" i="2" s="1"/>
  <c r="J153" i="2"/>
  <c r="L153" i="2" s="1"/>
  <c r="J130" i="2"/>
  <c r="L130" i="2" s="1"/>
  <c r="J125" i="2"/>
  <c r="L125" i="2" s="1"/>
  <c r="J120" i="2"/>
  <c r="L120" i="2" s="1"/>
  <c r="J102" i="2"/>
  <c r="L102" i="2" s="1"/>
  <c r="J93" i="2"/>
  <c r="L93" i="2" s="1"/>
  <c r="J83" i="2"/>
  <c r="L83" i="2" s="1"/>
  <c r="J67" i="2"/>
  <c r="L67" i="2" s="1"/>
  <c r="J63" i="2"/>
  <c r="L63" i="2" s="1"/>
</calcChain>
</file>

<file path=xl/sharedStrings.xml><?xml version="1.0" encoding="utf-8"?>
<sst xmlns="http://schemas.openxmlformats.org/spreadsheetml/2006/main" count="12090" uniqueCount="1774">
  <si>
    <t>Order ID</t>
  </si>
  <si>
    <t>Order Date</t>
  </si>
  <si>
    <t>Customer Name</t>
  </si>
  <si>
    <t>Region</t>
  </si>
  <si>
    <t>Product Name</t>
  </si>
  <si>
    <t>Category</t>
  </si>
  <si>
    <t>Quantity</t>
  </si>
  <si>
    <t>Unit Price</t>
  </si>
  <si>
    <t>Discount %</t>
  </si>
  <si>
    <t>Total Revenue</t>
  </si>
  <si>
    <t>Profit</t>
  </si>
  <si>
    <t>Ship Mode</t>
  </si>
  <si>
    <t>ORD-10377</t>
  </si>
  <si>
    <t>Michelle Brown</t>
  </si>
  <si>
    <t>North</t>
  </si>
  <si>
    <t>Shampoo Organic</t>
  </si>
  <si>
    <t>Beauty</t>
  </si>
  <si>
    <t>Express</t>
  </si>
  <si>
    <t>ORD-10968</t>
  </si>
  <si>
    <t>Ashley Robinson</t>
  </si>
  <si>
    <t>East</t>
  </si>
  <si>
    <t>Body Lotion</t>
  </si>
  <si>
    <t>ORD-10934</t>
  </si>
  <si>
    <t>Susan Thomas</t>
  </si>
  <si>
    <t>South</t>
  </si>
  <si>
    <t>Face Mask Pack</t>
  </si>
  <si>
    <t>ORD-10084</t>
  </si>
  <si>
    <t>Karen Miller</t>
  </si>
  <si>
    <t>Nail Polish Set</t>
  </si>
  <si>
    <t>ORD-10904</t>
  </si>
  <si>
    <t>Mary Brown</t>
  </si>
  <si>
    <t>West</t>
  </si>
  <si>
    <t>Lip Balm Set</t>
  </si>
  <si>
    <t>Standard</t>
  </si>
  <si>
    <t>ORD-10698</t>
  </si>
  <si>
    <t>Andrew Wilson</t>
  </si>
  <si>
    <t>Central</t>
  </si>
  <si>
    <t>ORD-10557</t>
  </si>
  <si>
    <t>Thomas Moore</t>
  </si>
  <si>
    <t>Face Moisturizer</t>
  </si>
  <si>
    <t>ORD-10973</t>
  </si>
  <si>
    <t>Matthew Lewis</t>
  </si>
  <si>
    <t>ORD-10625</t>
  </si>
  <si>
    <t>Anthony Johnson</t>
  </si>
  <si>
    <t>Perfume Travel</t>
  </si>
  <si>
    <t>ORD-10886</t>
  </si>
  <si>
    <t>Robert Harris</t>
  </si>
  <si>
    <t>Hair Oil</t>
  </si>
  <si>
    <t>Same Day</t>
  </si>
  <si>
    <t>ORD-10889</t>
  </si>
  <si>
    <t>Michael Brown</t>
  </si>
  <si>
    <t>ORD-10572</t>
  </si>
  <si>
    <t>Christopher Thompson</t>
  </si>
  <si>
    <t>Sunscreen SPF50</t>
  </si>
  <si>
    <t>ORD-10567</t>
  </si>
  <si>
    <t>Lisa Brown</t>
  </si>
  <si>
    <t>ORD-10676</t>
  </si>
  <si>
    <t>Donna Garcia</t>
  </si>
  <si>
    <t>ORD-10058</t>
  </si>
  <si>
    <t>Linda Perez</t>
  </si>
  <si>
    <t>ORD-10007</t>
  </si>
  <si>
    <t>Donna Harris</t>
  </si>
  <si>
    <t>ORD-10848</t>
  </si>
  <si>
    <t>Michelle Williams</t>
  </si>
  <si>
    <t>ORD-10525</t>
  </si>
  <si>
    <t>Carol Robinson</t>
  </si>
  <si>
    <t>ORD-10412</t>
  </si>
  <si>
    <t>Nancy Harris</t>
  </si>
  <si>
    <t>Eye Cream</t>
  </si>
  <si>
    <t>ORD-10450</t>
  </si>
  <si>
    <t>Linda Williams</t>
  </si>
  <si>
    <t>ORD-10160</t>
  </si>
  <si>
    <t>Joshua Harris</t>
  </si>
  <si>
    <t>ORD-10626</t>
  </si>
  <si>
    <t>Donna Hernandez</t>
  </si>
  <si>
    <t>ORD-10513</t>
  </si>
  <si>
    <t>Barbara Hernandez</t>
  </si>
  <si>
    <t>ORD-10297</t>
  </si>
  <si>
    <t>Elizabeth Johnson</t>
  </si>
  <si>
    <t>ORD-10843</t>
  </si>
  <si>
    <t>Carol Wilson</t>
  </si>
  <si>
    <t>ORD-10575</t>
  </si>
  <si>
    <t>Richard White</t>
  </si>
  <si>
    <t>ORD-10063</t>
  </si>
  <si>
    <t>Carol Rodriguez</t>
  </si>
  <si>
    <t>ORD-10784</t>
  </si>
  <si>
    <t>Carol Martinez</t>
  </si>
  <si>
    <t>ORD-10500</t>
  </si>
  <si>
    <t>Thomas Williams</t>
  </si>
  <si>
    <t>ORD-10184</t>
  </si>
  <si>
    <t>Lisa Lewis</t>
  </si>
  <si>
    <t>ORD-10087</t>
  </si>
  <si>
    <t>Thomas White</t>
  </si>
  <si>
    <t>ORD-10799</t>
  </si>
  <si>
    <t>David Garcia</t>
  </si>
  <si>
    <t>ORD-10656</t>
  </si>
  <si>
    <t>Matthew Harris</t>
  </si>
  <si>
    <t>ORD-10497</t>
  </si>
  <si>
    <t>James Miller</t>
  </si>
  <si>
    <t>ORD-10126</t>
  </si>
  <si>
    <t>Richard Thompson</t>
  </si>
  <si>
    <t>ORD-10138</t>
  </si>
  <si>
    <t>Joseph Jones</t>
  </si>
  <si>
    <t>ORD-10685</t>
  </si>
  <si>
    <t>Kimberly Clark</t>
  </si>
  <si>
    <t>ORD-10318</t>
  </si>
  <si>
    <t>Betty Moore</t>
  </si>
  <si>
    <t>ORD-10510</t>
  </si>
  <si>
    <t>Barbara Sanchez</t>
  </si>
  <si>
    <t>ORD-10873</t>
  </si>
  <si>
    <t>David Davis</t>
  </si>
  <si>
    <t>ORD-10148</t>
  </si>
  <si>
    <t>Thomas Smith</t>
  </si>
  <si>
    <t>ORD-10748</t>
  </si>
  <si>
    <t>Mary Lopez</t>
  </si>
  <si>
    <t>ORD-10827</t>
  </si>
  <si>
    <t>Joseph Lopez</t>
  </si>
  <si>
    <t>ORD-10821</t>
  </si>
  <si>
    <t>Mark Williams</t>
  </si>
  <si>
    <t>ORD-10570</t>
  </si>
  <si>
    <t>Lisa Davis</t>
  </si>
  <si>
    <t>ORD-10591</t>
  </si>
  <si>
    <t>Sandra Jackson</t>
  </si>
  <si>
    <t>ORD-10104</t>
  </si>
  <si>
    <t>Emily Lee</t>
  </si>
  <si>
    <t>ORD-10405</t>
  </si>
  <si>
    <t>Anthony Smith</t>
  </si>
  <si>
    <t>ORD-10781</t>
  </si>
  <si>
    <t>Carol White</t>
  </si>
  <si>
    <t>ORD-10395</t>
  </si>
  <si>
    <t>Michelle Miller</t>
  </si>
  <si>
    <t>ORD-10085</t>
  </si>
  <si>
    <t>Mark Thomas</t>
  </si>
  <si>
    <t>ORD-10379</t>
  </si>
  <si>
    <t>Emily Hernandez</t>
  </si>
  <si>
    <t>ORD-10908</t>
  </si>
  <si>
    <t>Carol Perez</t>
  </si>
  <si>
    <t>ORD-10488</t>
  </si>
  <si>
    <t>James Anderson</t>
  </si>
  <si>
    <t>ORD-10550</t>
  </si>
  <si>
    <t>Mark Garcia</t>
  </si>
  <si>
    <t>ORD-10812</t>
  </si>
  <si>
    <t>Thomas Robinson</t>
  </si>
  <si>
    <t>ORD-10054</t>
  </si>
  <si>
    <t>Anthony Ramirez</t>
  </si>
  <si>
    <t>ORD-10093</t>
  </si>
  <si>
    <t>Linda Lee</t>
  </si>
  <si>
    <t>ORD-10381</t>
  </si>
  <si>
    <t>Donna Moore</t>
  </si>
  <si>
    <t>ORD-10687</t>
  </si>
  <si>
    <t>Andrew Perez</t>
  </si>
  <si>
    <t>ORD-10434</t>
  </si>
  <si>
    <t>Ashley Lee</t>
  </si>
  <si>
    <t>ORD-10094</t>
  </si>
  <si>
    <t>Susan Garcia</t>
  </si>
  <si>
    <t>ORD-10844</t>
  </si>
  <si>
    <t>Matthew Sanchez</t>
  </si>
  <si>
    <t>ORD-10317</t>
  </si>
  <si>
    <t>Nancy Davis</t>
  </si>
  <si>
    <t>ORD-10333</t>
  </si>
  <si>
    <t>Jessica Sanchez</t>
  </si>
  <si>
    <t>ORD-10801</t>
  </si>
  <si>
    <t>Lisa Robinson</t>
  </si>
  <si>
    <t>ORD-10853</t>
  </si>
  <si>
    <t>Betty Rodriguez</t>
  </si>
  <si>
    <t>ORD-10071</t>
  </si>
  <si>
    <t>Daniel Thomas</t>
  </si>
  <si>
    <t>ORD-10457</t>
  </si>
  <si>
    <t>William Lewis</t>
  </si>
  <si>
    <t>ORD-10403</t>
  </si>
  <si>
    <t>Kimberly Taylor</t>
  </si>
  <si>
    <t>ORD-10901</t>
  </si>
  <si>
    <t>Mary Moore</t>
  </si>
  <si>
    <t>ORD-10872</t>
  </si>
  <si>
    <t>Joseph Robinson</t>
  </si>
  <si>
    <t>ORD-10418</t>
  </si>
  <si>
    <t>Andrew Thompson</t>
  </si>
  <si>
    <t>ORD-10329</t>
  </si>
  <si>
    <t>Thomas Harris</t>
  </si>
  <si>
    <t>ORD-10622</t>
  </si>
  <si>
    <t>Elizabeth Gonzalez</t>
  </si>
  <si>
    <t>ORD-10275</t>
  </si>
  <si>
    <t>Linda Garcia</t>
  </si>
  <si>
    <t>ORD-10845</t>
  </si>
  <si>
    <t>Kenneth Williams</t>
  </si>
  <si>
    <t>ORD-10364</t>
  </si>
  <si>
    <t>Emily Lopez</t>
  </si>
  <si>
    <t>ORD-10163</t>
  </si>
  <si>
    <t>Elizabeth Williams</t>
  </si>
  <si>
    <t>ORD-10623</t>
  </si>
  <si>
    <t>Emily Martin</t>
  </si>
  <si>
    <t>ORD-10680</t>
  </si>
  <si>
    <t>Dorothy Martin</t>
  </si>
  <si>
    <t>ORD-10371</t>
  </si>
  <si>
    <t>Sandra Lee</t>
  </si>
  <si>
    <t>ORD-10435</t>
  </si>
  <si>
    <t>Jennifer Brown</t>
  </si>
  <si>
    <t>ORD-10272</t>
  </si>
  <si>
    <t>Donald Taylor</t>
  </si>
  <si>
    <t>ORD-10590</t>
  </si>
  <si>
    <t>Susan Smith</t>
  </si>
  <si>
    <t>ORD-10928</t>
  </si>
  <si>
    <t>William Perez</t>
  </si>
  <si>
    <t>ORD-10420</t>
  </si>
  <si>
    <t>Joseph Clark</t>
  </si>
  <si>
    <t>ORD-10002</t>
  </si>
  <si>
    <t>Linda Lewis</t>
  </si>
  <si>
    <t>ORD-10469</t>
  </si>
  <si>
    <t>Thomas Gonzalez</t>
  </si>
  <si>
    <t>ORD-10726</t>
  </si>
  <si>
    <t>Michael Smith</t>
  </si>
  <si>
    <t>ORD-10346</t>
  </si>
  <si>
    <t>Nancy Thompson</t>
  </si>
  <si>
    <t>ORD-10027</t>
  </si>
  <si>
    <t>Carol Davis</t>
  </si>
  <si>
    <t>ORD-10132</t>
  </si>
  <si>
    <t>Betty Lee</t>
  </si>
  <si>
    <t>ORD-10881</t>
  </si>
  <si>
    <t>Sarah Taylor</t>
  </si>
  <si>
    <t>ORD-10603</t>
  </si>
  <si>
    <t>Ashley Johnson</t>
  </si>
  <si>
    <t>ORD-10175</t>
  </si>
  <si>
    <t>Richard Brown</t>
  </si>
  <si>
    <t>ORD-10515</t>
  </si>
  <si>
    <t>Joshua Jackson</t>
  </si>
  <si>
    <t>ORD-10399</t>
  </si>
  <si>
    <t>Carol Ramirez</t>
  </si>
  <si>
    <t>ORD-10965</t>
  </si>
  <si>
    <t>Steven Lopez</t>
  </si>
  <si>
    <t>ORD-10665</t>
  </si>
  <si>
    <t>ORD-10815</t>
  </si>
  <si>
    <t>Kenneth Moore</t>
  </si>
  <si>
    <t>ORD-10226</t>
  </si>
  <si>
    <t>Barbara Brown</t>
  </si>
  <si>
    <t>ORD-10170</t>
  </si>
  <si>
    <t>Nancy Lopez</t>
  </si>
  <si>
    <t>ORD-10261</t>
  </si>
  <si>
    <t>Richard Jackson</t>
  </si>
  <si>
    <t>ORD-10448</t>
  </si>
  <si>
    <t>Michael Williams</t>
  </si>
  <si>
    <t>ORD-10499</t>
  </si>
  <si>
    <t>ORD-10070</t>
  </si>
  <si>
    <t>Richard Thomas</t>
  </si>
  <si>
    <t>ORD-10404</t>
  </si>
  <si>
    <t>Mary Anderson</t>
  </si>
  <si>
    <t>ORD-10921</t>
  </si>
  <si>
    <t>Richard Miller</t>
  </si>
  <si>
    <t>ORD-10511</t>
  </si>
  <si>
    <t>Susan White</t>
  </si>
  <si>
    <t>ORD-10229</t>
  </si>
  <si>
    <t>Sandra Robinson</t>
  </si>
  <si>
    <t>ORD-10292</t>
  </si>
  <si>
    <t>David Jackson</t>
  </si>
  <si>
    <t>ORD-10153</t>
  </si>
  <si>
    <t>James Brown</t>
  </si>
  <si>
    <t>ORD-10194</t>
  </si>
  <si>
    <t>Sarah Hernandez</t>
  </si>
  <si>
    <t>ORD-10319</t>
  </si>
  <si>
    <t>Sarah Jackson</t>
  </si>
  <si>
    <t>ORD-10960</t>
  </si>
  <si>
    <t>James Lee</t>
  </si>
  <si>
    <t>ORD-10167</t>
  </si>
  <si>
    <t>Ashley Thompson</t>
  </si>
  <si>
    <t>ORD-10990</t>
  </si>
  <si>
    <t>Daniel Hernandez</t>
  </si>
  <si>
    <t>ORD-10555</t>
  </si>
  <si>
    <t>Joshua Davis</t>
  </si>
  <si>
    <t>ORD-10026</t>
  </si>
  <si>
    <t>Ashley Garcia</t>
  </si>
  <si>
    <t>ORD-10146</t>
  </si>
  <si>
    <t>Sarah Clark</t>
  </si>
  <si>
    <t>ORD-10003</t>
  </si>
  <si>
    <t>Robert Smith</t>
  </si>
  <si>
    <t>ORD-10366</t>
  </si>
  <si>
    <t>Anthony Lopez</t>
  </si>
  <si>
    <t>ORD-10288</t>
  </si>
  <si>
    <t>Dorothy Rodriguez</t>
  </si>
  <si>
    <t>ORD-10430</t>
  </si>
  <si>
    <t>David Jones</t>
  </si>
  <si>
    <t>ORD-10357</t>
  </si>
  <si>
    <t>Linda Clark</t>
  </si>
  <si>
    <t>ORD-10528</t>
  </si>
  <si>
    <t>ORD-10156</t>
  </si>
  <si>
    <t>Daniel Johnson</t>
  </si>
  <si>
    <t>ORD-10947</t>
  </si>
  <si>
    <t>Thomas Thompson</t>
  </si>
  <si>
    <t>ORD-10222</t>
  </si>
  <si>
    <t>Jennifer Lopez</t>
  </si>
  <si>
    <t>ORD-10365</t>
  </si>
  <si>
    <t>Christopher Gonzalez</t>
  </si>
  <si>
    <t>ORD-10731</t>
  </si>
  <si>
    <t>Lisa Jones</t>
  </si>
  <si>
    <t>ORD-10832</t>
  </si>
  <si>
    <t>Andrew Smith</t>
  </si>
  <si>
    <t>ORD-10693</t>
  </si>
  <si>
    <t>Betty Taylor</t>
  </si>
  <si>
    <t>ORD-10409</t>
  </si>
  <si>
    <t>James Jackson</t>
  </si>
  <si>
    <t>ORD-10895</t>
  </si>
  <si>
    <t>Michael Jackson</t>
  </si>
  <si>
    <t>ORD-10935</t>
  </si>
  <si>
    <t>Lisa Perez</t>
  </si>
  <si>
    <t>ORD-10670</t>
  </si>
  <si>
    <t>Richard Martin</t>
  </si>
  <si>
    <t>ORD-10614</t>
  </si>
  <si>
    <t>Jennifer Jones</t>
  </si>
  <si>
    <t>ORD-10633</t>
  </si>
  <si>
    <t>Susan Taylor</t>
  </si>
  <si>
    <t>ORD-10752</t>
  </si>
  <si>
    <t>Elizabeth Smith</t>
  </si>
  <si>
    <t>ORD-10296</t>
  </si>
  <si>
    <t>Daniel Taylor</t>
  </si>
  <si>
    <t>ORD-10793</t>
  </si>
  <si>
    <t>Jessica Rodriguez</t>
  </si>
  <si>
    <t>ORD-10284</t>
  </si>
  <si>
    <t>Dorothy Sanchez</t>
  </si>
  <si>
    <t>ORD-10075</t>
  </si>
  <si>
    <t>William Martinez</t>
  </si>
  <si>
    <t>ORD-10589</t>
  </si>
  <si>
    <t>Barbara Johnson</t>
  </si>
  <si>
    <t>ORD-10666</t>
  </si>
  <si>
    <t>Christopher Martin</t>
  </si>
  <si>
    <t>ORD-10849</t>
  </si>
  <si>
    <t>Joseph Brown</t>
  </si>
  <si>
    <t>ORD-10598</t>
  </si>
  <si>
    <t>Kimberly Martin</t>
  </si>
  <si>
    <t>ORD-10021</t>
  </si>
  <si>
    <t>Michelle Jackson</t>
  </si>
  <si>
    <t>ORD-10081</t>
  </si>
  <si>
    <t>Elizabeth Anderson</t>
  </si>
  <si>
    <t>ORD-10606</t>
  </si>
  <si>
    <t>Linda Martinez</t>
  </si>
  <si>
    <t>ORD-10490</t>
  </si>
  <si>
    <t>Joseph Taylor</t>
  </si>
  <si>
    <t>ORD-10735</t>
  </si>
  <si>
    <t>Joshua Taylor</t>
  </si>
  <si>
    <t>ORD-10669</t>
  </si>
  <si>
    <t>Lisa Lopez</t>
  </si>
  <si>
    <t>ORD-10524</t>
  </si>
  <si>
    <t>David Perez</t>
  </si>
  <si>
    <t>ORD-10407</t>
  </si>
  <si>
    <t>Paul Anderson</t>
  </si>
  <si>
    <t>ORD-10464</t>
  </si>
  <si>
    <t>Joshua Lee</t>
  </si>
  <si>
    <t>ORD-10090</t>
  </si>
  <si>
    <t>Betty Anderson</t>
  </si>
  <si>
    <t>ORD-10596</t>
  </si>
  <si>
    <t>ORD-10694</t>
  </si>
  <si>
    <t>Joseph White</t>
  </si>
  <si>
    <t>ORD-10113</t>
  </si>
  <si>
    <t>Barbara Wilson</t>
  </si>
  <si>
    <t>ORD-10023</t>
  </si>
  <si>
    <t>Karen Brown</t>
  </si>
  <si>
    <t>ORD-10386</t>
  </si>
  <si>
    <t>Kevin Jones</t>
  </si>
  <si>
    <t>ORD-10847</t>
  </si>
  <si>
    <t>Daniel Ramirez</t>
  </si>
  <si>
    <t>ORD-10662</t>
  </si>
  <si>
    <t>William Thompson</t>
  </si>
  <si>
    <t>ORD-10455</t>
  </si>
  <si>
    <t>ORD-10702</t>
  </si>
  <si>
    <t>Kenneth Harris</t>
  </si>
  <si>
    <t>ORD-10178</t>
  </si>
  <si>
    <t>Carol Sanchez</t>
  </si>
  <si>
    <t>ORD-10047</t>
  </si>
  <si>
    <t>ORD-10635</t>
  </si>
  <si>
    <t>Robert Brown</t>
  </si>
  <si>
    <t>ORD-10760</t>
  </si>
  <si>
    <t>Michael Lee</t>
  </si>
  <si>
    <t>ORD-10040</t>
  </si>
  <si>
    <t>Joseph Williams</t>
  </si>
  <si>
    <t>ORD-10295</t>
  </si>
  <si>
    <t>William Rodriguez</t>
  </si>
  <si>
    <t>ORD-10720</t>
  </si>
  <si>
    <t>Emily Perez</t>
  </si>
  <si>
    <t>ORD-10149</t>
  </si>
  <si>
    <t>Thomas Brown</t>
  </si>
  <si>
    <t>ORD-10668</t>
  </si>
  <si>
    <t>Ashley Wilson</t>
  </si>
  <si>
    <t>ORD-10733</t>
  </si>
  <si>
    <t>Dorothy Wilson</t>
  </si>
  <si>
    <t>ORD-10423</t>
  </si>
  <si>
    <t>Joshua Johnson</t>
  </si>
  <si>
    <t>ORD-10924</t>
  </si>
  <si>
    <t>Ashley Brown</t>
  </si>
  <si>
    <t>ORD-10406</t>
  </si>
  <si>
    <t>Joshua Lewis</t>
  </si>
  <si>
    <t>ORD-10131</t>
  </si>
  <si>
    <t>Kevin Martinez</t>
  </si>
  <si>
    <t>ORD-10912</t>
  </si>
  <si>
    <t>Joseph Ramirez</t>
  </si>
  <si>
    <t>ORD-10756</t>
  </si>
  <si>
    <t>ORD-10337</t>
  </si>
  <si>
    <t>Matthew Smith</t>
  </si>
  <si>
    <t>ORD-10387</t>
  </si>
  <si>
    <t>ORD-10462</t>
  </si>
  <si>
    <t>Donna White</t>
  </si>
  <si>
    <t>ORD-10444</t>
  </si>
  <si>
    <t>ORD-10136</t>
  </si>
  <si>
    <t>Barbara Martinez</t>
  </si>
  <si>
    <t>ORD-10724</t>
  </si>
  <si>
    <t>Linda Gonzalez</t>
  </si>
  <si>
    <t>ORD-10135</t>
  </si>
  <si>
    <t>ORD-10415</t>
  </si>
  <si>
    <t>Thomas Johnson</t>
  </si>
  <si>
    <t>ORD-10458</t>
  </si>
  <si>
    <t>ORD-10223</t>
  </si>
  <si>
    <t>Betty Ramirez</t>
  </si>
  <si>
    <t>ORD-10683</t>
  </si>
  <si>
    <t>Mark Lewis</t>
  </si>
  <si>
    <t>ORD-10286</t>
  </si>
  <si>
    <t>Mark Jackson</t>
  </si>
  <si>
    <t>ORD-10988</t>
  </si>
  <si>
    <t>ORD-10638</t>
  </si>
  <si>
    <t>Emily Brown</t>
  </si>
  <si>
    <t>ORD-10870</t>
  </si>
  <si>
    <t>Karen Martinez</t>
  </si>
  <si>
    <t>ORD-10254</t>
  </si>
  <si>
    <t>ORD-10718</t>
  </si>
  <si>
    <t>ORD-10758</t>
  </si>
  <si>
    <t>Donna Martin</t>
  </si>
  <si>
    <t>ORD-10554</t>
  </si>
  <si>
    <t>William Williams</t>
  </si>
  <si>
    <t>ORD-10323</t>
  </si>
  <si>
    <t>Paul Thomas</t>
  </si>
  <si>
    <t>ORD-10787</t>
  </si>
  <si>
    <t>Sarah Lee</t>
  </si>
  <si>
    <t>ORD-10255</t>
  </si>
  <si>
    <t>ORD-10483</t>
  </si>
  <si>
    <t>Sarah Thompson</t>
  </si>
  <si>
    <t>ORD-10561</t>
  </si>
  <si>
    <t>Steven Clark</t>
  </si>
  <si>
    <t>ORD-10067</t>
  </si>
  <si>
    <t>Kimberly Jones</t>
  </si>
  <si>
    <t>ORD-10739</t>
  </si>
  <si>
    <t>Karen Gonzalez</t>
  </si>
  <si>
    <t>ORD-10279</t>
  </si>
  <si>
    <t>Mary Martinez</t>
  </si>
  <si>
    <t>ORD-10154</t>
  </si>
  <si>
    <t>Sandra Lopez</t>
  </si>
  <si>
    <t>ORD-10339</t>
  </si>
  <si>
    <t>Kenneth Clark</t>
  </si>
  <si>
    <t>ORD-10110</t>
  </si>
  <si>
    <t>Joseph Sanchez</t>
  </si>
  <si>
    <t>ORD-10728</t>
  </si>
  <si>
    <t>ORD-10690</t>
  </si>
  <si>
    <t>Michael Miller</t>
  </si>
  <si>
    <t>ORD-10637</t>
  </si>
  <si>
    <t>Ashley Martinez</t>
  </si>
  <si>
    <t>ORD-10206</t>
  </si>
  <si>
    <t>Mark Davis</t>
  </si>
  <si>
    <t>ORD-10211</t>
  </si>
  <si>
    <t>James Smith</t>
  </si>
  <si>
    <t>ORD-10970</t>
  </si>
  <si>
    <t>Kimberly Wilson</t>
  </si>
  <si>
    <t>ORD-10878</t>
  </si>
  <si>
    <t>Mary Ramirez</t>
  </si>
  <si>
    <t>ORD-10867</t>
  </si>
  <si>
    <t>Ashley Martin</t>
  </si>
  <si>
    <t>ORD-10563</t>
  </si>
  <si>
    <t>Thomas Davis</t>
  </si>
  <si>
    <t>ORD-10582</t>
  </si>
  <si>
    <t>Matthew Gonzalez</t>
  </si>
  <si>
    <t>ORD-10532</t>
  </si>
  <si>
    <t>Andrew White</t>
  </si>
  <si>
    <t>ORD-10630</t>
  </si>
  <si>
    <t>Joseph Anderson</t>
  </si>
  <si>
    <t>ORD-10443</t>
  </si>
  <si>
    <t>ORD-10592</t>
  </si>
  <si>
    <t>Robert Jones</t>
  </si>
  <si>
    <t>ORD-10428</t>
  </si>
  <si>
    <t>James Ramirez</t>
  </si>
  <si>
    <t>ORD-10363</t>
  </si>
  <si>
    <t>ORD-10285</t>
  </si>
  <si>
    <t>Kimberly Miller</t>
  </si>
  <si>
    <t>ORD-10052</t>
  </si>
  <si>
    <t>Betty Harris</t>
  </si>
  <si>
    <t>ORD-10267</t>
  </si>
  <si>
    <t>Anthony Harris</t>
  </si>
  <si>
    <t>Polo Shirt</t>
  </si>
  <si>
    <t>Clothing</t>
  </si>
  <si>
    <t>ORD-10106</t>
  </si>
  <si>
    <t>Barbara Lewis</t>
  </si>
  <si>
    <t>Yoga Pants</t>
  </si>
  <si>
    <t>ORD-10059</t>
  </si>
  <si>
    <t>ORD-10143</t>
  </si>
  <si>
    <t>Running Shoes</t>
  </si>
  <si>
    <t>ORD-10729</t>
  </si>
  <si>
    <t>Andrew Harris</t>
  </si>
  <si>
    <t>Cotton T-Shirt</t>
  </si>
  <si>
    <t>ORD-10360</t>
  </si>
  <si>
    <t>Daniel Smith</t>
  </si>
  <si>
    <t>ORD-10667</t>
  </si>
  <si>
    <t>Sandra Anderson</t>
  </si>
  <si>
    <t>ORD-10239</t>
  </si>
  <si>
    <t>Sarah Johnson</t>
  </si>
  <si>
    <t>Athletic Socks</t>
  </si>
  <si>
    <t>ORD-10743</t>
  </si>
  <si>
    <t>ORD-10359</t>
  </si>
  <si>
    <t>Linda Harris</t>
  </si>
  <si>
    <t>Rain Jacket</t>
  </si>
  <si>
    <t>ORD-10029</t>
  </si>
  <si>
    <t>Andrew Brown</t>
  </si>
  <si>
    <t>Casual Sneakers</t>
  </si>
  <si>
    <t>ORD-10468</t>
  </si>
  <si>
    <t>Wool Sweater</t>
  </si>
  <si>
    <t>ORD-10352</t>
  </si>
  <si>
    <t>Joseph Lee</t>
  </si>
  <si>
    <t>ORD-10035</t>
  </si>
  <si>
    <t>Susan Clark</t>
  </si>
  <si>
    <t>ORD-10640</t>
  </si>
  <si>
    <t>Dorothy Lewis</t>
  </si>
  <si>
    <t>ORD-10305</t>
  </si>
  <si>
    <t>Joseph Gonzalez</t>
  </si>
  <si>
    <t>Denim Jacket</t>
  </si>
  <si>
    <t>ORD-10066</t>
  </si>
  <si>
    <t>ORD-10791</t>
  </si>
  <si>
    <t>ORD-10765</t>
  </si>
  <si>
    <t>Jennifer Perez</t>
  </si>
  <si>
    <t>ORD-10854</t>
  </si>
  <si>
    <t>William Wilson</t>
  </si>
  <si>
    <t>ORD-10249</t>
  </si>
  <si>
    <t>ORD-10503</t>
  </si>
  <si>
    <t>Jessica Harris</t>
  </si>
  <si>
    <t>ORD-10467</t>
  </si>
  <si>
    <t>Dorothy Johnson</t>
  </si>
  <si>
    <t>ORD-10144</t>
  </si>
  <si>
    <t>Richard Gonzalez</t>
  </si>
  <si>
    <t>ORD-10340</t>
  </si>
  <si>
    <t>Donna Lee</t>
  </si>
  <si>
    <t>ORD-10902</t>
  </si>
  <si>
    <t>Susan Lopez</t>
  </si>
  <si>
    <t>ORD-10414</t>
  </si>
  <si>
    <t>Richard Moore</t>
  </si>
  <si>
    <t>ORD-10522</t>
  </si>
  <si>
    <t>Sarah Miller</t>
  </si>
  <si>
    <t>ORD-10396</t>
  </si>
  <si>
    <t>James Jones</t>
  </si>
  <si>
    <t>ORD-10842</t>
  </si>
  <si>
    <t>Matthew Wilson</t>
  </si>
  <si>
    <t>ORD-10137</t>
  </si>
  <si>
    <t>Michael Ramirez</t>
  </si>
  <si>
    <t>ORD-10322</t>
  </si>
  <si>
    <t>Karen Lewis</t>
  </si>
  <si>
    <t>ORD-10064</t>
  </si>
  <si>
    <t>Mark Smith</t>
  </si>
  <si>
    <t>Cargo Shorts</t>
  </si>
  <si>
    <t>ORD-10689</t>
  </si>
  <si>
    <t>Paul Hernandez</t>
  </si>
  <si>
    <t>ORD-10628</t>
  </si>
  <si>
    <t>Kimberly Lopez</t>
  </si>
  <si>
    <t>ORD-10338</t>
  </si>
  <si>
    <t>Christopher Rodriguez</t>
  </si>
  <si>
    <t>ORD-10384</t>
  </si>
  <si>
    <t>Richard Davis</t>
  </si>
  <si>
    <t>ORD-10536</t>
  </si>
  <si>
    <t>David Harris</t>
  </si>
  <si>
    <t>ORD-10114</t>
  </si>
  <si>
    <t>ORD-10777</t>
  </si>
  <si>
    <t>James Moore</t>
  </si>
  <si>
    <t>ORD-10082</t>
  </si>
  <si>
    <t>Steven Harris</t>
  </si>
  <si>
    <t>ORD-10600</t>
  </si>
  <si>
    <t>Michelle Perez</t>
  </si>
  <si>
    <t>ORD-10708</t>
  </si>
  <si>
    <t>Paul Taylor</t>
  </si>
  <si>
    <t>ORD-10822</t>
  </si>
  <si>
    <t>Dorothy Hernandez</t>
  </si>
  <si>
    <t>ORD-10089</t>
  </si>
  <si>
    <t>Kimberly Martinez</t>
  </si>
  <si>
    <t>ORD-10673</t>
  </si>
  <si>
    <t>Lisa Ramirez</t>
  </si>
  <si>
    <t>ORD-10913</t>
  </si>
  <si>
    <t>Nancy Miller</t>
  </si>
  <si>
    <t>ORD-10995</t>
  </si>
  <si>
    <t>Joshua Brown</t>
  </si>
  <si>
    <t>ORD-10061</t>
  </si>
  <si>
    <t>Carol Lopez</t>
  </si>
  <si>
    <t>ORD-10671</t>
  </si>
  <si>
    <t>Michelle Thompson</t>
  </si>
  <si>
    <t>ORD-10098</t>
  </si>
  <si>
    <t>Karen Garcia</t>
  </si>
  <si>
    <t>ORD-10892</t>
  </si>
  <si>
    <t>Robert Taylor</t>
  </si>
  <si>
    <t>ORD-10009</t>
  </si>
  <si>
    <t>Emily Ramirez</t>
  </si>
  <si>
    <t>ORD-10358</t>
  </si>
  <si>
    <t>Sarah Anderson</t>
  </si>
  <si>
    <t>ORD-10174</t>
  </si>
  <si>
    <t>ORD-10539</t>
  </si>
  <si>
    <t>Mark Robinson</t>
  </si>
  <si>
    <t>ORD-10806</t>
  </si>
  <si>
    <t>Thomas Taylor</t>
  </si>
  <si>
    <t>ORD-10431</t>
  </si>
  <si>
    <t>Susan Thompson</t>
  </si>
  <si>
    <t>ORD-10738</t>
  </si>
  <si>
    <t>Andrew Jackson</t>
  </si>
  <si>
    <t>ORD-10498</t>
  </si>
  <si>
    <t>Steven Ramirez</t>
  </si>
  <si>
    <t>ORD-10944</t>
  </si>
  <si>
    <t>Robert Moore</t>
  </si>
  <si>
    <t>ORD-10311</t>
  </si>
  <si>
    <t>Thomas Martinez</t>
  </si>
  <si>
    <t>ORD-10617</t>
  </si>
  <si>
    <t>Kevin Clark</t>
  </si>
  <si>
    <t>ORD-10910</t>
  </si>
  <si>
    <t>Lisa Thomas</t>
  </si>
  <si>
    <t>ORD-10677</t>
  </si>
  <si>
    <t>David Brown</t>
  </si>
  <si>
    <t>ORD-10453</t>
  </si>
  <si>
    <t>ORD-10907</t>
  </si>
  <si>
    <t>ORD-10953</t>
  </si>
  <si>
    <t>Kimberly Thompson</t>
  </si>
  <si>
    <t>ORD-10479</t>
  </si>
  <si>
    <t>Robert Anderson</t>
  </si>
  <si>
    <t>ORD-10716</t>
  </si>
  <si>
    <t>Kimberly Harris</t>
  </si>
  <si>
    <t>ORD-10732</t>
  </si>
  <si>
    <t>Matthew Rodriguez</t>
  </si>
  <si>
    <t>ORD-10472</t>
  </si>
  <si>
    <t>Daniel Clark</t>
  </si>
  <si>
    <t>ORD-10811</t>
  </si>
  <si>
    <t>Donna Davis</t>
  </si>
  <si>
    <t>ORD-10682</t>
  </si>
  <si>
    <t>Lisa Miller</t>
  </si>
  <si>
    <t>ORD-10700</t>
  </si>
  <si>
    <t>James Sanchez</t>
  </si>
  <si>
    <t>ORD-10413</t>
  </si>
  <si>
    <t>Donald Lopez</t>
  </si>
  <si>
    <t>ORD-10281</t>
  </si>
  <si>
    <t>Karen Smith</t>
  </si>
  <si>
    <t>ORD-10770</t>
  </si>
  <si>
    <t>Jennifer Ramirez</t>
  </si>
  <si>
    <t>ORD-10355</t>
  </si>
  <si>
    <t>ORD-10894</t>
  </si>
  <si>
    <t>Robert Hernandez</t>
  </si>
  <si>
    <t>ORD-10779</t>
  </si>
  <si>
    <t>Linda Ramirez</t>
  </si>
  <si>
    <t>ORD-10996</t>
  </si>
  <si>
    <t>Mary Thomas</t>
  </si>
  <si>
    <t>ORD-10390</t>
  </si>
  <si>
    <t>Emily Sanchez</t>
  </si>
  <si>
    <t>ORD-10888</t>
  </si>
  <si>
    <t>Jessica Jackson</t>
  </si>
  <si>
    <t>ORD-10176</t>
  </si>
  <si>
    <t>Susan Johnson</t>
  </si>
  <si>
    <t>ORD-10351</t>
  </si>
  <si>
    <t>Sandra Brown</t>
  </si>
  <si>
    <t>ORD-10251</t>
  </si>
  <si>
    <t>ORD-10868</t>
  </si>
  <si>
    <t>Jessica Smith</t>
  </si>
  <si>
    <t>ORD-10460</t>
  </si>
  <si>
    <t>Paul Garcia</t>
  </si>
  <si>
    <t>ORD-10976</t>
  </si>
  <si>
    <t>Dorothy Lee</t>
  </si>
  <si>
    <t>ORD-10803</t>
  </si>
  <si>
    <t>Christopher Wilson</t>
  </si>
  <si>
    <t>ORD-10248</t>
  </si>
  <si>
    <t>Jennifer Wilson</t>
  </si>
  <si>
    <t>ORD-10753</t>
  </si>
  <si>
    <t>Mark Thompson</t>
  </si>
  <si>
    <t>ORD-10310</t>
  </si>
  <si>
    <t>ORD-10852</t>
  </si>
  <si>
    <t>Linda Wilson</t>
  </si>
  <si>
    <t>ORD-10605</t>
  </si>
  <si>
    <t>Daniel Thompson</t>
  </si>
  <si>
    <t>ORD-10101</t>
  </si>
  <si>
    <t>Karen Williams</t>
  </si>
  <si>
    <t>ORD-10929</t>
  </si>
  <si>
    <t>Joseph Martin</t>
  </si>
  <si>
    <t>ORD-10316</t>
  </si>
  <si>
    <t>Daniel Lee</t>
  </si>
  <si>
    <t>ORD-10785</t>
  </si>
  <si>
    <t>ORD-10971</t>
  </si>
  <si>
    <t>Kenneth Robinson</t>
  </si>
  <si>
    <t>ORD-10542</t>
  </si>
  <si>
    <t>Jessica Moore</t>
  </si>
  <si>
    <t>ORD-10527</t>
  </si>
  <si>
    <t>Paul Rodriguez</t>
  </si>
  <si>
    <t>ORD-10725</t>
  </si>
  <si>
    <t>Richard Rodriguez</t>
  </si>
  <si>
    <t>ORD-10341</t>
  </si>
  <si>
    <t>ORD-10127</t>
  </si>
  <si>
    <t>ORD-10326</t>
  </si>
  <si>
    <t>Carol Clark</t>
  </si>
  <si>
    <t>ORD-10303</t>
  </si>
  <si>
    <t>ORD-10282</t>
  </si>
  <si>
    <t>ORD-10645</t>
  </si>
  <si>
    <t>ORD-10678</t>
  </si>
  <si>
    <t>Elizabeth Martin</t>
  </si>
  <si>
    <t>ORD-10879</t>
  </si>
  <si>
    <t>Kevin Martin</t>
  </si>
  <si>
    <t>ORD-10581</t>
  </si>
  <si>
    <t>Matthew Taylor</t>
  </si>
  <si>
    <t>ORD-10095</t>
  </si>
  <si>
    <t>Donna Wilson</t>
  </si>
  <si>
    <t>ORD-10750</t>
  </si>
  <si>
    <t>Thomas Anderson</t>
  </si>
  <si>
    <t>ORD-10470</t>
  </si>
  <si>
    <t>Matthew Robinson</t>
  </si>
  <si>
    <t>ORD-10348</t>
  </si>
  <si>
    <t>ORD-10274</t>
  </si>
  <si>
    <t>Ashley Ramirez</t>
  </si>
  <si>
    <t>ORD-10896</t>
  </si>
  <si>
    <t>ORD-10994</t>
  </si>
  <si>
    <t>Lisa Wilson</t>
  </si>
  <si>
    <t>ORD-10529</t>
  </si>
  <si>
    <t>Jennifer Thompson</t>
  </si>
  <si>
    <t>ORD-10495</t>
  </si>
  <si>
    <t>Kevin White</t>
  </si>
  <si>
    <t>ORD-10330</t>
  </si>
  <si>
    <t>ORD-10941</t>
  </si>
  <si>
    <t>Betty Brown</t>
  </si>
  <si>
    <t>ORD-10147</t>
  </si>
  <si>
    <t>ORD-10232</t>
  </si>
  <si>
    <t>Carol Johnson</t>
  </si>
  <si>
    <t>ORD-10294</t>
  </si>
  <si>
    <t>Robert Lewis</t>
  </si>
  <si>
    <t>ORD-10516</t>
  </si>
  <si>
    <t>ORD-10491</t>
  </si>
  <si>
    <t>Karen Perez</t>
  </si>
  <si>
    <t>ORD-10077</t>
  </si>
  <si>
    <t>Richard Smith</t>
  </si>
  <si>
    <t>ORD-10958</t>
  </si>
  <si>
    <t>Jennifer Johnson</t>
  </si>
  <si>
    <t>ORD-10220</t>
  </si>
  <si>
    <t>Linda Anderson</t>
  </si>
  <si>
    <t>ORD-10543</t>
  </si>
  <si>
    <t>ORD-10833</t>
  </si>
  <si>
    <t>Robert Perez</t>
  </si>
  <si>
    <t>ORD-10594</t>
  </si>
  <si>
    <t>Emily Garcia</t>
  </si>
  <si>
    <t>ORD-10704</t>
  </si>
  <si>
    <t>Kimberly Jackson</t>
  </si>
  <si>
    <t>ORD-10197</t>
  </si>
  <si>
    <t>Michelle Sanchez</t>
  </si>
  <si>
    <t>ORD-10514</t>
  </si>
  <si>
    <t>Joshua Thompson</t>
  </si>
  <si>
    <t>ORD-10595</t>
  </si>
  <si>
    <t>Michael Hernandez</t>
  </si>
  <si>
    <t>ORD-10613</t>
  </si>
  <si>
    <t>ORD-10657</t>
  </si>
  <si>
    <t>Paul Lee</t>
  </si>
  <si>
    <t>ORD-10593</t>
  </si>
  <si>
    <t>Steven Wilson</t>
  </si>
  <si>
    <t>ORD-10161</t>
  </si>
  <si>
    <t>Elizabeth Jackson</t>
  </si>
  <si>
    <t>ORD-10583</t>
  </si>
  <si>
    <t>David White</t>
  </si>
  <si>
    <t>ORD-10056</t>
  </si>
  <si>
    <t>Robert Garcia</t>
  </si>
  <si>
    <t>ORD-10945</t>
  </si>
  <si>
    <t>ORD-10798</t>
  </si>
  <si>
    <t>Paul Miller</t>
  </si>
  <si>
    <t>ORD-10017</t>
  </si>
  <si>
    <t>Linda Davis</t>
  </si>
  <si>
    <t>ORD-10982</t>
  </si>
  <si>
    <t>Lisa Smith</t>
  </si>
  <si>
    <t>ORD-10998</t>
  </si>
  <si>
    <t>Mary Miller</t>
  </si>
  <si>
    <t>ORD-10262</t>
  </si>
  <si>
    <t>Jennifer Robinson</t>
  </si>
  <si>
    <t>ORD-10734</t>
  </si>
  <si>
    <t>ORD-10696</t>
  </si>
  <si>
    <t>Kenneth Thompson</t>
  </si>
  <si>
    <t>ORD-10314</t>
  </si>
  <si>
    <t>ORD-10762</t>
  </si>
  <si>
    <t>ORD-10663</t>
  </si>
  <si>
    <t>ORD-10277</t>
  </si>
  <si>
    <t>Barbara Lee</t>
  </si>
  <si>
    <t>ORD-10993</t>
  </si>
  <si>
    <t>ORD-10925</t>
  </si>
  <si>
    <t>Joseph Garcia</t>
  </si>
  <si>
    <t>ORD-10540</t>
  </si>
  <si>
    <t>David Smith</t>
  </si>
  <si>
    <t>ORD-10650</t>
  </si>
  <si>
    <t>Christopher Clark</t>
  </si>
  <si>
    <t>ORD-10559</t>
  </si>
  <si>
    <t>Kenneth Gonzalez</t>
  </si>
  <si>
    <t>ORD-10151</t>
  </si>
  <si>
    <t>ORD-10794</t>
  </si>
  <si>
    <t>Steven Miller</t>
  </si>
  <si>
    <t>ORD-10032</t>
  </si>
  <si>
    <t>Nancy Martinez</t>
  </si>
  <si>
    <t>ORD-10024</t>
  </si>
  <si>
    <t>Joshua Garcia</t>
  </si>
  <si>
    <t>ORD-10610</t>
  </si>
  <si>
    <t>ORD-10911</t>
  </si>
  <si>
    <t>Joshua Clark</t>
  </si>
  <si>
    <t>ORD-10930</t>
  </si>
  <si>
    <t>Jennifer Davis</t>
  </si>
  <si>
    <t>ORD-10150</t>
  </si>
  <si>
    <t>Emily Thompson</t>
  </si>
  <si>
    <t>ORD-10517</t>
  </si>
  <si>
    <t>Carol Smith</t>
  </si>
  <si>
    <t>ORD-10112</t>
  </si>
  <si>
    <t>Lisa Lee</t>
  </si>
  <si>
    <t>ORD-10629</t>
  </si>
  <si>
    <t>Sarah Perez</t>
  </si>
  <si>
    <t>ORD-10476</t>
  </si>
  <si>
    <t>Thomas Jones</t>
  </si>
  <si>
    <t>ORD-10173</t>
  </si>
  <si>
    <t>ORD-10426</t>
  </si>
  <si>
    <t>Richard Harris</t>
  </si>
  <si>
    <t>ORD-10068</t>
  </si>
  <si>
    <t>Betty Garcia</t>
  </si>
  <si>
    <t>ORD-10992</t>
  </si>
  <si>
    <t>ORD-10231</t>
  </si>
  <si>
    <t>Steven Brown</t>
  </si>
  <si>
    <t>ORD-10190</t>
  </si>
  <si>
    <t>Nancy Martin</t>
  </si>
  <si>
    <t>ORD-10321</t>
  </si>
  <si>
    <t>ORD-10817</t>
  </si>
  <si>
    <t>Barbara Jones</t>
  </si>
  <si>
    <t>ORD-10299</t>
  </si>
  <si>
    <t>ORD-10422</t>
  </si>
  <si>
    <t>Robert Martin</t>
  </si>
  <si>
    <t>ORD-10707</t>
  </si>
  <si>
    <t>Kevin Rodriguez</t>
  </si>
  <si>
    <t>ORD-10012</t>
  </si>
  <si>
    <t>Anthony Lee</t>
  </si>
  <si>
    <t>ORD-10840</t>
  </si>
  <si>
    <t>ORD-10512</t>
  </si>
  <si>
    <t>Robert Lee</t>
  </si>
  <si>
    <t>ORD-10179</t>
  </si>
  <si>
    <t>ORD-10795</t>
  </si>
  <si>
    <t>Elizabeth Harris</t>
  </si>
  <si>
    <t>ORD-10482</t>
  </si>
  <si>
    <t>Kimberly Johnson</t>
  </si>
  <si>
    <t>ORD-10887</t>
  </si>
  <si>
    <t>ORD-10209</t>
  </si>
  <si>
    <t>Linda Hernandez</t>
  </si>
  <si>
    <t>Mouse Wireless</t>
  </si>
  <si>
    <t>Electronics</t>
  </si>
  <si>
    <t>ORD-10621</t>
  </si>
  <si>
    <t>Portable Charger</t>
  </si>
  <si>
    <t>ORD-10302</t>
  </si>
  <si>
    <t>USB-C Hub</t>
  </si>
  <si>
    <t>ORD-10981</t>
  </si>
  <si>
    <t>Jennifer Taylor</t>
  </si>
  <si>
    <t>Keyboard Mechanical</t>
  </si>
  <si>
    <t>ORD-10800</t>
  </si>
  <si>
    <t>Linda Rodriguez</t>
  </si>
  <si>
    <t>Tablet Case</t>
  </si>
  <si>
    <t>ORD-10737</t>
  </si>
  <si>
    <t>Joseph Thompson</t>
  </si>
  <si>
    <t>Laptop Stand</t>
  </si>
  <si>
    <t>ORD-10679</t>
  </si>
  <si>
    <t>Wireless Headphones</t>
  </si>
  <si>
    <t>ORD-10711</t>
  </si>
  <si>
    <t>Sandra Hernandez</t>
  </si>
  <si>
    <t>ORD-10915</t>
  </si>
  <si>
    <t>Jessica Robinson</t>
  </si>
  <si>
    <t>ORD-10291</t>
  </si>
  <si>
    <t>ORD-10905</t>
  </si>
  <si>
    <t>Anthony Anderson</t>
  </si>
  <si>
    <t>Bluetooth Speaker</t>
  </si>
  <si>
    <t>ORD-10245</t>
  </si>
  <si>
    <t>Smart Watch</t>
  </si>
  <si>
    <t>ORD-10647</t>
  </si>
  <si>
    <t>Webcam HD</t>
  </si>
  <si>
    <t>ORD-10125</t>
  </si>
  <si>
    <t>ORD-10397</t>
  </si>
  <si>
    <t>Kevin Lee</t>
  </si>
  <si>
    <t>ORD-10416</t>
  </si>
  <si>
    <t>ORD-10015</t>
  </si>
  <si>
    <t>ORD-10452</t>
  </si>
  <si>
    <t>Kenneth Sanchez</t>
  </si>
  <si>
    <t>ORD-10234</t>
  </si>
  <si>
    <t>ORD-10646</t>
  </si>
  <si>
    <t>Anthony Taylor</t>
  </si>
  <si>
    <t>ORD-10855</t>
  </si>
  <si>
    <t>Elizabeth Taylor</t>
  </si>
  <si>
    <t>ORD-10235</t>
  </si>
  <si>
    <t>Michael Clark</t>
  </si>
  <si>
    <t>ORD-10664</t>
  </si>
  <si>
    <t>Linda Robinson</t>
  </si>
  <si>
    <t>ORD-10342</t>
  </si>
  <si>
    <t>ORD-10686</t>
  </si>
  <si>
    <t>ORD-10456</t>
  </si>
  <si>
    <t>James Taylor</t>
  </si>
  <si>
    <t>ORD-10014</t>
  </si>
  <si>
    <t>Carol Jackson</t>
  </si>
  <si>
    <t>ORD-10789</t>
  </si>
  <si>
    <t>Christopher Jones</t>
  </si>
  <si>
    <t>ORD-10119</t>
  </si>
  <si>
    <t>Jennifer Martinez</t>
  </si>
  <si>
    <t>ORD-10048</t>
  </si>
  <si>
    <t>ORD-10652</t>
  </si>
  <si>
    <t>Sandra Harris</t>
  </si>
  <si>
    <t>ORD-10509</t>
  </si>
  <si>
    <t>Betty Lopez</t>
  </si>
  <si>
    <t>ORD-10999</t>
  </si>
  <si>
    <t>Jennifer Lewis</t>
  </si>
  <si>
    <t>ORD-10036</t>
  </si>
  <si>
    <t>Kenneth Lopez</t>
  </si>
  <si>
    <t>ORD-10290</t>
  </si>
  <si>
    <t>Michael White</t>
  </si>
  <si>
    <t>ORD-10461</t>
  </si>
  <si>
    <t>Sandra Williams</t>
  </si>
  <si>
    <t>ORD-10808</t>
  </si>
  <si>
    <t>ORD-10943</t>
  </si>
  <si>
    <t>David Thompson</t>
  </si>
  <si>
    <t>ORD-10530</t>
  </si>
  <si>
    <t>ORD-10952</t>
  </si>
  <si>
    <t>Nancy Jackson</t>
  </si>
  <si>
    <t>ORD-10684</t>
  </si>
  <si>
    <t>Lisa Anderson</t>
  </si>
  <si>
    <t>ORD-10212</t>
  </si>
  <si>
    <t>Linda Johnson</t>
  </si>
  <si>
    <t>ORD-10717</t>
  </si>
  <si>
    <t>Richard Ramirez</t>
  </si>
  <si>
    <t>ORD-10168</t>
  </si>
  <si>
    <t>Matthew Thomas</t>
  </si>
  <si>
    <t>ORD-10946</t>
  </si>
  <si>
    <t>Andrew Lopez</t>
  </si>
  <si>
    <t>ORD-10962</t>
  </si>
  <si>
    <t>Karen Johnson</t>
  </si>
  <si>
    <t>ORD-10256</t>
  </si>
  <si>
    <t>Susan Moore</t>
  </si>
  <si>
    <t>ORD-10644</t>
  </si>
  <si>
    <t>Robert Thompson</t>
  </si>
  <si>
    <t>ORD-10005</t>
  </si>
  <si>
    <t>Jessica Clark</t>
  </si>
  <si>
    <t>ORD-10619</t>
  </si>
  <si>
    <t>Sarah Davis</t>
  </si>
  <si>
    <t>ORD-10839</t>
  </si>
  <si>
    <t>Michael Robinson</t>
  </si>
  <si>
    <t>ORD-10250</t>
  </si>
  <si>
    <t>Jennifer Clark</t>
  </si>
  <si>
    <t>ORD-10837</t>
  </si>
  <si>
    <t>ORD-10306</t>
  </si>
  <si>
    <t>Michelle Robinson</t>
  </si>
  <si>
    <t>ORD-10749</t>
  </si>
  <si>
    <t>ORD-10208</t>
  </si>
  <si>
    <t>Mark Moore</t>
  </si>
  <si>
    <t>ORD-10932</t>
  </si>
  <si>
    <t>David Sanchez</t>
  </si>
  <si>
    <t>ORD-10829</t>
  </si>
  <si>
    <t>Carol Thomas</t>
  </si>
  <si>
    <t>ORD-10948</t>
  </si>
  <si>
    <t>ORD-10169</t>
  </si>
  <si>
    <t>Betty Lewis</t>
  </si>
  <si>
    <t>ORD-10402</t>
  </si>
  <si>
    <t>ORD-10538</t>
  </si>
  <si>
    <t>Kevin Brown</t>
  </si>
  <si>
    <t>ORD-10041</t>
  </si>
  <si>
    <t>ORD-10923</t>
  </si>
  <si>
    <t>Andrew Martinez</t>
  </si>
  <si>
    <t>ORD-10963</t>
  </si>
  <si>
    <t>Mark Harris</t>
  </si>
  <si>
    <t>ORD-10203</t>
  </si>
  <si>
    <t>Barbara Lopez</t>
  </si>
  <si>
    <t>ORD-10936</t>
  </si>
  <si>
    <t>Richard Sanchez</t>
  </si>
  <si>
    <t>ORD-10224</t>
  </si>
  <si>
    <t>ORD-10521</t>
  </si>
  <si>
    <t>ORD-10353</t>
  </si>
  <si>
    <t>ORD-10736</t>
  </si>
  <si>
    <t>ORD-10715</t>
  </si>
  <si>
    <t>ORD-10898</t>
  </si>
  <si>
    <t>Anthony Miller</t>
  </si>
  <si>
    <t>ORD-10746</t>
  </si>
  <si>
    <t>ORD-10400</t>
  </si>
  <si>
    <t>Donald Perez</t>
  </si>
  <si>
    <t>ORD-10189</t>
  </si>
  <si>
    <t>ORD-10369</t>
  </si>
  <si>
    <t>ORD-10417</t>
  </si>
  <si>
    <t>ORD-10349</t>
  </si>
  <si>
    <t>Donna Lewis</t>
  </si>
  <si>
    <t>ORD-10260</t>
  </si>
  <si>
    <t>William Martin</t>
  </si>
  <si>
    <t>ORD-10862</t>
  </si>
  <si>
    <t>Michael Martinez</t>
  </si>
  <si>
    <t>ORD-10914</t>
  </si>
  <si>
    <t>Donald Smith</t>
  </si>
  <si>
    <t>ORD-10097</t>
  </si>
  <si>
    <t>Andrew Taylor</t>
  </si>
  <si>
    <t>ORD-10768</t>
  </si>
  <si>
    <t>Barbara Clark</t>
  </si>
  <si>
    <t>ORD-10642</t>
  </si>
  <si>
    <t>ORD-10578</t>
  </si>
  <si>
    <t>Susan Jackson</t>
  </si>
  <si>
    <t>ORD-10585</t>
  </si>
  <si>
    <t>ORD-10465</t>
  </si>
  <si>
    <t>ORD-10001</t>
  </si>
  <si>
    <t>Betty Miller</t>
  </si>
  <si>
    <t>ORD-10885</t>
  </si>
  <si>
    <t>Sarah Harris</t>
  </si>
  <si>
    <t>ORD-10270</t>
  </si>
  <si>
    <t>Karen Clark</t>
  </si>
  <si>
    <t>ORD-10987</t>
  </si>
  <si>
    <t>ORD-10055</t>
  </si>
  <si>
    <t>Donald Thomas</t>
  </si>
  <si>
    <t>ORD-10691</t>
  </si>
  <si>
    <t>Richard Jones</t>
  </si>
  <si>
    <t>ORD-10602</t>
  </si>
  <si>
    <t>Richard Lewis</t>
  </si>
  <si>
    <t>ORD-10039</t>
  </si>
  <si>
    <t>Andrew Davis</t>
  </si>
  <si>
    <t>ORD-10158</t>
  </si>
  <si>
    <t>Robert Robinson</t>
  </si>
  <si>
    <t>ORD-10437</t>
  </si>
  <si>
    <t>Michelle Martin</t>
  </si>
  <si>
    <t>ORD-10577</t>
  </si>
  <si>
    <t>Matthew Lopez</t>
  </si>
  <si>
    <t>ORD-10891</t>
  </si>
  <si>
    <t>Andrew Jones</t>
  </si>
  <si>
    <t>ORD-10332</t>
  </si>
  <si>
    <t>Elizabeth White</t>
  </si>
  <si>
    <t>ORD-10252</t>
  </si>
  <si>
    <t>ORD-10201</t>
  </si>
  <si>
    <t>Jennifer Garcia</t>
  </si>
  <si>
    <t>ORD-10505</t>
  </si>
  <si>
    <t>Jennifer Martin</t>
  </si>
  <si>
    <t>ORD-10705</t>
  </si>
  <si>
    <t>ORD-10951</t>
  </si>
  <si>
    <t>Sarah Robinson</t>
  </si>
  <si>
    <t>ORD-10378</t>
  </si>
  <si>
    <t>ORD-10471</t>
  </si>
  <si>
    <t>ORD-10997</t>
  </si>
  <si>
    <t>Ashley Anderson</t>
  </si>
  <si>
    <t>ORD-10897</t>
  </si>
  <si>
    <t>ORD-10445</t>
  </si>
  <si>
    <t>ORD-10004</t>
  </si>
  <si>
    <t>ORD-10920</t>
  </si>
  <si>
    <t>ORD-10972</t>
  </si>
  <si>
    <t>ORD-10427</t>
  </si>
  <si>
    <t>ORD-10533</t>
  </si>
  <si>
    <t>Daniel Martin</t>
  </si>
  <si>
    <t>ORD-10335</t>
  </si>
  <si>
    <t>ORD-10280</t>
  </si>
  <si>
    <t>ORD-10502</t>
  </si>
  <si>
    <t>ORD-10599</t>
  </si>
  <si>
    <t>ORD-10504</t>
  </si>
  <si>
    <t>Daniel Brown</t>
  </si>
  <si>
    <t>ORD-10011</t>
  </si>
  <si>
    <t>Michelle Moore</t>
  </si>
  <si>
    <t>ORD-10552</t>
  </si>
  <si>
    <t>Barbara Anderson</t>
  </si>
  <si>
    <t>ORD-10706</t>
  </si>
  <si>
    <t>Nancy White</t>
  </si>
  <si>
    <t>ORD-10620</t>
  </si>
  <si>
    <t>Michelle Garcia</t>
  </si>
  <si>
    <t>ORD-10410</t>
  </si>
  <si>
    <t>ORD-10433</t>
  </si>
  <si>
    <t>ORD-10376</t>
  </si>
  <si>
    <t>ORD-10037</t>
  </si>
  <si>
    <t>Michael Johnson</t>
  </si>
  <si>
    <t>ORD-10942</t>
  </si>
  <si>
    <t>ORD-10020</t>
  </si>
  <si>
    <t>Lisa Moore</t>
  </si>
  <si>
    <t>ORD-10931</t>
  </si>
  <si>
    <t>ORD-10877</t>
  </si>
  <si>
    <t>ORD-10155</t>
  </si>
  <si>
    <t>ORD-10045</t>
  </si>
  <si>
    <t>Daniel Jones</t>
  </si>
  <si>
    <t>ORD-10345</t>
  </si>
  <si>
    <t>Jessica Ramirez</t>
  </si>
  <si>
    <t>ORD-10838</t>
  </si>
  <si>
    <t>ORD-10607</t>
  </si>
  <si>
    <t>ORD-10391</t>
  </si>
  <si>
    <t>Matthew Hernandez</t>
  </si>
  <si>
    <t>ORD-10851</t>
  </si>
  <si>
    <t>Kimberly Smith</t>
  </si>
  <si>
    <t>ORD-10900</t>
  </si>
  <si>
    <t>ORD-10367</t>
  </si>
  <si>
    <t>ORD-10969</t>
  </si>
  <si>
    <t>ORD-10818</t>
  </si>
  <si>
    <t>ORD-10481</t>
  </si>
  <si>
    <t>Christopher Ramirez</t>
  </si>
  <si>
    <t>ORD-10783</t>
  </si>
  <si>
    <t>Donna Martinez</t>
  </si>
  <si>
    <t>ORD-10813</t>
  </si>
  <si>
    <t>ORD-10034</t>
  </si>
  <si>
    <t>Dorothy Perez</t>
  </si>
  <si>
    <t>ORD-10747</t>
  </si>
  <si>
    <t>Michelle Clark</t>
  </si>
  <si>
    <t>ORD-10772</t>
  </si>
  <si>
    <t>Donald Johnson</t>
  </si>
  <si>
    <t>ORD-10107</t>
  </si>
  <si>
    <t>Elizabeth Sanchez</t>
  </si>
  <si>
    <t>ORD-10356</t>
  </si>
  <si>
    <t>Michael Thomas</t>
  </si>
  <si>
    <t>ORD-10744</t>
  </si>
  <si>
    <t>James Garcia</t>
  </si>
  <si>
    <t>ORD-10187</t>
  </si>
  <si>
    <t>William Johnson</t>
  </si>
  <si>
    <t>ORD-10565</t>
  </si>
  <si>
    <t>ORD-10564</t>
  </si>
  <si>
    <t>Paul Wilson</t>
  </si>
  <si>
    <t>ORD-10937</t>
  </si>
  <si>
    <t>ORD-10195</t>
  </si>
  <si>
    <t>William Harris</t>
  </si>
  <si>
    <t>ORD-10883</t>
  </si>
  <si>
    <t>Lisa Hernandez</t>
  </si>
  <si>
    <t>ORD-10109</t>
  </si>
  <si>
    <t>Matthew Martinez</t>
  </si>
  <si>
    <t>ORD-10008</t>
  </si>
  <si>
    <t>Ashley Gonzalez</t>
  </si>
  <si>
    <t>ORD-10130</t>
  </si>
  <si>
    <t>Emily Davis</t>
  </si>
  <si>
    <t>ORD-10062</t>
  </si>
  <si>
    <t>Sandra Martinez</t>
  </si>
  <si>
    <t>ORD-10269</t>
  </si>
  <si>
    <t>ORD-10091</t>
  </si>
  <si>
    <t>Michelle Smith</t>
  </si>
  <si>
    <t>ORD-10258</t>
  </si>
  <si>
    <t>ORD-10562</t>
  </si>
  <si>
    <t>Richard Wilson</t>
  </si>
  <si>
    <t>ORD-10549</t>
  </si>
  <si>
    <t>Scented Candle Set</t>
  </si>
  <si>
    <t>Home</t>
  </si>
  <si>
    <t>ORD-10474</t>
  </si>
  <si>
    <t>Pillow Set</t>
  </si>
  <si>
    <t>ORD-10531</t>
  </si>
  <si>
    <t>Mary Jackson</t>
  </si>
  <si>
    <t>Cutting Board</t>
  </si>
  <si>
    <t>ORD-10546</t>
  </si>
  <si>
    <t>Thomas Clark</t>
  </si>
  <si>
    <t>Storage Bins</t>
  </si>
  <si>
    <t>ORD-10917</t>
  </si>
  <si>
    <t>Sandra Perez</t>
  </si>
  <si>
    <t>ORD-10823</t>
  </si>
  <si>
    <t>Knife Set</t>
  </si>
  <si>
    <t>ORD-10980</t>
  </si>
  <si>
    <t>Elizabeth Rodriguez</t>
  </si>
  <si>
    <t>ORD-10863</t>
  </si>
  <si>
    <t>Desk Lamp</t>
  </si>
  <si>
    <t>ORD-10140</t>
  </si>
  <si>
    <t>Robert Clark</t>
  </si>
  <si>
    <t>ORD-10611</t>
  </si>
  <si>
    <t>Door Mat</t>
  </si>
  <si>
    <t>ORD-10805</t>
  </si>
  <si>
    <t>Blender</t>
  </si>
  <si>
    <t>ORD-10820</t>
  </si>
  <si>
    <t>Richard Lopez</t>
  </si>
  <si>
    <t>ORD-10210</t>
  </si>
  <si>
    <t>ORD-10240</t>
  </si>
  <si>
    <t>James Harris</t>
  </si>
  <si>
    <t>ORD-10243</t>
  </si>
  <si>
    <t>ORD-10857</t>
  </si>
  <si>
    <t>Kenneth White</t>
  </si>
  <si>
    <t>ORD-10880</t>
  </si>
  <si>
    <t>ORD-10057</t>
  </si>
  <si>
    <t>Donna Ramirez</t>
  </si>
  <si>
    <t>ORD-10719</t>
  </si>
  <si>
    <t>ORD-10394</t>
  </si>
  <si>
    <t>Emily Moore</t>
  </si>
  <si>
    <t>ORD-10869</t>
  </si>
  <si>
    <t>ORD-10882</t>
  </si>
  <si>
    <t>ORD-10884</t>
  </si>
  <si>
    <t>James Robinson</t>
  </si>
  <si>
    <t>ORD-10643</t>
  </si>
  <si>
    <t>ORD-10609</t>
  </si>
  <si>
    <t>Coffee Maker</t>
  </si>
  <si>
    <t>ORD-10300</t>
  </si>
  <si>
    <t>ORD-10111</t>
  </si>
  <si>
    <t>ORD-10237</t>
  </si>
  <si>
    <t>Sarah Sanchez</t>
  </si>
  <si>
    <t>ORD-10142</t>
  </si>
  <si>
    <t>Daniel Robinson</t>
  </si>
  <si>
    <t>ORD-10392</t>
  </si>
  <si>
    <t>Barbara Robinson</t>
  </si>
  <si>
    <t>ORD-10446</t>
  </si>
  <si>
    <t>Kenneth Perez</t>
  </si>
  <si>
    <t>ORD-10124</t>
  </si>
  <si>
    <t>Robert Williams</t>
  </si>
  <si>
    <t>ORD-10824</t>
  </si>
  <si>
    <t>Lisa Gonzalez</t>
  </si>
  <si>
    <t>ORD-10989</t>
  </si>
  <si>
    <t>ORD-10544</t>
  </si>
  <si>
    <t>Donald Garcia</t>
  </si>
  <si>
    <t>ORD-10408</t>
  </si>
  <si>
    <t>ORD-10145</t>
  </si>
  <si>
    <t>ORD-10816</t>
  </si>
  <si>
    <t>ORD-10385</t>
  </si>
  <si>
    <t>Sarah Williams</t>
  </si>
  <si>
    <t>ORD-10477</t>
  </si>
  <si>
    <t>ORD-10534</t>
  </si>
  <si>
    <t>ORD-10674</t>
  </si>
  <si>
    <t>Donna Miller</t>
  </si>
  <si>
    <t>ORD-10046</t>
  </si>
  <si>
    <t>Donna Robinson</t>
  </si>
  <si>
    <t>Throw Blanket</t>
  </si>
  <si>
    <t>ORD-10076</t>
  </si>
  <si>
    <t>Joshua Smith</t>
  </si>
  <si>
    <t>ORD-10858</t>
  </si>
  <si>
    <t>Elizabeth Davis</t>
  </si>
  <si>
    <t>ORD-10480</t>
  </si>
  <si>
    <t>ORD-10287</t>
  </si>
  <si>
    <t>ORD-10754</t>
  </si>
  <si>
    <t>Sandra Thomas</t>
  </si>
  <si>
    <t>ORD-10906</t>
  </si>
  <si>
    <t>Robert Ramirez</t>
  </si>
  <si>
    <t>ORD-10651</t>
  </si>
  <si>
    <t>Dorothy Thompson</t>
  </si>
  <si>
    <t>ORD-10792</t>
  </si>
  <si>
    <t>ORD-10859</t>
  </si>
  <si>
    <t>Kenneth Anderson</t>
  </si>
  <si>
    <t>ORD-10616</t>
  </si>
  <si>
    <t>ORD-10204</t>
  </si>
  <si>
    <t>ORD-10221</t>
  </si>
  <si>
    <t>ORD-10874</t>
  </si>
  <si>
    <t>ORD-10350</t>
  </si>
  <si>
    <t>ORD-10238</t>
  </si>
  <si>
    <t>Donald Sanchez</t>
  </si>
  <si>
    <t>ORD-10916</t>
  </si>
  <si>
    <t>Carol Thompson</t>
  </si>
  <si>
    <t>ORD-10974</t>
  </si>
  <si>
    <t>Kenneth Miller</t>
  </si>
  <si>
    <t>ORD-10447</t>
  </si>
  <si>
    <t>ORD-10537</t>
  </si>
  <si>
    <t>Ashley Williams</t>
  </si>
  <si>
    <t>ORD-10961</t>
  </si>
  <si>
    <t>ORD-10778</t>
  </si>
  <si>
    <t>Dorothy Ramirez</t>
  </si>
  <si>
    <t>ORD-10984</t>
  </si>
  <si>
    <t>ORD-10205</t>
  </si>
  <si>
    <t>ORD-10918</t>
  </si>
  <si>
    <t>ORD-10309</t>
  </si>
  <si>
    <t>ORD-10010</t>
  </si>
  <si>
    <t>ORD-10548</t>
  </si>
  <si>
    <t>Joshua Martinez</t>
  </si>
  <si>
    <t>ORD-10922</t>
  </si>
  <si>
    <t>Paul Clark</t>
  </si>
  <si>
    <t>ORD-10494</t>
  </si>
  <si>
    <t>Jessica Johnson</t>
  </si>
  <si>
    <t>ORD-10006</t>
  </si>
  <si>
    <t>Steven Martinez</t>
  </si>
  <si>
    <t>ORD-10586</t>
  </si>
  <si>
    <t>Kimberly Williams</t>
  </si>
  <si>
    <t>ORD-10909</t>
  </si>
  <si>
    <t>ORD-10225</t>
  </si>
  <si>
    <t>Karen Lee</t>
  </si>
  <si>
    <t>ORD-10060</t>
  </si>
  <si>
    <t>ORD-10954</t>
  </si>
  <si>
    <t>ORD-10083</t>
  </si>
  <si>
    <t>ORD-10213</t>
  </si>
  <si>
    <t>Donald Wilson</t>
  </si>
  <si>
    <t>ORD-10236</t>
  </si>
  <si>
    <t>Daniel Williams</t>
  </si>
  <si>
    <t>ORD-10192</t>
  </si>
  <si>
    <t>Michelle Johnson</t>
  </si>
  <si>
    <t>ORD-10244</t>
  </si>
  <si>
    <t>ORD-10545</t>
  </si>
  <si>
    <t>ORD-10991</t>
  </si>
  <si>
    <t>Matthew Jackson</t>
  </si>
  <si>
    <t>ORD-10802</t>
  </si>
  <si>
    <t>Richard Clark</t>
  </si>
  <si>
    <t>ORD-10028</t>
  </si>
  <si>
    <t>Jessica Miller</t>
  </si>
  <si>
    <t>ORD-10030</t>
  </si>
  <si>
    <t>Karen Harris</t>
  </si>
  <si>
    <t>ORD-10574</t>
  </si>
  <si>
    <t>Michelle Rodriguez</t>
  </si>
  <si>
    <t>ORD-10069</t>
  </si>
  <si>
    <t>Andrew Hernandez</t>
  </si>
  <si>
    <t>ORD-10278</t>
  </si>
  <si>
    <t>Michael Thompson</t>
  </si>
  <si>
    <t>ORD-10164</t>
  </si>
  <si>
    <t>Richard Martinez</t>
  </si>
  <si>
    <t>ORD-10615</t>
  </si>
  <si>
    <t>ORD-10919</t>
  </si>
  <si>
    <t>Lisa Clark</t>
  </si>
  <si>
    <t>ORD-10439</t>
  </si>
  <si>
    <t>ORD-10836</t>
  </si>
  <si>
    <t>ORD-10051</t>
  </si>
  <si>
    <t>Elizabeth Martinez</t>
  </si>
  <si>
    <t>ORD-10675</t>
  </si>
  <si>
    <t>Dorothy Garcia</t>
  </si>
  <si>
    <t>ORD-10073</t>
  </si>
  <si>
    <t>ORD-10473</t>
  </si>
  <si>
    <t>Betty Davis</t>
  </si>
  <si>
    <t>ORD-10393</t>
  </si>
  <si>
    <t>ORD-10099</t>
  </si>
  <si>
    <t>Ashley Davis</t>
  </si>
  <si>
    <t>ORD-10927</t>
  </si>
  <si>
    <t>ORD-10975</t>
  </si>
  <si>
    <t>Donald Gonzalez</t>
  </si>
  <si>
    <t>ORD-10442</t>
  </si>
  <si>
    <t>ORD-10866</t>
  </si>
  <si>
    <t>ORD-10320</t>
  </si>
  <si>
    <t>ORD-10307</t>
  </si>
  <si>
    <t>Kenneth Johnson</t>
  </si>
  <si>
    <t>ORD-10899</t>
  </si>
  <si>
    <t>ORD-10202</t>
  </si>
  <si>
    <t>Dorothy Davis</t>
  </si>
  <si>
    <t>ORD-10796</t>
  </si>
  <si>
    <t>Lisa Johnson</t>
  </si>
  <si>
    <t>ORD-10763</t>
  </si>
  <si>
    <t>ORD-10283</t>
  </si>
  <si>
    <t>Michelle Ramirez</t>
  </si>
  <si>
    <t>ORD-10312</t>
  </si>
  <si>
    <t>Paul Martin</t>
  </si>
  <si>
    <t>ORD-10273</t>
  </si>
  <si>
    <t>Joseph Thomas</t>
  </si>
  <si>
    <t>ORD-10703</t>
  </si>
  <si>
    <t>ORD-10171</t>
  </si>
  <si>
    <t>Sandra Thompson</t>
  </si>
  <si>
    <t>ORD-10825</t>
  </si>
  <si>
    <t>Sandra Miller</t>
  </si>
  <si>
    <t>ORD-10601</t>
  </si>
  <si>
    <t>ORD-10721</t>
  </si>
  <si>
    <t>Mary Perez</t>
  </si>
  <si>
    <t>ORD-10487</t>
  </si>
  <si>
    <t>ORD-10979</t>
  </si>
  <si>
    <t>ORD-10957</t>
  </si>
  <si>
    <t>ORD-10649</t>
  </si>
  <si>
    <t>ORD-10108</t>
  </si>
  <si>
    <t>Mary Jones</t>
  </si>
  <si>
    <t>ORD-10313</t>
  </si>
  <si>
    <t>Dorothy Lopez</t>
  </si>
  <si>
    <t>ORD-10876</t>
  </si>
  <si>
    <t>ORD-10518</t>
  </si>
  <si>
    <t>ORD-10016</t>
  </si>
  <si>
    <t>Karen Robinson</t>
  </si>
  <si>
    <t>ORD-10118</t>
  </si>
  <si>
    <t>ORD-10846</t>
  </si>
  <si>
    <t>ORD-10810</t>
  </si>
  <si>
    <t>ORD-10864</t>
  </si>
  <si>
    <t>ORD-10268</t>
  </si>
  <si>
    <t>Nancy Hernandez</t>
  </si>
  <si>
    <t>ORD-10790</t>
  </si>
  <si>
    <t>Michelle Gonzalez</t>
  </si>
  <si>
    <t>ORD-10038</t>
  </si>
  <si>
    <t>ORD-10325</t>
  </si>
  <si>
    <t>ORD-10761</t>
  </si>
  <si>
    <t>Barbara Thompson</t>
  </si>
  <si>
    <t>ORD-10949</t>
  </si>
  <si>
    <t>Thomas Ramirez</t>
  </si>
  <si>
    <t>ORD-10019</t>
  </si>
  <si>
    <t>Matthew Lee</t>
  </si>
  <si>
    <t>ORD-10086</t>
  </si>
  <si>
    <t>Kevin Taylor</t>
  </si>
  <si>
    <t>ORD-10828</t>
  </si>
  <si>
    <t>ORD-10597</t>
  </si>
  <si>
    <t>ORD-10893</t>
  </si>
  <si>
    <t>ORD-10769</t>
  </si>
  <si>
    <t>Michelle White</t>
  </si>
  <si>
    <t>ORD-10655</t>
  </si>
  <si>
    <t>ORD-10701</t>
  </si>
  <si>
    <t>Steven Thompson</t>
  </si>
  <si>
    <t>ORD-10782</t>
  </si>
  <si>
    <t>ORD-10116</t>
  </si>
  <si>
    <t>Kenneth Brown</t>
  </si>
  <si>
    <t>ORD-10436</t>
  </si>
  <si>
    <t>Barbara Perez</t>
  </si>
  <si>
    <t>ORD-10569</t>
  </si>
  <si>
    <t>ORD-10438</t>
  </si>
  <si>
    <t>ORD-10276</t>
  </si>
  <si>
    <t>ORD-10741</t>
  </si>
  <si>
    <t>Betty Gonzalez</t>
  </si>
  <si>
    <t>ORD-10466</t>
  </si>
  <si>
    <t>Barbara Miller</t>
  </si>
  <si>
    <t>ORD-10228</t>
  </si>
  <si>
    <t>Matthew Brown</t>
  </si>
  <si>
    <t>ORD-10049</t>
  </si>
  <si>
    <t>Jessica Jones</t>
  </si>
  <si>
    <t>ORD-10641</t>
  </si>
  <si>
    <t>Joshua Perez</t>
  </si>
  <si>
    <t>ORD-10938</t>
  </si>
  <si>
    <t>ORD-10745</t>
  </si>
  <si>
    <t>ORD-10771</t>
  </si>
  <si>
    <t>Steven Hernandez</t>
  </si>
  <si>
    <t>ORD-10587</t>
  </si>
  <si>
    <t>Andrew Clark</t>
  </si>
  <si>
    <t>ORD-10755</t>
  </si>
  <si>
    <t>ORD-10612</t>
  </si>
  <si>
    <t>ORD-10227</t>
  </si>
  <si>
    <t>Joseph Moore</t>
  </si>
  <si>
    <t>ORD-10139</t>
  </si>
  <si>
    <t>Matthew Johnson</t>
  </si>
  <si>
    <t>ORD-10523</t>
  </si>
  <si>
    <t>ORD-10372</t>
  </si>
  <si>
    <t>ORD-10903</t>
  </si>
  <si>
    <t>Susan Williams</t>
  </si>
  <si>
    <t>ORD-10508</t>
  </si>
  <si>
    <t>ORD-10639</t>
  </si>
  <si>
    <t>ORD-10809</t>
  </si>
  <si>
    <t>ORD-10013</t>
  </si>
  <si>
    <t>Daniel Davis</t>
  </si>
  <si>
    <t>ORD-10157</t>
  </si>
  <si>
    <t>ORD-10115</t>
  </si>
  <si>
    <t>Karen Moore</t>
  </si>
  <si>
    <t>ORD-10681</t>
  </si>
  <si>
    <t>Mary Davis</t>
  </si>
  <si>
    <t>ORD-10861</t>
  </si>
  <si>
    <t>Richard Lee</t>
  </si>
  <si>
    <t>ORD-10986</t>
  </si>
  <si>
    <t>Linda Lopez</t>
  </si>
  <si>
    <t>ORD-10890</t>
  </si>
  <si>
    <t>Andrew Ramirez</t>
  </si>
  <si>
    <t>ORD-10162</t>
  </si>
  <si>
    <t>Daniel Jackson</t>
  </si>
  <si>
    <t>ORD-10547</t>
  </si>
  <si>
    <t>ORD-10141</t>
  </si>
  <si>
    <t>ORD-10117</t>
  </si>
  <si>
    <t>ORD-10484</t>
  </si>
  <si>
    <t>ORD-10967</t>
  </si>
  <si>
    <t>ORD-10266</t>
  </si>
  <si>
    <t>ORD-10767</t>
  </si>
  <si>
    <t>ORD-10507</t>
  </si>
  <si>
    <t>ORD-10541</t>
  </si>
  <si>
    <t>Robert Sanchez</t>
  </si>
  <si>
    <t>ORD-10050</t>
  </si>
  <si>
    <t>ORD-10860</t>
  </si>
  <si>
    <t>ORD-10080</t>
  </si>
  <si>
    <t>ORD-10660</t>
  </si>
  <si>
    <t>Susan Jones</t>
  </si>
  <si>
    <t>ORD-10133</t>
  </si>
  <si>
    <t>ORD-10834</t>
  </si>
  <si>
    <t>Linda Taylor</t>
  </si>
  <si>
    <t>ORD-10218</t>
  </si>
  <si>
    <t>David Wilson</t>
  </si>
  <si>
    <t>ORD-10526</t>
  </si>
  <si>
    <t>Cycling Gloves</t>
  </si>
  <si>
    <t>Sports</t>
  </si>
  <si>
    <t>ORD-10382</t>
  </si>
  <si>
    <t>Christopher Lee</t>
  </si>
  <si>
    <t>Resistance Bands</t>
  </si>
  <si>
    <t>ORD-10493</t>
  </si>
  <si>
    <t>Yoga Mat</t>
  </si>
  <si>
    <t>ORD-10966</t>
  </si>
  <si>
    <t>Matthew White</t>
  </si>
  <si>
    <t>ORD-10714</t>
  </si>
  <si>
    <t>Foam Roller</t>
  </si>
  <si>
    <t>ORD-10199</t>
  </si>
  <si>
    <t>ORD-10180</t>
  </si>
  <si>
    <t>Jump Rope</t>
  </si>
  <si>
    <t>ORD-10688</t>
  </si>
  <si>
    <t>Joseph Lewis</t>
  </si>
  <si>
    <t>ORD-10653</t>
  </si>
  <si>
    <t>Dorothy Jackson</t>
  </si>
  <si>
    <t>ORD-10978</t>
  </si>
  <si>
    <t>Jennifer Harris</t>
  </si>
  <si>
    <t>Gym Bag</t>
  </si>
  <si>
    <t>ORD-10618</t>
  </si>
  <si>
    <t>Betty Jones</t>
  </si>
  <si>
    <t>Swim Goggles</t>
  </si>
  <si>
    <t>ORD-10449</t>
  </si>
  <si>
    <t>Sarah Garcia</t>
  </si>
  <si>
    <t>ORD-10807</t>
  </si>
  <si>
    <t>Tennis Balls</t>
  </si>
  <si>
    <t>ORD-10475</t>
  </si>
  <si>
    <t>ORD-10608</t>
  </si>
  <si>
    <t>ORD-10315</t>
  </si>
  <si>
    <t>Joseph Jackson</t>
  </si>
  <si>
    <t>ORD-10788</t>
  </si>
  <si>
    <t>Joseph Smith</t>
  </si>
  <si>
    <t>ORD-10193</t>
  </si>
  <si>
    <t>ORD-10389</t>
  </si>
  <si>
    <t>Mark Brown</t>
  </si>
  <si>
    <t>ORD-10579</t>
  </si>
  <si>
    <t>ORD-10478</t>
  </si>
  <si>
    <t>ORD-10102</t>
  </si>
  <si>
    <t>Andrew Gonzalez</t>
  </si>
  <si>
    <t>Dumbbells 10lb</t>
  </si>
  <si>
    <t>ORD-10033</t>
  </si>
  <si>
    <t>ORD-10247</t>
  </si>
  <si>
    <t>ORD-10293</t>
  </si>
  <si>
    <t>ORD-10939</t>
  </si>
  <si>
    <t>ORD-10441</t>
  </si>
  <si>
    <t>ORD-10520</t>
  </si>
  <si>
    <t>William Hernandez</t>
  </si>
  <si>
    <t>ORD-10191</t>
  </si>
  <si>
    <t>ORD-10271</t>
  </si>
  <si>
    <t>ORD-10368</t>
  </si>
  <si>
    <t>ORD-10826</t>
  </si>
  <si>
    <t>William Miller</t>
  </si>
  <si>
    <t>ORD-10129</t>
  </si>
  <si>
    <t>Emily Williams</t>
  </si>
  <si>
    <t>ORD-10634</t>
  </si>
  <si>
    <t>ORD-10022</t>
  </si>
  <si>
    <t>William Gonzalez</t>
  </si>
  <si>
    <t>ORD-10159</t>
  </si>
  <si>
    <t>ORD-10182</t>
  </si>
  <si>
    <t>Michelle Thomas</t>
  </si>
  <si>
    <t>Water Bottle</t>
  </si>
  <si>
    <t>ORD-10185</t>
  </si>
  <si>
    <t>Betty Martinez</t>
  </si>
  <si>
    <t>ORD-10207</t>
  </si>
  <si>
    <t>ORD-10604</t>
  </si>
  <si>
    <t>Daniel Miller</t>
  </si>
  <si>
    <t>ORD-10672</t>
  </si>
  <si>
    <t>ORD-10584</t>
  </si>
  <si>
    <t>Michelle Harris</t>
  </si>
  <si>
    <t>ORD-10072</t>
  </si>
  <si>
    <t>Betty Wilson</t>
  </si>
  <si>
    <t>ORD-10730</t>
  </si>
  <si>
    <t>Kimberly Garcia</t>
  </si>
  <si>
    <t>ORD-10699</t>
  </si>
  <si>
    <t>ORD-10819</t>
  </si>
  <si>
    <t>ORD-10766</t>
  </si>
  <si>
    <t>Susan Robinson</t>
  </si>
  <si>
    <t>ORD-10263</t>
  </si>
  <si>
    <t>ORD-10571</t>
  </si>
  <si>
    <t>ORD-10301</t>
  </si>
  <si>
    <t>Joshua Rodriguez</t>
  </si>
  <si>
    <t>ORD-10025</t>
  </si>
  <si>
    <t>Mary Lee</t>
  </si>
  <si>
    <t>ORD-10933</t>
  </si>
  <si>
    <t>ORD-10553</t>
  </si>
  <si>
    <t>Jessica White</t>
  </si>
  <si>
    <t>ORD-10627</t>
  </si>
  <si>
    <t>Barbara Harris</t>
  </si>
  <si>
    <t>ORD-10354</t>
  </si>
  <si>
    <t>ORD-10831</t>
  </si>
  <si>
    <t>ORD-10955</t>
  </si>
  <si>
    <t>Daniel White</t>
  </si>
  <si>
    <t>ORD-10780</t>
  </si>
  <si>
    <t>Jennifer Williams</t>
  </si>
  <si>
    <t>ORD-10568</t>
  </si>
  <si>
    <t>Donna Clark</t>
  </si>
  <si>
    <t>ORD-10253</t>
  </si>
  <si>
    <t>Dorothy Thomas</t>
  </si>
  <si>
    <t>ORD-10152</t>
  </si>
  <si>
    <t>Donald Brown</t>
  </si>
  <si>
    <t>ORD-10362</t>
  </si>
  <si>
    <t>ORD-10361</t>
  </si>
  <si>
    <t>Kimberly Thomas</t>
  </si>
  <si>
    <t>ORD-10324</t>
  </si>
  <si>
    <t>ORD-11000</t>
  </si>
  <si>
    <t>ORD-10042</t>
  </si>
  <si>
    <t>Thomas Thomas</t>
  </si>
  <si>
    <t>ORD-10336</t>
  </si>
  <si>
    <t>ORD-10742</t>
  </si>
  <si>
    <t>Anthony Hernandez</t>
  </si>
  <si>
    <t>ORD-10432</t>
  </si>
  <si>
    <t>ORD-10172</t>
  </si>
  <si>
    <t>ORD-10560</t>
  </si>
  <si>
    <t>William Smith</t>
  </si>
  <si>
    <t>ORD-10723</t>
  </si>
  <si>
    <t>Elizabeth Ramirez</t>
  </si>
  <si>
    <t>ORD-10576</t>
  </si>
  <si>
    <t>Andrew Robinson</t>
  </si>
  <si>
    <t>ORD-10259</t>
  </si>
  <si>
    <t>Ashley Harris</t>
  </si>
  <si>
    <t>ORD-10219</t>
  </si>
  <si>
    <t>ORD-10425</t>
  </si>
  <si>
    <t>Anthony Gonzalez</t>
  </si>
  <si>
    <t>ORD-10850</t>
  </si>
  <si>
    <t>ORD-10773</t>
  </si>
  <si>
    <t>Emily Miller</t>
  </si>
  <si>
    <t>ORD-10835</t>
  </si>
  <si>
    <t>William Anderson</t>
  </si>
  <si>
    <t>ORD-10654</t>
  </si>
  <si>
    <t>ORD-10573</t>
  </si>
  <si>
    <t>ORD-10298</t>
  </si>
  <si>
    <t>Robert Jackson</t>
  </si>
  <si>
    <t>ORD-10830</t>
  </si>
  <si>
    <t>ORD-10166</t>
  </si>
  <si>
    <t>ORD-10636</t>
  </si>
  <si>
    <t>Paul Jackson</t>
  </si>
  <si>
    <t>ORD-10740</t>
  </si>
  <si>
    <t>Donald Jones</t>
  </si>
  <si>
    <t>ORD-10692</t>
  </si>
  <si>
    <t>Anthony Moore</t>
  </si>
  <si>
    <t>ORD-10308</t>
  </si>
  <si>
    <t>ORD-10926</t>
  </si>
  <si>
    <t>Daniel Sanchez</t>
  </si>
  <si>
    <t>ORD-10401</t>
  </si>
  <si>
    <t>Steven Jones</t>
  </si>
  <si>
    <t>ORD-10242</t>
  </si>
  <si>
    <t>Joshua Williams</t>
  </si>
  <si>
    <t>ORD-10631</t>
  </si>
  <si>
    <t>David Thomas</t>
  </si>
  <si>
    <t>ORD-10304</t>
  </si>
  <si>
    <t>ORD-10265</t>
  </si>
  <si>
    <t>Mark Ramirez</t>
  </si>
  <si>
    <t>ORD-10215</t>
  </si>
  <si>
    <t>ORD-10519</t>
  </si>
  <si>
    <t>Joseph Harris</t>
  </si>
  <si>
    <t>ORD-10383</t>
  </si>
  <si>
    <t>Jessica Davis</t>
  </si>
  <si>
    <t>ORD-10375</t>
  </si>
  <si>
    <t>Jessica Perez</t>
  </si>
  <si>
    <t>ORD-10713</t>
  </si>
  <si>
    <t>ORD-10128</t>
  </si>
  <si>
    <t>ORD-10344</t>
  </si>
  <si>
    <t>William Sanchez</t>
  </si>
  <si>
    <t>ORD-10018</t>
  </si>
  <si>
    <t>Thomas Perez</t>
  </si>
  <si>
    <t>ORD-10558</t>
  </si>
  <si>
    <t>ORD-10556</t>
  </si>
  <si>
    <t>Mary Lewis</t>
  </si>
  <si>
    <t>ORD-10501</t>
  </si>
  <si>
    <t>ORD-10440</t>
  </si>
  <si>
    <t>ORD-10751</t>
  </si>
  <si>
    <t>Dorothy Jones</t>
  </si>
  <si>
    <t>ORD-10327</t>
  </si>
  <si>
    <t>Christopher Williams</t>
  </si>
  <si>
    <t>ORD-10459</t>
  </si>
  <si>
    <t>ORD-10214</t>
  </si>
  <si>
    <t>Ashley Moore</t>
  </si>
  <si>
    <t>ORD-10196</t>
  </si>
  <si>
    <t>ORD-10096</t>
  </si>
  <si>
    <t>ORD-10120</t>
  </si>
  <si>
    <t>Jessica Thompson</t>
  </si>
  <si>
    <t>ORD-10398</t>
  </si>
  <si>
    <t>ORD-10188</t>
  </si>
  <si>
    <t>ORD-10865</t>
  </si>
  <si>
    <t>ORD-10797</t>
  </si>
  <si>
    <t>Nancy Taylor</t>
  </si>
  <si>
    <t>ORD-10198</t>
  </si>
  <si>
    <t>Christopher Garcia</t>
  </si>
  <si>
    <t>ORD-10246</t>
  </si>
  <si>
    <t>ORD-10658</t>
  </si>
  <si>
    <t>ORD-10216</t>
  </si>
  <si>
    <t>Steven Davis</t>
  </si>
  <si>
    <t>ORD-10776</t>
  </si>
  <si>
    <t>ORD-10964</t>
  </si>
  <si>
    <t>ORD-10380</t>
  </si>
  <si>
    <t>Mark Clark</t>
  </si>
  <si>
    <t>ORD-10123</t>
  </si>
  <si>
    <t>ORD-10419</t>
  </si>
  <si>
    <t>ORD-10648</t>
  </si>
  <si>
    <t>ORD-10429</t>
  </si>
  <si>
    <t>ORD-10624</t>
  </si>
  <si>
    <t>ORD-10775</t>
  </si>
  <si>
    <t>Steven Sanchez</t>
  </si>
  <si>
    <t>ORD-10856</t>
  </si>
  <si>
    <t>Betty Sanchez</t>
  </si>
  <si>
    <t>ORD-10875</t>
  </si>
  <si>
    <t>Robert White</t>
  </si>
  <si>
    <t>ORD-10774</t>
  </si>
  <si>
    <t>ORD-10454</t>
  </si>
  <si>
    <t>Carol Garcia</t>
  </si>
  <si>
    <t>ORD-10722</t>
  </si>
  <si>
    <t>ORD-10044</t>
  </si>
  <si>
    <t>Michael Perez</t>
  </si>
  <si>
    <t>ORD-10241</t>
  </si>
  <si>
    <t>ORD-10486</t>
  </si>
  <si>
    <t>Nancy Williams</t>
  </si>
  <si>
    <t>ORD-10580</t>
  </si>
  <si>
    <t>ORD-10264</t>
  </si>
  <si>
    <t>Susan Brown</t>
  </si>
  <si>
    <t>ORD-10535</t>
  </si>
  <si>
    <t>ORD-10421</t>
  </si>
  <si>
    <t>Daniel Garcia</t>
  </si>
  <si>
    <t>ORD-10257</t>
  </si>
  <si>
    <t>Donald Lewis</t>
  </si>
  <si>
    <t>ORD-10727</t>
  </si>
  <si>
    <t>ORD-10134</t>
  </si>
  <si>
    <t>Richard Anderson</t>
  </si>
  <si>
    <t>ORD-10485</t>
  </si>
  <si>
    <t>Donald Martinez</t>
  </si>
  <si>
    <t>ORD-10373</t>
  </si>
  <si>
    <t>ORD-10712</t>
  </si>
  <si>
    <t>Karen Taylor</t>
  </si>
  <si>
    <t>ORD-10200</t>
  </si>
  <si>
    <t>ORD-10074</t>
  </si>
  <si>
    <t>Emily Smith</t>
  </si>
  <si>
    <t>ORD-10697</t>
  </si>
  <si>
    <t>Andrew Lewis</t>
  </si>
  <si>
    <t>ORD-10343</t>
  </si>
  <si>
    <t>ORD-10079</t>
  </si>
  <si>
    <t>ORD-10331</t>
  </si>
  <si>
    <t>ORD-10710</t>
  </si>
  <si>
    <t>ORD-10088</t>
  </si>
  <si>
    <t>ORD-10233</t>
  </si>
  <si>
    <t>ORD-10659</t>
  </si>
  <si>
    <t>ORD-10217</t>
  </si>
  <si>
    <t>ORD-10451</t>
  </si>
  <si>
    <t>Jessica Williams</t>
  </si>
  <si>
    <t>ORD-10031</t>
  </si>
  <si>
    <t>Richard Robinson</t>
  </si>
  <si>
    <t>ORD-10370</t>
  </si>
  <si>
    <t>ORD-10186</t>
  </si>
  <si>
    <t>Mark Perez</t>
  </si>
  <si>
    <t>ORD-10695</t>
  </si>
  <si>
    <t>Joshua White</t>
  </si>
  <si>
    <t>ORD-10489</t>
  </si>
  <si>
    <t>Kimberly Lewis</t>
  </si>
  <si>
    <t>ORD-10588</t>
  </si>
  <si>
    <t>ORD-10985</t>
  </si>
  <si>
    <t>ORD-10814</t>
  </si>
  <si>
    <t>Kenneth Wilson</t>
  </si>
  <si>
    <t>ORD-10374</t>
  </si>
  <si>
    <t>Anthony Lewis</t>
  </si>
  <si>
    <t>ORD-10496</t>
  </si>
  <si>
    <t>David Moore</t>
  </si>
  <si>
    <t>ORD-10165</t>
  </si>
  <si>
    <t>Mark Miller</t>
  </si>
  <si>
    <t>ORD-10940</t>
  </si>
  <si>
    <t>ORD-10334</t>
  </si>
  <si>
    <t>Matthew Moore</t>
  </si>
  <si>
    <t>ORD-10100</t>
  </si>
  <si>
    <t>Steven White</t>
  </si>
  <si>
    <t>ORD-10566</t>
  </si>
  <si>
    <t>ORD-10506</t>
  </si>
  <si>
    <t>ORD-10043</t>
  </si>
  <si>
    <t>Donna Jackson</t>
  </si>
  <si>
    <t>ORD-10177</t>
  </si>
  <si>
    <t>William Davis</t>
  </si>
  <si>
    <t>ORD-10804</t>
  </si>
  <si>
    <t>ORD-10230</t>
  </si>
  <si>
    <t>Christopher Anderson</t>
  </si>
  <si>
    <t>ORD-10053</t>
  </si>
  <si>
    <t>Matthew Jones</t>
  </si>
  <si>
    <t>ORD-10759</t>
  </si>
  <si>
    <t>Kevin Johnson</t>
  </si>
  <si>
    <t>ORD-10841</t>
  </si>
  <si>
    <t>Donald Harris</t>
  </si>
  <si>
    <t>ORD-10065</t>
  </si>
  <si>
    <t>William Ramirez</t>
  </si>
  <si>
    <t>ORD-10122</t>
  </si>
  <si>
    <t>ORD-10709</t>
  </si>
  <si>
    <t>Michael Harris</t>
  </si>
  <si>
    <t>ORD-10950</t>
  </si>
  <si>
    <t>ORD-10463</t>
  </si>
  <si>
    <t>David Martinez</t>
  </si>
  <si>
    <t>ORD-10977</t>
  </si>
  <si>
    <t>ORD-10956</t>
  </si>
  <si>
    <t>ORD-10105</t>
  </si>
  <si>
    <t>Betty Robinson</t>
  </si>
  <si>
    <t>ORD-10103</t>
  </si>
  <si>
    <t>Christopher Brown</t>
  </si>
  <si>
    <t>ORD-10764</t>
  </si>
  <si>
    <t>Lisa Thompson</t>
  </si>
  <si>
    <t>ORD-10347</t>
  </si>
  <si>
    <t>ORD-10632</t>
  </si>
  <si>
    <t>James Johnson</t>
  </si>
  <si>
    <t>ORD-10388</t>
  </si>
  <si>
    <t>ORD-10661</t>
  </si>
  <si>
    <t>Dorothy Martinez</t>
  </si>
  <si>
    <t>ORD-10411</t>
  </si>
  <si>
    <t>ORD-10289</t>
  </si>
  <si>
    <t>Linda Thomas</t>
  </si>
  <si>
    <t>ORD-10551</t>
  </si>
  <si>
    <t>Joshua Hernandez</t>
  </si>
  <si>
    <t>ORD-10983</t>
  </si>
  <si>
    <t>Kenneth Jackson</t>
  </si>
  <si>
    <t>ORD-10424</t>
  </si>
  <si>
    <t>ORD-10492</t>
  </si>
  <si>
    <t>ORD-10181</t>
  </si>
  <si>
    <t>ORD-10959</t>
  </si>
  <si>
    <t>Robert Martinez</t>
  </si>
  <si>
    <t>ORD-10092</t>
  </si>
  <si>
    <t>Daniel Lewis</t>
  </si>
  <si>
    <t>ORD-10328</t>
  </si>
  <si>
    <t>ORD-10183</t>
  </si>
  <si>
    <t>ORD-10786</t>
  </si>
  <si>
    <t>Sandra White</t>
  </si>
  <si>
    <t>ORD-10871</t>
  </si>
  <si>
    <t>ORD-10121</t>
  </si>
  <si>
    <t>ORD-10078</t>
  </si>
  <si>
    <t>Karen Anderson</t>
  </si>
  <si>
    <t>ORD-10757</t>
  </si>
  <si>
    <t>Revenue</t>
  </si>
  <si>
    <t>Dscount</t>
  </si>
  <si>
    <t>Total Cost</t>
  </si>
  <si>
    <t>Grand Total</t>
  </si>
  <si>
    <t xml:space="preserve">Revenue </t>
  </si>
  <si>
    <t>Column Labels</t>
  </si>
  <si>
    <t>Sum of Profit</t>
  </si>
  <si>
    <t xml:space="preserve">Profit </t>
  </si>
  <si>
    <t>Qtr1</t>
  </si>
  <si>
    <t>Qtr2</t>
  </si>
  <si>
    <t>Qtr3</t>
  </si>
  <si>
    <t>Qtr4</t>
  </si>
  <si>
    <t xml:space="preserve">Average Profit </t>
  </si>
  <si>
    <t xml:space="preserve">Total Orders </t>
  </si>
  <si>
    <t xml:space="preserve">Total Revenue </t>
  </si>
  <si>
    <t xml:space="preserve">Total Profit </t>
  </si>
  <si>
    <t>Sum of Revenue</t>
  </si>
  <si>
    <t>Row Labels</t>
  </si>
  <si>
    <t>2024</t>
  </si>
  <si>
    <t>2025</t>
  </si>
  <si>
    <t>Profit Margin</t>
  </si>
  <si>
    <t xml:space="preserve">Gross Profit Margin % </t>
  </si>
  <si>
    <t>Sum of Quantity</t>
  </si>
  <si>
    <t xml:space="preserve">Total Expenses </t>
  </si>
  <si>
    <t xml:space="preserve">Profit Margin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</si>
</sst>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&quot;$&quot;#,##0.00"/>
    <numFmt numFmtId="166" formatCode="0&quot;%&quot;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0" borderId="0" xfId="0" applyNumberFormat="1"/>
    <xf numFmtId="9" fontId="1" fillId="2" borderId="0" xfId="0" applyNumberFormat="1" applyFont="1" applyFill="1" applyAlignment="1">
      <alignment horizontal="right"/>
    </xf>
    <xf numFmtId="9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10" fontId="0" fillId="0" borderId="0" xfId="0" applyNumberFormat="1"/>
    <xf numFmtId="164" fontId="1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0" fontId="1" fillId="2" borderId="0" xfId="0" applyNumberFormat="1" applyFont="1" applyFill="1" applyAlignment="1">
      <alignment horizontal="right"/>
    </xf>
  </cellXfs>
  <cellStyles count="2">
    <cellStyle name="Comma" xfId="1" builtinId="3"/>
    <cellStyle name="Normal" xfId="0" builtinId="0"/>
  </cellStyles>
  <dxfs count="36">
    <dxf>
      <numFmt numFmtId="14" formatCode="0.00%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3" formatCode="0%"/>
    </dxf>
    <dxf>
      <numFmt numFmtId="165" formatCode="&quot;$&quot;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6" formatCode="0&quot;%&quot;"/>
    </dxf>
    <dxf>
      <numFmt numFmtId="165" formatCode="&quot;$&quot;#,##0.00"/>
    </dxf>
    <dxf>
      <numFmt numFmtId="1" formatCode="0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alignment horizontal="right"/>
    </dxf>
    <dxf>
      <alignment horizontal="right"/>
    </dxf>
    <dxf>
      <numFmt numFmtId="2" formatCode="0.00"/>
    </dxf>
    <dxf>
      <numFmt numFmtId="2" formatCode="0.00"/>
    </dxf>
    <dxf>
      <numFmt numFmtId="2" formatCode="0.00"/>
    </dxf>
    <dxf>
      <alignment horizontal="right"/>
    </dxf>
    <dxf>
      <numFmt numFmtId="14" formatCode="0.00%"/>
    </dxf>
    <dxf>
      <numFmt numFmtId="14" formatCode="0.00%"/>
    </dxf>
    <dxf>
      <numFmt numFmtId="14" formatCode="0.00%"/>
    </dxf>
    <dxf>
      <alignment horizontal="right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alignment horizontal="right"/>
    </dxf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Tables'!$U$2:$U$7</c:f>
              <c:strCache>
                <c:ptCount val="5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  <c:pt idx="4">
                  <c:v>North</c:v>
                </c:pt>
              </c:strCache>
            </c:strRef>
          </c:cat>
          <c:val>
            <c:numRef>
              <c:f>'Pivot Tables'!$V$2:$V$7</c:f>
              <c:numCache>
                <c:formatCode>"$"#,##0.00</c:formatCode>
                <c:ptCount val="5"/>
                <c:pt idx="0">
                  <c:v>4735.340000000002</c:v>
                </c:pt>
                <c:pt idx="1">
                  <c:v>5321.12</c:v>
                </c:pt>
                <c:pt idx="2">
                  <c:v>5358.8499999999967</c:v>
                </c:pt>
                <c:pt idx="3">
                  <c:v>6052.41</c:v>
                </c:pt>
                <c:pt idx="4">
                  <c:v>6680.4099999999962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4-454A-B01C-DD6B61E9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67311808"/>
        <c:axId val="1967312768"/>
      </c:barChart>
      <c:catAx>
        <c:axId val="196731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12768"/>
        <c:crosses val="autoZero"/>
        <c:auto val="1"/>
        <c:lblAlgn val="ctr"/>
        <c:lblOffset val="100"/>
        <c:noMultiLvlLbl val="0"/>
      </c:catAx>
      <c:valAx>
        <c:axId val="19673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Orders by Ship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2603424571927345E-3"/>
              <c:y val="6.39927821522309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685114360704912E-2"/>
              <c:y val="-8.76348789734618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941163604549444E-2"/>
              <c:y val="1.93033683289588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256085534039846"/>
              <c:y val="-2.05245698454359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9790026246719186E-2"/>
              <c:y val="3.28054826480023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407659032680462E-2"/>
              <c:y val="6.064450277048659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4438005249343835E-2"/>
              <c:y val="3.39924176144648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4223412073490717E-2"/>
              <c:y val="-2.30737824438612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4.4689343832020903E-2"/>
              <c:y val="2.6406022163896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00524934383203"/>
          <c:y val="0.24784740449110529"/>
          <c:w val="0.44909511311086114"/>
          <c:h val="0.65493037328667247"/>
        </c:manualLayout>
      </c:layout>
      <c:pieChart>
        <c:varyColors val="1"/>
        <c:ser>
          <c:idx val="0"/>
          <c:order val="0"/>
          <c:tx>
            <c:strRef>
              <c:f>'Pivot Tables'!$AC$1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9A6-4DA9-9ABC-06A21F761A5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A6-4DA9-9ABC-06A21F761A55}"/>
              </c:ext>
            </c:extLst>
          </c:dPt>
          <c:dPt>
            <c:idx val="2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A6-4DA9-9ABC-06A21F761A55}"/>
              </c:ext>
            </c:extLst>
          </c:dPt>
          <c:dLbls>
            <c:dLbl>
              <c:idx val="0"/>
              <c:layout>
                <c:manualLayout>
                  <c:x val="4.4223412073490717E-2"/>
                  <c:y val="-2.307378244386122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A6-4DA9-9ABC-06A21F761A55}"/>
                </c:ext>
              </c:extLst>
            </c:dLbl>
            <c:dLbl>
              <c:idx val="1"/>
              <c:layout>
                <c:manualLayout>
                  <c:x val="4.4689343832020903E-2"/>
                  <c:y val="2.640602216389617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A6-4DA9-9ABC-06A21F761A55}"/>
                </c:ext>
              </c:extLst>
            </c:dLbl>
            <c:dLbl>
              <c:idx val="2"/>
              <c:layout>
                <c:manualLayout>
                  <c:x val="-5.4438005249343835E-2"/>
                  <c:y val="3.399241761446485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A6-4DA9-9ABC-06A21F761A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Tables'!$AB$2:$AB$5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'Pivot Tables'!$AC$2:$AC$5</c:f>
              <c:numCache>
                <c:formatCode>0</c:formatCode>
                <c:ptCount val="3"/>
                <c:pt idx="0">
                  <c:v>711</c:v>
                </c:pt>
                <c:pt idx="1">
                  <c:v>182</c:v>
                </c:pt>
                <c:pt idx="2">
                  <c:v>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A6-4DA9-9ABC-06A21F761A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Quarter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tx2">
                <a:lumMod val="75000"/>
                <a:lumOff val="25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tx2">
                <a:lumMod val="90000"/>
                <a:lumOff val="1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90000"/>
                <a:lumOff val="1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tx2">
                <a:lumMod val="25000"/>
                <a:lumOff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tx2">
                <a:lumMod val="90000"/>
                <a:lumOff val="1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90000"/>
                <a:lumOff val="1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ln w="34925" cap="rnd">
            <a:solidFill>
              <a:schemeClr val="tx2">
                <a:lumMod val="25000"/>
                <a:lumOff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Tables'!$AK$1:$AK$2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90000"/>
                  <a:lumOff val="10000"/>
                </a:schemeClr>
              </a:solidFill>
              <a:ln w="9525">
                <a:solidFill>
                  <a:schemeClr val="tx2">
                    <a:lumMod val="90000"/>
                    <a:lumOff val="1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Tables'!$AJ$3:$AJ$7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Tables'!$AK$3:$AK$7</c:f>
              <c:numCache>
                <c:formatCode>"$"#,##0.00</c:formatCode>
                <c:ptCount val="4"/>
                <c:pt idx="0">
                  <c:v>10528.03</c:v>
                </c:pt>
                <c:pt idx="1">
                  <c:v>11154.848000000002</c:v>
                </c:pt>
                <c:pt idx="2">
                  <c:v>11124.947000000002</c:v>
                </c:pt>
                <c:pt idx="3">
                  <c:v>14191.426499999994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B-4099-B880-4C1EE069237D}"/>
            </c:ext>
          </c:extLst>
        </c:ser>
        <c:ser>
          <c:idx val="1"/>
          <c:order val="1"/>
          <c:tx>
            <c:strRef>
              <c:f>'Pivot Tables'!$AL$1:$AL$2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Tables'!$AJ$3:$AJ$7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Tables'!$AL$3:$AL$7</c:f>
              <c:numCache>
                <c:formatCode>"$"#,##0.00</c:formatCode>
                <c:ptCount val="4"/>
                <c:pt idx="0">
                  <c:v>9113.334499999999</c:v>
                </c:pt>
                <c:pt idx="1">
                  <c:v>9955.739000000005</c:v>
                </c:pt>
                <c:pt idx="2">
                  <c:v>8968.716499999995</c:v>
                </c:pt>
                <c:pt idx="3">
                  <c:v>15165.386999999992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EB-4099-B880-4C1EE0692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597151"/>
        <c:axId val="1224615871"/>
      </c:lineChart>
      <c:catAx>
        <c:axId val="122459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615871"/>
        <c:crosses val="autoZero"/>
        <c:auto val="1"/>
        <c:lblAlgn val="ctr"/>
        <c:lblOffset val="100"/>
        <c:noMultiLvlLbl val="0"/>
      </c:catAx>
      <c:valAx>
        <c:axId val="12246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Vs. Profit Margin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tx2">
                <a:lumMod val="25000"/>
                <a:lumOff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Tables'!$AS$1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Tables'!$AR$2:$AR$7</c:f>
              <c:strCache>
                <c:ptCount val="5"/>
                <c:pt idx="0">
                  <c:v>Beauty</c:v>
                </c:pt>
                <c:pt idx="1">
                  <c:v>Sports</c:v>
                </c:pt>
                <c:pt idx="2">
                  <c:v>Home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'Pivot Tables'!$AS$2:$AS$7</c:f>
              <c:numCache>
                <c:formatCode>"$"#,##0.00</c:formatCode>
                <c:ptCount val="5"/>
                <c:pt idx="0">
                  <c:v>12901.034</c:v>
                </c:pt>
                <c:pt idx="1">
                  <c:v>14687.895000000004</c:v>
                </c:pt>
                <c:pt idx="2">
                  <c:v>16124.6245</c:v>
                </c:pt>
                <c:pt idx="3">
                  <c:v>18819.651499999996</c:v>
                </c:pt>
                <c:pt idx="4">
                  <c:v>27669.223500000004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7-4980-97B8-FEE54A9A5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487423"/>
        <c:axId val="1514510463"/>
      </c:barChart>
      <c:lineChart>
        <c:grouping val="standard"/>
        <c:varyColors val="0"/>
        <c:ser>
          <c:idx val="1"/>
          <c:order val="1"/>
          <c:tx>
            <c:strRef>
              <c:f>'Pivot Tables'!$AT$1</c:f>
              <c:strCache>
                <c:ptCount val="1"/>
                <c:pt idx="0">
                  <c:v>Profit Margin  </c:v>
                </c:pt>
              </c:strCache>
            </c:strRef>
          </c:tx>
          <c:spPr>
            <a:ln w="3492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Tables'!$AR$2:$AR$7</c:f>
              <c:strCache>
                <c:ptCount val="5"/>
                <c:pt idx="0">
                  <c:v>Beauty</c:v>
                </c:pt>
                <c:pt idx="1">
                  <c:v>Sports</c:v>
                </c:pt>
                <c:pt idx="2">
                  <c:v>Home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'Pivot Tables'!$AT$2:$AT$7</c:f>
              <c:numCache>
                <c:formatCode>0.00%</c:formatCode>
                <c:ptCount val="5"/>
                <c:pt idx="0">
                  <c:v>0.52970150667438343</c:v>
                </c:pt>
                <c:pt idx="1">
                  <c:v>0.25053305629350842</c:v>
                </c:pt>
                <c:pt idx="2">
                  <c:v>0.30742813039320521</c:v>
                </c:pt>
                <c:pt idx="3">
                  <c:v>0.42776017527085952</c:v>
                </c:pt>
                <c:pt idx="4">
                  <c:v>0.16625843433997159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7-4980-97B8-FEE54A9A5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501823"/>
        <c:axId val="1514489343"/>
      </c:lineChart>
      <c:catAx>
        <c:axId val="151448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10463"/>
        <c:crosses val="autoZero"/>
        <c:auto val="1"/>
        <c:lblAlgn val="ctr"/>
        <c:lblOffset val="100"/>
        <c:noMultiLvlLbl val="0"/>
      </c:catAx>
      <c:valAx>
        <c:axId val="15145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487423"/>
        <c:crosses val="autoZero"/>
        <c:crossBetween val="between"/>
      </c:valAx>
      <c:valAx>
        <c:axId val="1514489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501823"/>
        <c:crosses val="max"/>
        <c:crossBetween val="between"/>
      </c:valAx>
      <c:catAx>
        <c:axId val="1514501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4489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  <a:r>
              <a:rPr lang="en-US" baseline="0"/>
              <a:t> by Quarter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tx2">
                <a:lumMod val="90000"/>
                <a:lumOff val="10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90000"/>
                <a:lumOff val="10000"/>
              </a:schemeClr>
            </a:solidFill>
            <a:ln w="9525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tx2">
                <a:lumMod val="25000"/>
                <a:lumOff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tx2">
                <a:lumMod val="25000"/>
                <a:lumOff val="75000"/>
              </a:schemeClr>
            </a:solidFill>
            <a:ln w="9525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Tables'!$D$1:$D$2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90000"/>
                  <a:lumOff val="10000"/>
                </a:schemeClr>
              </a:solidFill>
              <a:ln w="9525">
                <a:solidFill>
                  <a:schemeClr val="tx2">
                    <a:lumMod val="90000"/>
                    <a:lumOff val="1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Tables'!$C$3:$C$7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Tables'!$D$3:$D$7</c:f>
              <c:numCache>
                <c:formatCode>"$"#,##0.00</c:formatCode>
                <c:ptCount val="4"/>
                <c:pt idx="0">
                  <c:v>3162.2000000000003</c:v>
                </c:pt>
                <c:pt idx="1">
                  <c:v>3380.03</c:v>
                </c:pt>
                <c:pt idx="2">
                  <c:v>3389.4399999999987</c:v>
                </c:pt>
                <c:pt idx="3">
                  <c:v>4644.09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F0-4C9D-8AF0-984E19472B15}"/>
            </c:ext>
          </c:extLst>
        </c:ser>
        <c:ser>
          <c:idx val="1"/>
          <c:order val="1"/>
          <c:tx>
            <c:strRef>
              <c:f>'Pivot Tables'!$E$1:$E$2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Tables'!$C$3:$C$7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Tables'!$E$3:$E$7</c:f>
              <c:numCache>
                <c:formatCode>"$"#,##0.00</c:formatCode>
                <c:ptCount val="4"/>
                <c:pt idx="0">
                  <c:v>3061.8599999999988</c:v>
                </c:pt>
                <c:pt idx="1">
                  <c:v>3141.5400000000009</c:v>
                </c:pt>
                <c:pt idx="2">
                  <c:v>2864.1299999999992</c:v>
                </c:pt>
                <c:pt idx="3">
                  <c:v>4504.840000000002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F0-4C9D-8AF0-984E19472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38655"/>
        <c:axId val="1545846335"/>
      </c:lineChart>
      <c:catAx>
        <c:axId val="154583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46335"/>
        <c:crosses val="autoZero"/>
        <c:auto val="1"/>
        <c:lblAlgn val="ctr"/>
        <c:lblOffset val="100"/>
        <c:noMultiLvlLbl val="0"/>
      </c:catAx>
      <c:valAx>
        <c:axId val="15458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Bet</a:t>
                </a:r>
                <a:r>
                  <a:rPr lang="en-US" baseline="0"/>
                  <a:t> Profit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[E-Commerce-Sales-Dashboard.xlsx]Pivot 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Tables'!$L$2:$L$12</c:f>
              <c:strCache>
                <c:ptCount val="10"/>
                <c:pt idx="0">
                  <c:v>Cargo Shorts</c:v>
                </c:pt>
                <c:pt idx="1">
                  <c:v>Tablet Case</c:v>
                </c:pt>
                <c:pt idx="2">
                  <c:v>Wireless Headphones</c:v>
                </c:pt>
                <c:pt idx="3">
                  <c:v>Running Shoes</c:v>
                </c:pt>
                <c:pt idx="4">
                  <c:v>Portable Charger</c:v>
                </c:pt>
                <c:pt idx="5">
                  <c:v>Keyboard Mechanical</c:v>
                </c:pt>
                <c:pt idx="6">
                  <c:v>USB-C Hub</c:v>
                </c:pt>
                <c:pt idx="7">
                  <c:v>Smart Watch</c:v>
                </c:pt>
                <c:pt idx="8">
                  <c:v>Mouse Wireless</c:v>
                </c:pt>
                <c:pt idx="9">
                  <c:v>Webcam HD</c:v>
                </c:pt>
              </c:strCache>
            </c:strRef>
          </c:cat>
          <c:val>
            <c:numRef>
              <c:f>'Pivot Tables'!$M$2:$M$12</c:f>
              <c:numCache>
                <c:formatCode>"$"#,##0.00</c:formatCode>
                <c:ptCount val="10"/>
                <c:pt idx="0">
                  <c:v>2333.4214999999999</c:v>
                </c:pt>
                <c:pt idx="1">
                  <c:v>2336.0625</c:v>
                </c:pt>
                <c:pt idx="2">
                  <c:v>2342.8765000000003</c:v>
                </c:pt>
                <c:pt idx="3">
                  <c:v>2449.9310000000005</c:v>
                </c:pt>
                <c:pt idx="4">
                  <c:v>2623.7049999999995</c:v>
                </c:pt>
                <c:pt idx="5">
                  <c:v>2725.0809999999997</c:v>
                </c:pt>
                <c:pt idx="6">
                  <c:v>2852.2645000000007</c:v>
                </c:pt>
                <c:pt idx="7">
                  <c:v>3187.895</c:v>
                </c:pt>
                <c:pt idx="8">
                  <c:v>3399.7469999999998</c:v>
                </c:pt>
                <c:pt idx="9">
                  <c:v>3794.0089999999996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4-4B62-B7F0-743FB738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45931775"/>
        <c:axId val="1545941375"/>
      </c:barChart>
      <c:catAx>
        <c:axId val="1545931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941375"/>
        <c:crosses val="autoZero"/>
        <c:auto val="1"/>
        <c:lblAlgn val="ctr"/>
        <c:lblOffset val="100"/>
        <c:noMultiLvlLbl val="0"/>
      </c:catAx>
      <c:valAx>
        <c:axId val="154594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93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338137</xdr:colOff>
      <xdr:row>14</xdr:row>
      <xdr:rowOff>4762</xdr:rowOff>
    </xdr:from>
    <xdr:to>
      <xdr:col>24</xdr:col>
      <xdr:colOff>290512</xdr:colOff>
      <xdr:row>28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9EDA71-BB4E-0071-5729-62D98D718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47625</xdr:colOff>
      <xdr:row>14</xdr:row>
      <xdr:rowOff>52387</xdr:rowOff>
    </xdr:from>
    <xdr:to>
      <xdr:col>31</xdr:col>
      <xdr:colOff>247650</xdr:colOff>
      <xdr:row>28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BC90F-EAC2-8C95-DE35-2D86C4A63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342901</xdr:colOff>
      <xdr:row>14</xdr:row>
      <xdr:rowOff>100012</xdr:rowOff>
    </xdr:from>
    <xdr:to>
      <xdr:col>40</xdr:col>
      <xdr:colOff>333376</xdr:colOff>
      <xdr:row>28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D11DBA-6F3A-962D-FDCA-7008BC319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647700</xdr:colOff>
      <xdr:row>14</xdr:row>
      <xdr:rowOff>157162</xdr:rowOff>
    </xdr:from>
    <xdr:to>
      <xdr:col>47</xdr:col>
      <xdr:colOff>123825</xdr:colOff>
      <xdr:row>29</xdr:row>
      <xdr:rowOff>42862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0F8BF1-9229-7B15-5443-0B3163E94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57151</xdr:colOff>
      <xdr:row>14</xdr:row>
      <xdr:rowOff>109537</xdr:rowOff>
    </xdr:from>
    <xdr:to>
      <xdr:col>7</xdr:col>
      <xdr:colOff>304801</xdr:colOff>
      <xdr:row>28</xdr:row>
      <xdr:rowOff>185737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FA3E0F-506D-A42D-E057-8DAA2F770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238124</xdr:colOff>
      <xdr:row>13</xdr:row>
      <xdr:rowOff>171450</xdr:rowOff>
    </xdr:from>
    <xdr:to>
      <xdr:col>15</xdr:col>
      <xdr:colOff>200024</xdr:colOff>
      <xdr:row>29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6F4A0E-7ED1-6715-E392-777DB45FA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8.900608796299" createdVersion="8" refreshedVersion="8" minRefreshableVersion="3" recordCount="1000" xr:uid="{D46B564F-CC73-4753-9F3D-EE2C70380072}">
  <cacheSource type="worksheet">
    <worksheetSource name="Table23"/>
  </cacheSource>
  <cacheFields count="25">
    <cacheField name="Order ID" numFmtId="49">
      <sharedItems/>
    </cacheField>
    <cacheField name="Order Date" numFmtId="164">
      <sharedItems containsSemiMixedTypes="0" containsNonDate="0" containsDate="1" containsString="0" minDate="2024-01-01T00:00:00" maxDate="2025-12-31T00:00:00" count="536">
        <d v="2024-05-11T00:00:00"/>
        <d v="2025-02-10T00:00:00"/>
        <d v="2025-09-16T00:00:00"/>
        <d v="2024-11-10T00:00:00"/>
        <d v="2024-06-23T00:00:00"/>
        <d v="2024-11-21T00:00:00"/>
        <d v="2024-12-02T00:00:00"/>
        <d v="2024-08-06T00:00:00"/>
        <d v="2025-08-18T00:00:00"/>
        <d v="2025-06-16T00:00:00"/>
        <d v="2025-10-26T00:00:00"/>
        <d v="2024-06-16T00:00:00"/>
        <d v="2024-02-22T00:00:00"/>
        <d v="2025-01-22T00:00:00"/>
        <d v="2025-06-30T00:00:00"/>
        <d v="2025-10-18T00:00:00"/>
        <d v="2025-12-17T00:00:00"/>
        <d v="2025-01-01T00:00:00"/>
        <d v="2025-05-25T00:00:00"/>
        <d v="2025-09-25T00:00:00"/>
        <d v="2025-04-28T00:00:00"/>
        <d v="2025-11-08T00:00:00"/>
        <d v="2024-11-06T00:00:00"/>
        <d v="2024-04-06T00:00:00"/>
        <d v="2024-03-16T00:00:00"/>
        <d v="2024-07-30T00:00:00"/>
        <d v="2025-11-03T00:00:00"/>
        <d v="2025-10-19T00:00:00"/>
        <d v="2025-03-21T00:00:00"/>
        <d v="2024-12-21T00:00:00"/>
        <d v="2024-10-25T00:00:00"/>
        <d v="2024-12-01T00:00:00"/>
        <d v="2025-06-23T00:00:00"/>
        <d v="2024-07-13T00:00:00"/>
        <d v="2025-12-13T00:00:00"/>
        <d v="2024-08-12T00:00:00"/>
        <d v="2025-04-07T00:00:00"/>
        <d v="2025-10-11T00:00:00"/>
        <d v="2025-10-15T00:00:00"/>
        <d v="2024-09-10T00:00:00"/>
        <d v="2025-02-16T00:00:00"/>
        <d v="2024-09-30T00:00:00"/>
        <d v="2024-03-18T00:00:00"/>
        <d v="2025-07-22T00:00:00"/>
        <d v="2025-04-30T00:00:00"/>
        <d v="2024-06-30T00:00:00"/>
        <d v="2024-03-31T00:00:00"/>
        <d v="2025-09-30T00:00:00"/>
        <d v="2025-11-09T00:00:00"/>
        <d v="2025-08-05T00:00:00"/>
        <d v="2024-01-21T00:00:00"/>
        <d v="2025-07-11T00:00:00"/>
        <d v="2025-03-04T00:00:00"/>
        <d v="2025-04-24T00:00:00"/>
        <d v="2025-07-18T00:00:00"/>
        <d v="2024-07-06T00:00:00"/>
        <d v="2025-06-21T00:00:00"/>
        <d v="2025-10-24T00:00:00"/>
        <d v="2025-07-16T00:00:00"/>
        <d v="2025-08-12T00:00:00"/>
        <d v="2024-12-03T00:00:00"/>
        <d v="2025-09-07T00:00:00"/>
        <d v="2025-01-29T00:00:00"/>
        <d v="2025-05-05T00:00:00"/>
        <d v="2024-12-27T00:00:00"/>
        <d v="2024-01-14T00:00:00"/>
        <d v="2025-01-10T00:00:00"/>
        <d v="2024-11-09T00:00:00"/>
        <d v="2024-07-14T00:00:00"/>
        <d v="2024-06-06T00:00:00"/>
        <d v="2025-02-07T00:00:00"/>
        <d v="2025-12-21T00:00:00"/>
        <d v="2025-09-11T00:00:00"/>
        <d v="2024-11-15T00:00:00"/>
        <d v="2024-11-13T00:00:00"/>
        <d v="2025-02-28T00:00:00"/>
        <d v="2024-12-07T00:00:00"/>
        <d v="2024-09-23T00:00:00"/>
        <d v="2024-07-24T00:00:00"/>
        <d v="2025-10-27T00:00:00"/>
        <d v="2024-12-04T00:00:00"/>
        <d v="2024-09-27T00:00:00"/>
        <d v="2024-09-25T00:00:00"/>
        <d v="2025-11-26T00:00:00"/>
        <d v="2024-02-04T00:00:00"/>
        <d v="2024-01-09T00:00:00"/>
        <d v="2025-11-10T00:00:00"/>
        <d v="2024-11-20T00:00:00"/>
        <d v="2024-08-10T00:00:00"/>
        <d v="2025-01-12T00:00:00"/>
        <d v="2025-10-14T00:00:00"/>
        <d v="2024-01-17T00:00:00"/>
        <d v="2025-02-20T00:00:00"/>
        <d v="2025-12-24T00:00:00"/>
        <d v="2025-10-21T00:00:00"/>
        <d v="2025-12-14T00:00:00"/>
        <d v="2024-06-13T00:00:00"/>
        <d v="2024-09-16T00:00:00"/>
        <d v="2025-03-06T00:00:00"/>
        <d v="2025-04-08T00:00:00"/>
        <d v="2024-03-14T00:00:00"/>
        <d v="2024-11-07T00:00:00"/>
        <d v="2025-04-20T00:00:00"/>
        <d v="2025-01-09T00:00:00"/>
        <d v="2024-04-30T00:00:00"/>
        <d v="2024-06-11T00:00:00"/>
        <d v="2024-04-19T00:00:00"/>
        <d v="2025-09-08T00:00:00"/>
        <d v="2024-12-14T00:00:00"/>
        <d v="2025-05-24T00:00:00"/>
        <d v="2024-04-04T00:00:00"/>
        <d v="2025-01-17T00:00:00"/>
        <d v="2025-03-31T00:00:00"/>
        <d v="2024-01-08T00:00:00"/>
        <d v="2024-05-15T00:00:00"/>
        <d v="2025-01-11T00:00:00"/>
        <d v="2024-11-11T00:00:00"/>
        <d v="2025-06-09T00:00:00"/>
        <d v="2025-12-01T00:00:00"/>
        <d v="2024-06-17T00:00:00"/>
        <d v="2024-09-12T00:00:00"/>
        <d v="2025-09-03T00:00:00"/>
        <d v="2024-06-02T00:00:00"/>
        <d v="2024-07-31T00:00:00"/>
        <d v="2025-10-22T00:00:00"/>
        <d v="2024-07-26T00:00:00"/>
        <d v="2025-04-06T00:00:00"/>
        <d v="2024-08-23T00:00:00"/>
        <d v="2024-08-01T00:00:00"/>
        <d v="2025-04-15T00:00:00"/>
        <d v="2024-03-17T00:00:00"/>
        <d v="2024-09-14T00:00:00"/>
        <d v="2025-03-24T00:00:00"/>
        <d v="2024-05-02T00:00:00"/>
        <d v="2025-03-17T00:00:00"/>
        <d v="2025-01-25T00:00:00"/>
        <d v="2025-11-11T00:00:00"/>
        <d v="2024-09-22T00:00:00"/>
        <d v="2024-12-19T00:00:00"/>
        <d v="2024-02-21T00:00:00"/>
        <d v="2024-05-24T00:00:00"/>
        <d v="2025-06-22T00:00:00"/>
        <d v="2024-09-08T00:00:00"/>
        <d v="2024-11-28T00:00:00"/>
        <d v="2025-04-12T00:00:00"/>
        <d v="2025-07-19T00:00:00"/>
        <d v="2024-01-07T00:00:00"/>
        <d v="2024-01-11T00:00:00"/>
        <d v="2024-05-13T00:00:00"/>
        <d v="2025-01-31T00:00:00"/>
        <d v="2024-12-29T00:00:00"/>
        <d v="2024-08-20T00:00:00"/>
        <d v="2025-11-20T00:00:00"/>
        <d v="2024-11-27T00:00:00"/>
        <d v="2025-01-03T00:00:00"/>
        <d v="2024-05-17T00:00:00"/>
        <d v="2025-05-13T00:00:00"/>
        <d v="2025-12-07T00:00:00"/>
        <d v="2024-03-12T00:00:00"/>
        <d v="2025-02-21T00:00:00"/>
        <d v="2024-11-17T00:00:00"/>
        <d v="2024-01-10T00:00:00"/>
        <d v="2025-04-10T00:00:00"/>
        <d v="2025-05-12T00:00:00"/>
        <d v="2024-04-20T00:00:00"/>
        <d v="2025-02-02T00:00:00"/>
        <d v="2024-11-08T00:00:00"/>
        <d v="2024-06-04T00:00:00"/>
        <d v="2024-04-15T00:00:00"/>
        <d v="2025-03-18T00:00:00"/>
        <d v="2024-11-30T00:00:00"/>
        <d v="2024-12-25T00:00:00"/>
        <d v="2025-12-09T00:00:00"/>
        <d v="2024-04-12T00:00:00"/>
        <d v="2024-05-01T00:00:00"/>
        <d v="2024-02-16T00:00:00"/>
        <d v="2025-10-20T00:00:00"/>
        <d v="2024-04-14T00:00:00"/>
        <d v="2025-07-27T00:00:00"/>
        <d v="2025-01-23T00:00:00"/>
        <d v="2024-02-27T00:00:00"/>
        <d v="2025-09-06T00:00:00"/>
        <d v="2024-09-05T00:00:00"/>
        <d v="2025-07-10T00:00:00"/>
        <d v="2024-03-15T00:00:00"/>
        <d v="2024-01-01T00:00:00"/>
        <d v="2025-10-02T00:00:00"/>
        <d v="2025-09-28T00:00:00"/>
        <d v="2025-11-02T00:00:00"/>
        <d v="2024-01-06T00:00:00"/>
        <d v="2024-10-22T00:00:00"/>
        <d v="2024-06-05T00:00:00"/>
        <d v="2025-06-28T00:00:00"/>
        <d v="2025-01-14T00:00:00"/>
        <d v="2024-10-11T00:00:00"/>
        <d v="2024-11-25T00:00:00"/>
        <d v="2025-07-17T00:00:00"/>
        <d v="2024-01-31T00:00:00"/>
        <d v="2024-07-08T00:00:00"/>
        <d v="2025-09-19T00:00:00"/>
        <d v="2024-04-13T00:00:00"/>
        <d v="2025-05-14T00:00:00"/>
        <d v="2025-12-15T00:00:00"/>
        <d v="2024-03-30T00:00:00"/>
        <d v="2024-10-31T00:00:00"/>
        <d v="2025-09-14T00:00:00"/>
        <d v="2024-05-31T00:00:00"/>
        <d v="2025-11-13T00:00:00"/>
        <d v="2024-06-07T00:00:00"/>
        <d v="2025-05-27T00:00:00"/>
        <d v="2024-04-28T00:00:00"/>
        <d v="2025-03-10T00:00:00"/>
        <d v="2024-09-04T00:00:00"/>
        <d v="2024-10-18T00:00:00"/>
        <d v="2025-04-04T00:00:00"/>
        <d v="2024-04-02T00:00:00"/>
        <d v="2025-11-07T00:00:00"/>
        <d v="2024-02-05T00:00:00"/>
        <d v="2025-04-09T00:00:00"/>
        <d v="2024-03-24T00:00:00"/>
        <d v="2024-02-23T00:00:00"/>
        <d v="2024-02-26T00:00:00"/>
        <d v="2025-11-25T00:00:00"/>
        <d v="2024-12-10T00:00:00"/>
        <d v="2024-06-28T00:00:00"/>
        <d v="2024-11-23T00:00:00"/>
        <d v="2024-11-14T00:00:00"/>
        <d v="2024-07-09T00:00:00"/>
        <d v="2024-01-16T00:00:00"/>
        <d v="2025-12-11T00:00:00"/>
        <d v="2025-11-21T00:00:00"/>
        <d v="2025-10-07T00:00:00"/>
        <d v="2025-05-08T00:00:00"/>
        <d v="2024-10-24T00:00:00"/>
        <d v="2024-08-28T00:00:00"/>
        <d v="2025-08-07T00:00:00"/>
        <d v="2025-12-29T00:00:00"/>
        <d v="2024-01-05T00:00:00"/>
        <d v="2025-11-16T00:00:00"/>
        <d v="2025-10-29T00:00:00"/>
        <d v="2024-09-17T00:00:00"/>
        <d v="2024-01-28T00:00:00"/>
        <d v="2025-05-06T00:00:00"/>
        <d v="2024-07-02T00:00:00"/>
        <d v="2025-04-03T00:00:00"/>
        <d v="2024-12-24T00:00:00"/>
        <d v="2025-08-09T00:00:00"/>
        <d v="2025-07-21T00:00:00"/>
        <d v="2025-04-19T00:00:00"/>
        <d v="2025-06-26T00:00:00"/>
        <d v="2024-10-05T00:00:00"/>
        <d v="2024-03-07T00:00:00"/>
        <d v="2025-08-29T00:00:00"/>
        <d v="2024-03-13T00:00:00"/>
        <d v="2024-09-15T00:00:00"/>
        <d v="2025-05-11T00:00:00"/>
        <d v="2025-09-05T00:00:00"/>
        <d v="2025-09-23T00:00:00"/>
        <d v="2024-01-22T00:00:00"/>
        <d v="2025-03-22T00:00:00"/>
        <d v="2025-12-03T00:00:00"/>
        <d v="2024-10-14T00:00:00"/>
        <d v="2024-10-19T00:00:00"/>
        <d v="2024-08-14T00:00:00"/>
        <d v="2024-11-22T00:00:00"/>
        <d v="2025-07-25T00:00:00"/>
        <d v="2025-11-29T00:00:00"/>
        <d v="2025-02-05T00:00:00"/>
        <d v="2024-06-08T00:00:00"/>
        <d v="2024-06-01T00:00:00"/>
        <d v="2025-01-30T00:00:00"/>
        <d v="2024-12-06T00:00:00"/>
        <d v="2024-12-15T00:00:00"/>
        <d v="2024-07-19T00:00:00"/>
        <d v="2025-10-17T00:00:00"/>
        <d v="2024-07-07T00:00:00"/>
        <d v="2025-04-14T00:00:00"/>
        <d v="2025-02-26T00:00:00"/>
        <d v="2024-10-01T00:00:00"/>
        <d v="2025-06-04T00:00:00"/>
        <d v="2025-02-06T00:00:00"/>
        <d v="2024-01-25T00:00:00"/>
        <d v="2024-11-24T00:00:00"/>
        <d v="2025-09-17T00:00:00"/>
        <d v="2024-02-07T00:00:00"/>
        <d v="2024-11-16T00:00:00"/>
        <d v="2024-05-22T00:00:00"/>
        <d v="2025-11-19T00:00:00"/>
        <d v="2024-12-12T00:00:00"/>
        <d v="2025-06-19T00:00:00"/>
        <d v="2025-09-02T00:00:00"/>
        <d v="2024-07-25T00:00:00"/>
        <d v="2025-12-18T00:00:00"/>
        <d v="2024-05-30T00:00:00"/>
        <d v="2025-06-03T00:00:00"/>
        <d v="2025-11-23T00:00:00"/>
        <d v="2025-01-02T00:00:00"/>
        <d v="2025-05-18T00:00:00"/>
        <d v="2024-01-18T00:00:00"/>
        <d v="2024-08-21T00:00:00"/>
        <d v="2024-09-07T00:00:00"/>
        <d v="2024-02-14T00:00:00"/>
        <d v="2025-05-20T00:00:00"/>
        <d v="2024-08-26T00:00:00"/>
        <d v="2024-10-02T00:00:00"/>
        <d v="2025-12-23T00:00:00"/>
        <d v="2025-02-12T00:00:00"/>
        <d v="2024-05-23T00:00:00"/>
        <d v="2024-08-09T00:00:00"/>
        <d v="2024-07-27T00:00:00"/>
        <d v="2024-09-09T00:00:00"/>
        <d v="2024-04-22T00:00:00"/>
        <d v="2024-03-19T00:00:00"/>
        <d v="2024-10-21T00:00:00"/>
        <d v="2024-01-03T00:00:00"/>
        <d v="2025-05-31T00:00:00"/>
        <d v="2024-05-18T00:00:00"/>
        <d v="2025-07-26T00:00:00"/>
        <d v="2025-10-08T00:00:00"/>
        <d v="2024-05-08T00:00:00"/>
        <d v="2024-04-07T00:00:00"/>
        <d v="2025-08-21T00:00:00"/>
        <d v="2025-05-28T00:00:00"/>
        <d v="2025-07-29T00:00:00"/>
        <d v="2025-05-19T00:00:00"/>
        <d v="2025-12-16T00:00:00"/>
        <d v="2024-10-15T00:00:00"/>
        <d v="2024-02-08T00:00:00"/>
        <d v="2025-06-02T00:00:00"/>
        <d v="2024-11-02T00:00:00"/>
        <d v="2024-04-27T00:00:00"/>
        <d v="2025-01-20T00:00:00"/>
        <d v="2024-07-03T00:00:00"/>
        <d v="2024-07-29T00:00:00"/>
        <d v="2025-02-11T00:00:00"/>
        <d v="2024-05-06T00:00:00"/>
        <d v="2025-12-06T00:00:00"/>
        <d v="2025-08-13T00:00:00"/>
        <d v="2024-07-01T00:00:00"/>
        <d v="2024-05-12T00:00:00"/>
        <d v="2025-06-10T00:00:00"/>
        <d v="2025-03-11T00:00:00"/>
        <d v="2024-08-02T00:00:00"/>
        <d v="2024-10-08T00:00:00"/>
        <d v="2024-01-20T00:00:00"/>
        <d v="2024-05-26T00:00:00"/>
        <d v="2025-08-30T00:00:00"/>
        <d v="2024-02-03T00:00:00"/>
        <d v="2024-03-06T00:00:00"/>
        <d v="2025-08-04T00:00:00"/>
        <d v="2024-12-23T00:00:00"/>
        <d v="2025-03-01T00:00:00"/>
        <d v="2024-06-27T00:00:00"/>
        <d v="2024-09-03T00:00:00"/>
        <d v="2025-02-25T00:00:00"/>
        <d v="2024-10-28T00:00:00"/>
        <d v="2025-03-20T00:00:00"/>
        <d v="2024-12-18T00:00:00"/>
        <d v="2024-10-09T00:00:00"/>
        <d v="2025-10-10T00:00:00"/>
        <d v="2025-02-23T00:00:00"/>
        <d v="2025-12-05T00:00:00"/>
        <d v="2024-02-28T00:00:00"/>
        <d v="2025-03-30T00:00:00"/>
        <d v="2025-01-07T00:00:00"/>
        <d v="2025-11-04T00:00:00"/>
        <d v="2025-06-12T00:00:00"/>
        <d v="2024-04-18T00:00:00"/>
        <d v="2025-12-02T00:00:00"/>
        <d v="2024-03-28T00:00:00"/>
        <d v="2025-08-11T00:00:00"/>
        <d v="2024-10-30T00:00:00"/>
        <d v="2025-03-02T00:00:00"/>
        <d v="2025-11-30T00:00:00"/>
        <d v="2024-03-25T00:00:00"/>
        <d v="2024-08-22T00:00:00"/>
        <d v="2025-01-24T00:00:00"/>
        <d v="2024-06-15T00:00:00"/>
        <d v="2025-12-22T00:00:00"/>
        <d v="2024-08-25T00:00:00"/>
        <d v="2025-04-21T00:00:00"/>
        <d v="2024-11-18T00:00:00"/>
        <d v="2024-12-08T00:00:00"/>
        <d v="2025-10-12T00:00:00"/>
        <d v="2025-05-23T00:00:00"/>
        <d v="2024-07-23T00:00:00"/>
        <d v="2025-05-16T00:00:00"/>
        <d v="2025-07-30T00:00:00"/>
        <d v="2024-08-16T00:00:00"/>
        <d v="2024-04-08T00:00:00"/>
        <d v="2024-09-06T00:00:00"/>
        <d v="2025-08-14T00:00:00"/>
        <d v="2025-08-28T00:00:00"/>
        <d v="2025-02-08T00:00:00"/>
        <d v="2024-12-22T00:00:00"/>
        <d v="2024-10-16T00:00:00"/>
        <d v="2024-06-12T00:00:00"/>
        <d v="2025-12-25T00:00:00"/>
        <d v="2024-11-12T00:00:00"/>
        <d v="2025-06-27T00:00:00"/>
        <d v="2024-06-20T00:00:00"/>
        <d v="2024-01-19T00:00:00"/>
        <d v="2025-01-16T00:00:00"/>
        <d v="2025-08-17T00:00:00"/>
        <d v="2024-12-11T00:00:00"/>
        <d v="2025-09-18T00:00:00"/>
        <d v="2024-06-18T00:00:00"/>
        <d v="2025-06-11T00:00:00"/>
        <d v="2025-12-30T00:00:00"/>
        <d v="2025-01-05T00:00:00"/>
        <d v="2024-10-07T00:00:00"/>
        <d v="2024-09-11T00:00:00"/>
        <d v="2024-01-02T00:00:00"/>
        <d v="2024-09-26T00:00:00"/>
        <d v="2025-09-24T00:00:00"/>
        <d v="2025-08-20T00:00:00"/>
        <d v="2025-06-17T00:00:00"/>
        <d v="2025-07-13T00:00:00"/>
        <d v="2024-09-21T00:00:00"/>
        <d v="2024-08-27T00:00:00"/>
        <d v="2024-09-24T00:00:00"/>
        <d v="2025-08-23T00:00:00"/>
        <d v="2024-10-23T00:00:00"/>
        <d v="2025-08-10T00:00:00"/>
        <d v="2025-10-31T00:00:00"/>
        <d v="2024-04-23T00:00:00"/>
        <d v="2024-01-29T00:00:00"/>
        <d v="2025-05-01T00:00:00"/>
        <d v="2025-08-19T00:00:00"/>
        <d v="2025-09-20T00:00:00"/>
        <d v="2024-04-10T00:00:00"/>
        <d v="2024-03-22T00:00:00"/>
        <d v="2025-02-22T00:00:00"/>
        <d v="2025-02-24T00:00:00"/>
        <d v="2025-01-26T00:00:00"/>
        <d v="2024-12-13T00:00:00"/>
        <d v="2025-02-13T00:00:00"/>
        <d v="2024-03-26T00:00:00"/>
        <d v="2024-10-04T00:00:00"/>
        <d v="2024-08-07T00:00:00"/>
        <d v="2024-04-29T00:00:00"/>
        <d v="2025-01-13T00:00:00"/>
        <d v="2025-04-11T00:00:00"/>
        <d v="2025-03-05T00:00:00"/>
        <d v="2024-03-10T00:00:00"/>
        <d v="2025-06-05T00:00:00"/>
        <d v="2025-04-01T00:00:00"/>
        <d v="2024-05-04T00:00:00"/>
        <d v="2024-05-28T00:00:00"/>
        <d v="2024-05-29T00:00:00"/>
        <d v="2025-03-26T00:00:00"/>
        <d v="2024-01-24T00:00:00"/>
        <d v="2024-08-11T00:00:00"/>
        <d v="2024-10-12T00:00:00"/>
        <d v="2024-10-20T00:00:00"/>
        <d v="2024-02-29T00:00:00"/>
        <d v="2024-06-26T00:00:00"/>
        <d v="2024-04-09T00:00:00"/>
        <d v="2024-08-05T00:00:00"/>
        <d v="2025-10-09T00:00:00"/>
        <d v="2024-09-18T00:00:00"/>
        <d v="2024-03-08T00:00:00"/>
        <d v="2024-02-11T00:00:00"/>
        <d v="2025-10-03T00:00:00"/>
        <d v="2025-10-23T00:00:00"/>
        <d v="2025-09-10T00:00:00"/>
        <d v="2025-09-04T00:00:00"/>
        <d v="2025-11-06T00:00:00"/>
        <d v="2024-02-13T00:00:00"/>
        <d v="2025-01-08T00:00:00"/>
        <d v="2025-08-22T00:00:00"/>
        <d v="2025-08-27T00:00:00"/>
        <d v="2025-07-08T00:00:00"/>
        <d v="2025-02-19T00:00:00"/>
        <d v="2024-11-04T00:00:00"/>
        <d v="2025-10-30T00:00:00"/>
        <d v="2024-08-31T00:00:00"/>
        <d v="2025-07-14T00:00:00"/>
        <d v="2024-02-17T00:00:00"/>
        <d v="2025-04-29T00:00:00"/>
        <d v="2024-12-05T00:00:00"/>
        <d v="2024-04-03T00:00:00"/>
        <d v="2024-04-05T00:00:00"/>
        <d v="2024-11-29T00:00:00"/>
        <d v="2024-07-04T00:00:00"/>
        <d v="2024-03-23T00:00:00"/>
        <d v="2025-11-15T00:00:00"/>
        <d v="2024-10-29T00:00:00"/>
        <d v="2024-12-31T00:00:00"/>
        <d v="2025-05-10T00:00:00"/>
        <d v="2025-07-12T00:00:00"/>
        <d v="2024-01-30T00:00:00"/>
        <d v="2024-05-05T00:00:00"/>
        <d v="2024-03-29T00:00:00"/>
        <d v="2025-03-08T00:00:00"/>
        <d v="2024-08-15T00:00:00"/>
        <d v="2024-08-30T00:00:00"/>
        <d v="2025-11-05T00:00:00"/>
        <d v="2025-12-28T00:00:00"/>
        <d v="2025-03-14T00:00:00"/>
        <d v="2025-09-13T00:00:00"/>
        <d v="2025-09-01T00:00:00"/>
        <d v="2025-11-01T00:00:00"/>
        <d v="2025-03-15T00:00:00"/>
        <d v="2024-07-18T00:00:00"/>
        <d v="2024-02-19T00:00:00"/>
        <d v="2024-06-14T00:00:00"/>
        <d v="2025-05-26T00:00:00"/>
        <d v="2025-08-02T00:00:00"/>
        <d v="2024-05-10T00:00:00"/>
        <d v="2025-10-13T00:00:00"/>
        <d v="2025-02-17T00:00:00"/>
        <d v="2025-07-15T00:00:00"/>
        <d v="2024-02-18T00:00:00"/>
        <d v="2025-10-01T00:00:00"/>
        <d v="2025-10-06T00:00:00"/>
        <d v="2024-03-09T00:00:00"/>
        <d v="2024-12-09T00:00:00"/>
        <d v="2024-05-20T00:00:00"/>
        <d v="2025-09-15T00:00:00"/>
        <d v="2025-03-28T00:00:00"/>
        <d v="2024-10-03T00:00:00"/>
        <d v="2025-04-18T00:00:00"/>
        <d v="2024-01-04T00:00:00"/>
        <d v="2025-07-28T00:00:00"/>
        <d v="2025-04-16T00:00:00"/>
        <d v="2025-04-25T00:00:00"/>
        <d v="2025-12-19T00:00:00"/>
        <d v="2024-11-19T00:00:00"/>
        <d v="2024-12-17T00:00:00"/>
        <d v="2025-03-09T00:00:00"/>
        <d v="2025-10-16T00:00:00"/>
        <d v="2024-03-27T00:00:00"/>
        <d v="2024-08-03T00:00:00"/>
        <d v="2025-03-19T00:00:00"/>
        <d v="2024-09-20T00:00:00"/>
      </sharedItems>
      <fieldGroup par="16"/>
    </cacheField>
    <cacheField name="Customer Name" numFmtId="49">
      <sharedItems/>
    </cacheField>
    <cacheField name="Region" numFmtId="49">
      <sharedItems count="5">
        <s v="Central"/>
        <s v="North"/>
        <s v="West"/>
        <s v="South"/>
        <s v="East"/>
      </sharedItems>
    </cacheField>
    <cacheField name="Product Name" numFmtId="49">
      <sharedItems count="50">
        <s v="Cargo Shorts"/>
        <s v="Denim Jacket"/>
        <s v="Running Shoes"/>
        <s v="Polo Shirt"/>
        <s v="Cutting Board"/>
        <s v="Laptop Stand"/>
        <s v="Yoga Pants"/>
        <s v="Rain Jacket"/>
        <s v="Webcam HD"/>
        <s v="Smart Watch"/>
        <s v="Pillow Set"/>
        <s v="Bluetooth Speaker"/>
        <s v="Athletic Socks"/>
        <s v="Wireless Headphones"/>
        <s v="Nail Polish Set"/>
        <s v="Keyboard Mechanical"/>
        <s v="Blender"/>
        <s v="Throw Blanket"/>
        <s v="Shampoo Organic"/>
        <s v="Knife Set"/>
        <s v="Face Moisturizer"/>
        <s v="Cotton T-Shirt"/>
        <s v="Eye Cream"/>
        <s v="Face Mask Pack"/>
        <s v="Sunscreen SPF50"/>
        <s v="Coffee Maker"/>
        <s v="Scented Candle Set"/>
        <s v="Casual Sneakers"/>
        <s v="Perfume Travel"/>
        <s v="USB-C Hub"/>
        <s v="Tablet Case"/>
        <s v="Body Lotion"/>
        <s v="Hair Oil"/>
        <s v="Yoga Mat"/>
        <s v="Resistance Bands"/>
        <s v="Door Mat"/>
        <s v="Lip Balm Set"/>
        <s v="Mouse Wireless"/>
        <s v="Wool Sweater"/>
        <s v="Jump Rope"/>
        <s v="Tennis Balls"/>
        <s v="Dumbbells 10lb"/>
        <s v="Swim Goggles"/>
        <s v="Portable Charger"/>
        <s v="Gym Bag"/>
        <s v="Water Bottle"/>
        <s v="Desk Lamp"/>
        <s v="Foam Roller"/>
        <s v="Storage Bins"/>
        <s v="Cycling Gloves"/>
      </sharedItems>
    </cacheField>
    <cacheField name="Category" numFmtId="49">
      <sharedItems count="5">
        <s v="Clothing"/>
        <s v="Home"/>
        <s v="Electronics"/>
        <s v="Beauty"/>
        <s v="Sports"/>
      </sharedItems>
    </cacheField>
    <cacheField name="Quantity" numFmtId="1">
      <sharedItems containsSemiMixedTypes="0" containsString="0" containsNumber="1" containsInteger="1" minValue="1" maxValue="5"/>
    </cacheField>
    <cacheField name="Unit Price" numFmtId="165">
      <sharedItems containsSemiMixedTypes="0" containsString="0" containsNumber="1" minValue="7.17" maxValue="149.78"/>
    </cacheField>
    <cacheField name="Dscount" numFmtId="9">
      <sharedItems containsSemiMixedTypes="0" containsString="0" containsNumber="1" minValue="0" maxValue="0.25"/>
    </cacheField>
    <cacheField name="Revenue" numFmtId="165">
      <sharedItems containsSemiMixedTypes="0" containsString="0" containsNumber="1" minValue="6.4344999999999999" maxValue="619.75" count="987">
        <n v="342.44"/>
        <n v="291.07400000000001"/>
        <n v="365.6"/>
        <n v="307.29599999999999"/>
        <n v="325.66000000000003"/>
        <n v="303.33600000000001"/>
        <n v="357.5"/>
        <n v="513.07600000000002"/>
        <n v="263.73"/>
        <n v="213.12"/>
        <n v="545.6"/>
        <n v="513.26599999999996"/>
        <n v="281.39999999999998"/>
        <n v="205.79399999999998"/>
        <n v="242.51399999999998"/>
        <n v="242.34"/>
        <n v="449.34000000000003"/>
        <n v="439.24"/>
        <n v="245.17400000000001"/>
        <n v="376.09950000000003"/>
        <n v="179.06550000000001"/>
        <n v="171.9"/>
        <n v="619.75"/>
        <n v="262.75"/>
        <n v="222.06"/>
        <n v="167.32"/>
        <n v="235.61599999999999"/>
        <n v="169.56"/>
        <n v="234.27"/>
        <n v="136.00800000000001"/>
        <n v="248.57699999999997"/>
        <n v="191.24"/>
        <n v="161.19999999999999"/>
        <n v="180.35999999999999"/>
        <n v="179.73999999999998"/>
        <n v="181.85999999999999"/>
        <n v="129.16200000000001"/>
        <n v="254.08"/>
        <n v="269.10000000000002"/>
        <n v="202.07999999999998"/>
        <n v="148.75200000000001"/>
        <n v="267.69600000000003"/>
        <n v="158.58000000000001"/>
        <n v="163.63999999999999"/>
        <n v="192.20999999999998"/>
        <n v="168.75"/>
        <n v="144.65"/>
        <n v="216.39"/>
        <n v="150.518"/>
        <n v="139.59299999999999"/>
        <n v="135.65"/>
        <n v="196.4"/>
        <n v="305.18400000000003"/>
        <n v="201.744"/>
        <n v="149.01"/>
        <n v="168.255"/>
        <n v="420.94500000000005"/>
        <n v="116.60999999999999"/>
        <n v="207.16199999999998"/>
        <n v="127.467"/>
        <n v="117.99"/>
        <n v="202.67999999999998"/>
        <n v="156.24"/>
        <n v="146.61000000000001"/>
        <n v="115.88"/>
        <n v="277.82749999999999"/>
        <n v="122.34"/>
        <n v="176.58"/>
        <n v="128.80100000000002"/>
        <n v="298.56599999999997"/>
        <n v="106.8"/>
        <n v="105.51"/>
        <n v="299.23200000000003"/>
        <n v="116.76"/>
        <n v="132.49799999999999"/>
        <n v="180.66150000000002"/>
        <n v="214.24"/>
        <n v="331.38"/>
        <n v="361.19"/>
        <n v="139.64999999999998"/>
        <n v="126.3"/>
        <n v="202.93199999999999"/>
        <n v="142.67099999999999"/>
        <n v="130.131"/>
        <n v="196.62"/>
        <n v="132.864"/>
        <n v="544.32000000000005"/>
        <n v="120.89999999999999"/>
        <n v="213.316"/>
        <n v="157.59"/>
        <n v="181.10399999999998"/>
        <n v="228"/>
        <n v="120"/>
        <n v="254.39099999999996"/>
        <n v="332.86"/>
        <n v="461.43999999999994"/>
        <n v="128.47999999999999"/>
        <n v="99"/>
        <n v="190.48499999999999"/>
        <n v="111.96899999999999"/>
        <n v="184.68799999999999"/>
        <n v="97.56"/>
        <n v="387.41"/>
        <n v="179.94"/>
        <n v="372.74200000000002"/>
        <n v="179.10000000000002"/>
        <n v="124.64399999999999"/>
        <n v="161.41499999999996"/>
        <n v="226.48000000000002"/>
        <n v="118.44899999999998"/>
        <n v="114.58"/>
        <n v="117.99000000000001"/>
        <n v="135.20400000000001"/>
        <n v="193.42800000000003"/>
        <n v="94.99499999999999"/>
        <n v="107.88"/>
        <n v="97.213499999999996"/>
        <n v="272.52"/>
        <n v="184.3"/>
        <n v="393.78"/>
        <n v="386.44399999999996"/>
        <n v="87.183000000000007"/>
        <n v="108.8"/>
        <n v="179.55"/>
        <n v="153.5"/>
        <n v="93.327999999999989"/>
        <n v="96.88"/>
        <n v="233.27249999999998"/>
        <n v="197.56800000000001"/>
        <n v="159.822"/>
        <n v="84.266999999999996"/>
        <n v="119.39100000000001"/>
        <n v="107.655"/>
        <n v="114.51599999999999"/>
        <n v="87.1"/>
        <n v="217.18400000000003"/>
        <n v="148.94"/>
        <n v="95.687999999999988"/>
        <n v="88.842000000000013"/>
        <n v="348.67799999999994"/>
        <n v="157.26"/>
        <n v="139.36000000000001"/>
        <n v="89.037499999999994"/>
        <n v="212.477"/>
        <n v="146.85599999999999"/>
        <n v="94.320000000000007"/>
        <n v="100.0635"/>
        <n v="156.864"/>
        <n v="449.464"/>
        <n v="150.43250000000003"/>
        <n v="261.61099999999999"/>
        <n v="197.76"/>
        <n v="143.35499999999999"/>
        <n v="168.01950000000002"/>
        <n v="98.835000000000008"/>
        <n v="216.63"/>
        <n v="85.38"/>
        <n v="90.12"/>
        <n v="237.84"/>
        <n v="77.13"/>
        <n v="77.34"/>
        <n v="241.00050000000005"/>
        <n v="97.6"/>
        <n v="106.947"/>
        <n v="102.92"/>
        <n v="196.87800000000001"/>
        <n v="112.08"/>
        <n v="212.95999999999998"/>
        <n v="107.13"/>
        <n v="113.17750000000001"/>
        <n v="210.40599999999998"/>
        <n v="119.16799999999999"/>
        <n v="139.48500000000001"/>
        <n v="95.82"/>
        <n v="107.23599999999999"/>
        <n v="84.52"/>
        <n v="73.368000000000009"/>
        <n v="92.36"/>
        <n v="83.049000000000007"/>
        <n v="101.337"/>
        <n v="86.44"/>
        <n v="117.39149999999999"/>
        <n v="226.42200000000003"/>
        <n v="205.8"/>
        <n v="142.512"/>
        <n v="162.35999999999999"/>
        <n v="128.84"/>
        <n v="291.12"/>
        <n v="128.52000000000001"/>
        <n v="262.36799999999999"/>
        <n v="96.501000000000005"/>
        <n v="93.00500000000001"/>
        <n v="71.506499999999988"/>
        <n v="108.28"/>
        <n v="105.3"/>
        <n v="123.51900000000001"/>
        <n v="216.57"/>
        <n v="131.31"/>
        <n v="84.6"/>
        <n v="182.13800000000001"/>
        <n v="171.04"/>
        <n v="111.078"/>
        <n v="72.09"/>
        <n v="97.4"/>
        <n v="311.73750000000001"/>
        <n v="95.238"/>
        <n v="64.529999999999987"/>
        <n v="136.49600000000001"/>
        <n v="81.36"/>
        <n v="123.97499999999999"/>
        <n v="101.19"/>
        <n v="86.97"/>
        <n v="135.45000000000002"/>
        <n v="153.54"/>
        <n v="86.917500000000018"/>
        <n v="87.03"/>
        <n v="77.87700000000001"/>
        <n v="225.84"/>
        <n v="88.163999999999987"/>
        <n v="62.400000000000006"/>
        <n v="120.4"/>
        <n v="116.80199999999999"/>
        <n v="179.87400000000002"/>
        <n v="122.37"/>
        <n v="61.370999999999995"/>
        <n v="65.48"/>
        <n v="70.489999999999995"/>
        <n v="88.72"/>
        <n v="92.16"/>
        <n v="70.784000000000006"/>
        <n v="60.9"/>
        <n v="113.449"/>
        <n v="174.24"/>
        <n v="85.063000000000002"/>
        <n v="127.62"/>
        <n v="117.54"/>
        <n v="169.07399999999998"/>
        <n v="72.1905"/>
        <n v="84.084500000000006"/>
        <n v="300.93600000000004"/>
        <n v="85.13900000000001"/>
        <n v="80.02"/>
        <n v="91.152000000000001"/>
        <n v="70.850999999999999"/>
        <n v="95.695999999999998"/>
        <n v="371.79"/>
        <n v="155.00700000000001"/>
        <n v="71.099999999999994"/>
        <n v="109.64"/>
        <n v="63.66"/>
        <n v="75.78"/>
        <n v="113.86"/>
        <n v="85.100999999999999"/>
        <n v="84.24"/>
        <n v="92.412000000000006"/>
        <n v="173.08"/>
        <n v="125.88449999999999"/>
        <n v="105.12"/>
        <n v="77.691000000000003"/>
        <n v="75.98"/>
        <n v="110.40899999999999"/>
        <n v="296.57100000000003"/>
        <n v="61.711999999999996"/>
        <n v="71.13600000000001"/>
        <n v="159.63"/>
        <n v="108.54400000000001"/>
        <n v="75.527999999999992"/>
        <n v="144.54400000000001"/>
        <n v="348.63"/>
        <n v="65.28"/>
        <n v="73.817999999999998"/>
        <n v="114.048"/>
        <n v="99.390000000000015"/>
        <n v="93.06"/>
        <n v="60.38"/>
        <n v="111.815"/>
        <n v="150.309"/>
        <n v="138.40199999999999"/>
        <n v="71.532000000000011"/>
        <n v="69.180000000000007"/>
        <n v="76.12"/>
        <n v="91.26"/>
        <n v="95.147999999999996"/>
        <n v="125.88800000000001"/>
        <n v="93.423000000000002"/>
        <n v="98.28"/>
        <n v="61.465000000000003"/>
        <n v="61.632000000000005"/>
        <n v="80.532000000000011"/>
        <n v="116.96"/>
        <n v="62.785500000000006"/>
        <n v="98.106999999999999"/>
        <n v="103.08"/>
        <n v="66.72"/>
        <n v="107.92949999999999"/>
        <n v="80.460999999999999"/>
        <n v="204.08"/>
        <n v="139.69750000000002"/>
        <n v="102.44999999999999"/>
        <n v="104.08"/>
        <n v="101.37100000000001"/>
        <n v="113.107"/>
        <n v="197"/>
        <n v="133.08800000000002"/>
        <n v="89.16"/>
        <n v="59.265000000000001"/>
        <n v="85.662000000000006"/>
        <n v="305.16000000000003"/>
        <n v="120.30799999999999"/>
        <n v="140.16"/>
        <n v="70.965000000000003"/>
        <n v="76.27"/>
        <n v="68.930000000000007"/>
        <n v="165.18600000000001"/>
        <n v="114.34"/>
        <n v="127.92"/>
        <n v="53.822000000000003"/>
        <n v="125.52"/>
        <n v="61.88"/>
        <n v="71.655000000000001"/>
        <n v="66.456000000000003"/>
        <n v="82.1"/>
        <n v="68.832000000000008"/>
        <n v="66.656999999999996"/>
        <n v="273.46500000000003"/>
        <n v="136.02599999999998"/>
        <n v="60.951999999999998"/>
        <n v="102.20400000000001"/>
        <n v="149.202"/>
        <n v="79.739999999999995"/>
        <n v="183.35999999999999"/>
        <n v="59.78"/>
        <n v="57"/>
        <n v="60.42"/>
        <n v="81.557500000000005"/>
        <n v="97.956000000000003"/>
        <n v="48.72"/>
        <n v="51.192"/>
        <n v="53.927999999999997"/>
        <n v="56.197500000000005"/>
        <n v="180.72"/>
        <n v="90.9"/>
        <n v="72.599999999999994"/>
        <n v="121.473"/>
        <n v="73.872"/>
        <n v="124.146"/>
        <n v="55.42"/>
        <n v="54.159499999999994"/>
        <n v="46.88"/>
        <n v="73.394999999999996"/>
        <n v="56.213999999999999"/>
        <n v="160.864"/>
        <n v="70.100999999999999"/>
        <n v="79.610000000000014"/>
        <n v="76.778999999999996"/>
        <n v="139.68"/>
        <n v="108"/>
        <n v="72.656000000000006"/>
        <n v="88.960999999999999"/>
        <n v="45.372"/>
        <n v="47.43"/>
        <n v="81.73599999999999"/>
        <n v="56.542500000000004"/>
        <n v="160.21800000000002"/>
        <n v="86.352000000000004"/>
        <n v="71.209999999999994"/>
        <n v="71.136499999999998"/>
        <n v="70.66"/>
        <n v="140.904"/>
        <n v="43.680999999999997"/>
        <n v="125.46"/>
        <n v="65.682000000000002"/>
        <n v="125.64000000000001"/>
        <n v="73.720500000000001"/>
        <n v="76.22"/>
        <n v="236.721"/>
        <n v="42.516000000000005"/>
        <n v="78.06"/>
        <n v="168.81"/>
        <n v="68.36399999999999"/>
        <n v="69.228000000000009"/>
        <n v="111.52050000000001"/>
        <n v="148.13"/>
        <n v="47.849999999999994"/>
        <n v="141.86500000000001"/>
        <n v="139.572"/>
        <n v="96.82"/>
        <n v="51.78"/>
        <n v="43.29"/>
        <n v="79.23"/>
        <n v="75.431999999999988"/>
        <n v="72.86"/>
        <n v="70.99199999999999"/>
        <n v="57.87"/>
        <n v="165.30799999999999"/>
        <n v="311.08499999999998"/>
        <n v="87.817499999999995"/>
        <n v="74.304000000000002"/>
        <n v="43.054000000000002"/>
        <n v="108.248"/>
        <n v="92.286000000000001"/>
        <n v="62.040000000000006"/>
        <n v="58.212000000000003"/>
        <n v="52.578000000000003"/>
        <n v="77.14"/>
        <n v="117.9375"/>
        <n v="116.23"/>
        <n v="86.385000000000005"/>
        <n v="134.577"/>
        <n v="102.64749999999999"/>
        <n v="78.3"/>
        <n v="71.978000000000009"/>
        <n v="39.423999999999999"/>
        <n v="152.4"/>
        <n v="50.561999999999998"/>
        <n v="127.16"/>
        <n v="38.909999999999997"/>
        <n v="76.534000000000006"/>
        <n v="80.246499999999997"/>
        <n v="105.56100000000001"/>
        <n v="117.44"/>
        <n v="72.52"/>
        <n v="47.362499999999997"/>
        <n v="120.14999999999999"/>
        <n v="47.138999999999996"/>
        <n v="69.12"/>
        <n v="119.934"/>
        <n v="40.689"/>
        <n v="172.42500000000001"/>
        <n v="93.84"/>
        <n v="48.36"/>
        <n v="42.048000000000002"/>
        <n v="66.385999999999996"/>
        <n v="150.06"/>
        <n v="60.511499999999998"/>
        <n v="266.7045"/>
        <n v="41.837000000000003"/>
        <n v="207.898"/>
        <n v="71.808000000000007"/>
        <n v="72.900000000000006"/>
        <n v="52.362000000000002"/>
        <n v="67.23"/>
        <n v="93.960000000000008"/>
        <n v="128.33100000000002"/>
        <n v="36.840000000000003"/>
        <n v="45.828000000000003"/>
        <n v="62.85"/>
        <n v="101.8"/>
        <n v="41.923500000000004"/>
        <n v="227.851"/>
        <n v="86.108000000000004"/>
        <n v="49.03"/>
        <n v="108.42"/>
        <n v="62.903999999999996"/>
        <n v="128.88"/>
        <n v="93.02"/>
        <n v="85.8"/>
        <n v="49.76"/>
        <n v="39.299999999999997"/>
        <n v="164.28"/>
        <n v="90.27000000000001"/>
        <n v="46.711500000000001"/>
        <n v="114.17400000000001"/>
        <n v="52.056000000000004"/>
        <n v="125.09"/>
        <n v="100.1925"/>
        <n v="36.269999999999996"/>
        <n v="67.5"/>
        <n v="43.17"/>
        <n v="104.82300000000001"/>
        <n v="39.448499999999996"/>
        <n v="36.107999999999997"/>
        <n v="44.48"/>
        <n v="84.293999999999997"/>
        <n v="64.334000000000003"/>
        <n v="59.085000000000008"/>
        <n v="55.6"/>
        <n v="39.957000000000001"/>
        <n v="34.836500000000001"/>
        <n v="101.76299999999999"/>
        <n v="94.766499999999994"/>
        <n v="58.74"/>
        <n v="105.16499999999999"/>
        <n v="38.483999999999995"/>
        <n v="136.19999999999999"/>
        <n v="90.6"/>
        <n v="95.522999999999996"/>
        <n v="39.938000000000002"/>
        <n v="50.272000000000006"/>
        <n v="50.179000000000002"/>
        <n v="220.464"/>
        <n v="48.331000000000003"/>
        <n v="41.427"/>
        <n v="90.097999999999999"/>
        <n v="92.663999999999987"/>
        <n v="113.535"/>
        <n v="45.6"/>
        <n v="95.465499999999992"/>
        <n v="98.38"/>
        <n v="45.593999999999994"/>
        <n v="124.95849999999999"/>
        <n v="45.28"/>
        <n v="104.14"/>
        <n v="36.747"/>
        <n v="101.916"/>
        <n v="121.3"/>
        <n v="83.25"/>
        <n v="54.919499999999999"/>
        <n v="78.546000000000006"/>
        <n v="54.954000000000001"/>
        <n v="160.607"/>
        <n v="38.340000000000003"/>
        <n v="36.347000000000001"/>
        <n v="224.98"/>
        <n v="87.9"/>
        <n v="70.802999999999997"/>
        <n v="38.82"/>
        <n v="90.33"/>
        <n v="75.144999999999996"/>
        <n v="66.554999999999993"/>
        <n v="44.94"/>
        <n v="43.57"/>
        <n v="231.12"/>
        <n v="146.01"/>
        <n v="47.5745"/>
        <n v="48.83"/>
        <n v="33.090499999999999"/>
        <n v="59.355000000000004"/>
        <n v="36.81"/>
        <n v="69.191999999999993"/>
        <n v="34.776000000000003"/>
        <n v="51.75"/>
        <n v="35.204999999999998"/>
        <n v="35.020000000000003"/>
        <n v="237.09899999999999"/>
        <n v="46.1"/>
        <n v="50.94"/>
        <n v="63.441000000000003"/>
        <n v="78.28"/>
        <n v="43.54"/>
        <n v="30.64"/>
        <n v="59.95"/>
        <n v="33.229999999999997"/>
        <n v="37.411000000000001"/>
        <n v="89.963999999999999"/>
        <n v="55.080999999999996"/>
        <n v="46.85"/>
        <n v="38.313000000000002"/>
        <n v="83.113"/>
        <n v="37.457999999999998"/>
        <n v="39.709999999999994"/>
        <n v="69.597000000000008"/>
        <n v="50.093999999999994"/>
        <n v="71.801000000000002"/>
        <n v="147.55000000000001"/>
        <n v="41.16"/>
        <n v="50.141500000000001"/>
        <n v="59.48"/>
        <n v="99.671000000000006"/>
        <n v="55.945500000000003"/>
        <n v="67.248000000000005"/>
        <n v="29.317"/>
        <n v="40.806000000000004"/>
        <n v="59.774000000000001"/>
        <n v="44.747999999999998"/>
        <n v="40.561999999999998"/>
        <n v="68.540000000000006"/>
        <n v="31.239000000000001"/>
        <n v="61.451999999999998"/>
        <n v="98.850000000000009"/>
        <n v="114.92"/>
        <n v="125.92250000000001"/>
        <n v="36.630000000000003"/>
        <n v="57.96"/>
        <n v="41.087499999999999"/>
        <n v="68.323999999999998"/>
        <n v="72.42"/>
        <n v="40.725000000000001"/>
        <n v="53.98"/>
        <n v="191.64599999999999"/>
        <n v="54.9955"/>
        <n v="65.977000000000004"/>
        <n v="95.039999999999992"/>
        <n v="34.951999999999998"/>
        <n v="75.89"/>
        <n v="28.67"/>
        <n v="33.659999999999997"/>
        <n v="40.68"/>
        <n v="143.30000000000001"/>
        <n v="52.4495"/>
        <n v="52.478999999999999"/>
        <n v="68.59"/>
        <n v="53.1"/>
        <n v="81.829499999999996"/>
        <n v="30.4725"/>
        <n v="52.02"/>
        <n v="90.608000000000004"/>
        <n v="122.77800000000001"/>
        <n v="29.183999999999997"/>
        <n v="26.72"/>
        <n v="26.622"/>
        <n v="66.547500000000014"/>
        <n v="34.17"/>
        <n v="140.8365"/>
        <n v="49.713499999999996"/>
        <n v="26.28"/>
        <n v="69.282000000000011"/>
        <n v="41.225000000000001"/>
        <n v="32.290500000000002"/>
        <n v="41.99"/>
        <n v="28.187999999999999"/>
        <n v="27.38"/>
        <n v="39.491"/>
        <n v="77.239999999999995"/>
        <n v="29.71"/>
        <n v="36.423000000000002"/>
        <n v="54.647999999999996"/>
        <n v="44.12"/>
        <n v="55.594000000000001"/>
        <n v="57.92"/>
        <n v="25.96"/>
        <n v="58.082999999999998"/>
        <n v="45.647499999999994"/>
        <n v="47.96"/>
        <n v="46.68"/>
        <n v="51.84"/>
        <n v="132.41300000000001"/>
        <n v="47.672000000000004"/>
        <n v="54.738999999999997"/>
        <n v="29.698999999999998"/>
        <n v="29.582999999999998"/>
        <n v="69.512"/>
        <n v="40.5"/>
        <n v="124.304"/>
        <n v="48.041499999999999"/>
        <n v="53.32"/>
        <n v="75.48"/>
        <n v="33.25"/>
        <n v="35.4"/>
        <n v="87.318000000000012"/>
        <n v="155.44"/>
        <n v="56.94"/>
        <n v="37.76"/>
        <n v="31.86"/>
        <n v="30.87"/>
        <n v="49.78"/>
        <n v="44.591000000000001"/>
        <n v="31.46"/>
        <n v="36.097500000000004"/>
        <n v="33.202500000000001"/>
        <n v="90.08"/>
        <n v="46.48"/>
        <n v="48.8"/>
        <n v="83.4"/>
        <n v="40.14"/>
        <n v="42.075499999999998"/>
        <n v="115.691"/>
        <n v="79.407000000000011"/>
        <n v="44.16"/>
        <n v="37.943999999999996"/>
        <n v="83.808000000000007"/>
        <n v="25.755000000000003"/>
        <n v="26.851500000000001"/>
        <n v="53.265000000000001"/>
        <n v="62.72"/>
        <n v="25.041999999999998"/>
        <n v="56.088000000000001"/>
        <n v="77.007000000000005"/>
        <n v="33.299999999999997"/>
        <n v="68.58"/>
        <n v="34.038499999999999"/>
        <n v="37.053000000000004"/>
        <n v="47.052"/>
        <n v="32.28"/>
        <n v="49.49"/>
        <n v="41.97"/>
        <n v="50.951999999999998"/>
        <n v="64"/>
        <n v="44.76"/>
        <n v="83.648499999999999"/>
        <n v="60.408000000000001"/>
        <n v="26.904"/>
        <n v="21.55"/>
        <n v="67.05"/>
        <n v="32.520000000000003"/>
        <n v="33.884999999999998"/>
        <n v="34.750999999999998"/>
        <n v="70.52"/>
        <n v="65.177999999999997"/>
        <n v="55.86"/>
        <n v="120.42"/>
        <n v="39.695"/>
        <n v="52.167999999999992"/>
        <n v="63.44"/>
        <n v="43.029000000000003"/>
        <n v="74.040000000000006"/>
        <n v="24.823499999999999"/>
        <n v="41.49"/>
        <n v="127.52"/>
        <n v="21.346499999999999"/>
        <n v="68.16"/>
        <n v="38.049999999999997"/>
        <n v="41.790500000000002"/>
        <n v="56.52"/>
        <n v="101.1585"/>
        <n v="22.95"/>
        <n v="32.381999999999998"/>
        <n v="40.56"/>
        <n v="31.943999999999999"/>
        <n v="60.325000000000003"/>
        <n v="23.328000000000003"/>
        <n v="38.9895"/>
        <n v="38.943000000000005"/>
        <n v="44.064"/>
        <n v="27.777999999999999"/>
        <n v="80.34"/>
        <n v="27.422999999999998"/>
        <n v="68.703999999999994"/>
        <n v="21.020500000000002"/>
        <n v="44.406000000000006"/>
        <n v="30.03"/>
        <n v="50.723999999999997"/>
        <n v="69.13900000000001"/>
        <n v="38.256"/>
        <n v="30.6"/>
        <n v="48.56"/>
        <n v="63.326999999999998"/>
        <n v="141.1"/>
        <n v="53.352000000000004"/>
        <n v="77.099999999999994"/>
        <n v="52.06"/>
        <n v="31.484999999999999"/>
        <n v="57.81"/>
        <n v="28.642499999999998"/>
        <n v="46.62"/>
        <n v="47.994"/>
        <n v="30.625500000000002"/>
        <n v="46.905000000000001"/>
        <n v="147.072"/>
        <n v="70.641999999999996"/>
        <n v="50.669999999999995"/>
        <n v="74.090499999999992"/>
        <n v="41.147999999999996"/>
        <n v="31.03"/>
        <n v="37.297499999999999"/>
        <n v="26.069500000000001"/>
        <n v="89.98"/>
        <n v="33.369999999999997"/>
        <n v="17.658000000000001"/>
        <n v="56.415999999999997"/>
        <n v="17.244"/>
        <n v="27.606999999999999"/>
        <n v="70.209999999999994"/>
        <n v="23.616"/>
        <n v="31.631999999999998"/>
        <n v="48.04"/>
        <n v="43.03"/>
        <n v="43.88"/>
        <n v="52.451999999999998"/>
        <n v="92.647999999999996"/>
        <n v="37.211500000000001"/>
        <n v="29.02"/>
        <n v="48.917499999999997"/>
        <n v="38.43"/>
        <n v="78.08"/>
        <n v="59.2"/>
        <n v="19.874000000000002"/>
        <n v="18.256"/>
        <n v="51.42"/>
        <n v="31.823999999999998"/>
        <n v="28.080000000000002"/>
        <n v="55.559999999999988"/>
        <n v="18"/>
        <n v="21.394500000000001"/>
        <n v="46.32"/>
        <n v="67.11"/>
        <n v="32.49"/>
        <n v="20.170000000000002"/>
        <n v="56.95"/>
        <n v="31.535"/>
        <n v="42.6"/>
        <n v="31.045999999999999"/>
        <n v="45.783000000000001"/>
        <n v="29.07"/>
        <n v="40.950000000000003"/>
        <n v="19.46"/>
        <n v="47.76"/>
        <n v="16.46"/>
        <n v="27.61"/>
        <n v="25.982500000000002"/>
        <n v="25.423500000000001"/>
        <n v="47.447000000000003"/>
        <n v="36.47"/>
        <n v="43.47"/>
        <n v="16.290000000000003"/>
        <n v="32.64"/>
        <n v="49.59"/>
        <n v="31.5"/>
        <n v="22.5335"/>
        <n v="25.1175"/>
        <n v="32.4"/>
        <n v="34.208999999999996"/>
        <n v="38.03"/>
        <n v="35.08"/>
        <n v="43.415000000000006"/>
        <n v="83.761499999999998"/>
        <n v="49.352500000000006"/>
        <n v="71.616"/>
        <n v="27.27"/>
        <n v="23.892499999999998"/>
        <n v="27.116999999999997"/>
        <n v="29.349"/>
        <n v="36.54"/>
        <n v="40.679000000000002"/>
        <n v="63.894500000000001"/>
        <n v="17.175999999999998"/>
        <n v="40.052"/>
        <n v="41.335500000000003"/>
        <n v="45.68"/>
        <n v="46.935000000000002"/>
        <n v="18.791"/>
        <n v="35.33"/>
        <n v="28.41"/>
        <n v="25.36"/>
        <n v="77.382000000000005"/>
        <n v="37.431000000000004"/>
        <n v="33.736499999999999"/>
        <n v="53.722499999999997"/>
        <n v="20.736000000000001"/>
        <n v="45.36"/>
        <n v="20.321999999999999"/>
        <n v="35.262"/>
        <n v="51.917499999999997"/>
        <n v="31.08"/>
        <n v="30.437999999999999"/>
        <n v="52.35"/>
        <n v="24.284500000000001"/>
        <n v="42.432000000000002"/>
        <n v="35.823999999999998"/>
        <n v="38.658000000000001"/>
        <n v="38.869999999999997"/>
        <n v="22.64"/>
        <n v="26.19"/>
        <n v="26.4"/>
        <n v="49.014000000000003"/>
        <n v="13.488"/>
        <n v="29.1"/>
        <n v="31.28"/>
        <n v="26.49"/>
        <n v="30.02"/>
        <n v="97.010499999999993"/>
        <n v="40.365000000000002"/>
        <n v="42.16"/>
        <n v="28.45"/>
        <n v="13.141000000000002"/>
        <n v="13.746500000000001"/>
        <n v="19.240000000000002"/>
        <n v="13.06"/>
        <n v="94.373999999999995"/>
        <n v="16.551000000000002"/>
        <n v="27.03"/>
        <n v="34.048000000000002"/>
        <n v="44.505000000000003"/>
        <n v="26.802"/>
        <n v="16.026500000000002"/>
        <n v="35.207000000000001"/>
        <n v="31.45"/>
        <n v="28.127999999999997"/>
        <n v="35.283000000000001"/>
        <n v="51.623000000000005"/>
        <n v="34.04"/>
        <n v="20.222999999999999"/>
        <n v="25.398"/>
        <n v="33.362499999999997"/>
        <n v="43.055999999999997"/>
        <n v="14.724"/>
        <n v="33.782000000000004"/>
        <n v="29.75"/>
        <n v="16.13"/>
        <n v="12.645"/>
        <n v="28.466500000000003"/>
        <n v="14.327999999999999"/>
        <n v="36.490499999999997"/>
        <n v="26.790000000000003"/>
        <n v="44.073"/>
        <n v="23.294999999999998"/>
        <n v="29.324999999999999"/>
        <n v="21.2"/>
        <n v="22.84"/>
        <n v="27.747"/>
        <n v="28.481000000000002"/>
        <n v="30.175999999999998"/>
        <n v="11.798999999999999"/>
        <n v="67.38"/>
        <n v="76.509"/>
        <n v="29.393999999999998"/>
        <n v="22.22"/>
        <n v="21.152000000000001"/>
        <n v="19.288"/>
        <n v="26.32"/>
        <n v="25.17"/>
        <n v="16.631999999999998"/>
        <n v="15.858000000000001"/>
        <n v="13.914000000000001"/>
        <n v="19.97"/>
        <n v="27.333000000000002"/>
        <n v="27.48"/>
        <n v="16.079999999999998"/>
        <n v="18.27"/>
        <n v="12.42"/>
        <n v="15.885"/>
        <n v="22.54"/>
        <n v="31.11"/>
        <n v="19.6435"/>
        <n v="34.736000000000004"/>
        <n v="14.058"/>
        <n v="23.97"/>
        <n v="32.770000000000003"/>
        <n v="34.173000000000002"/>
        <n v="58.06"/>
        <n v="15.029"/>
        <n v="64.514499999999998"/>
        <n v="67.527000000000001"/>
        <n v="15.84"/>
        <n v="32.86"/>
        <n v="40.661999999999999"/>
        <n v="30.1"/>
        <n v="9.92"/>
        <n v="17.518000000000001"/>
        <n v="22.9"/>
        <n v="26.277000000000001"/>
        <n v="37.9"/>
        <n v="13.689"/>
        <n v="32.020000000000003"/>
        <n v="24.146999999999998"/>
        <n v="56.73"/>
        <n v="16.12"/>
        <n v="9.5040000000000013"/>
        <n v="12.407999999999999"/>
        <n v="11.079000000000001"/>
        <n v="19.576000000000001"/>
        <n v="24.372"/>
        <n v="8.17"/>
        <n v="10.8375"/>
        <n v="28.782"/>
        <n v="25.488499999999998"/>
        <n v="19.413"/>
        <n v="15.93"/>
        <n v="20.368000000000002"/>
        <n v="6.7770000000000001"/>
        <n v="14.482499999999998"/>
        <n v="24.59"/>
        <n v="27.939499999999999"/>
        <n v="9.5"/>
        <n v="19.149999999999999"/>
        <n v="8.67"/>
        <n v="6.867"/>
        <n v="11.6365"/>
        <n v="21.59"/>
        <n v="9.8079999999999998"/>
        <n v="14.577499999999999"/>
        <n v="6.4344999999999999"/>
        <n v="9.8369999999999997"/>
        <n v="10.319000000000001"/>
        <n v="16.005499999999998"/>
        <n v="7.5674999999999999"/>
        <n v="19.78"/>
        <n v="13.024000000000001"/>
        <n v="11.124500000000001"/>
        <n v="23.000999999999998"/>
        <n v="9.9274999999999984"/>
        <n v="25.208000000000002"/>
        <n v="32.61"/>
        <n v="10.621"/>
        <n v="15.81"/>
        <n v="6.8114999999999997"/>
        <n v="14.498999999999999"/>
        <n v="27.074999999999999"/>
        <n v="12.336"/>
        <n v="14.46"/>
        <n v="16.489999999999998"/>
        <n v="8.75"/>
        <n v="11.77"/>
        <n v="10.18"/>
        <n v="25.83"/>
        <n v="8.1890000000000001"/>
        <n v="9.2904999999999998"/>
      </sharedItems>
    </cacheField>
    <cacheField name="Total Cost" numFmtId="165">
      <sharedItems containsSemiMixedTypes="0" containsString="0" containsNumber="1" minValue="2.6370000000000005" maxValue="529.44000000000005"/>
    </cacheField>
    <cacheField name="Profit" numFmtId="165">
      <sharedItems containsSemiMixedTypes="0" containsString="0" containsNumber="1" minValue="1.83" maxValue="166.62"/>
    </cacheField>
    <cacheField name="Profit Margin" numFmtId="10">
      <sharedItems containsSemiMixedTypes="0" containsString="0" containsNumber="1" minValue="8.0368798955613524E-2" maxValue="0.64989734237179253"/>
    </cacheField>
    <cacheField name="Ship Mode" numFmtId="0">
      <sharedItems count="3">
        <s v="Standard"/>
        <s v="Express"/>
        <s v="Same Day"/>
      </sharedItems>
    </cacheField>
    <cacheField name="Months (Order Date)" numFmtId="0" databaseField="0">
      <fieldGroup base="1">
        <rangePr groupBy="months" startDate="2024-01-01T00:00:00" endDate="2025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Quarters (Order Date)" numFmtId="0" databaseField="0">
      <fieldGroup base="1">
        <rangePr groupBy="quarters" startDate="2024-01-01T00:00:00" endDate="2025-12-31T00:00:00"/>
        <groupItems count="6">
          <s v="&lt;1/1/2024"/>
          <s v="Qtr1"/>
          <s v="Qtr2"/>
          <s v="Qtr3"/>
          <s v="Qtr4"/>
          <s v="&gt;12/31/2025"/>
        </groupItems>
      </fieldGroup>
    </cacheField>
    <cacheField name="Years (Order Date)" numFmtId="0" databaseField="0">
      <fieldGroup base="1">
        <rangePr groupBy="years" startDate="2024-01-01T00:00:00" endDate="2025-12-31T00:00:00"/>
        <groupItems count="4">
          <s v="&lt;1/1/2024"/>
          <s v="2024"/>
          <s v="2025"/>
          <s v="&gt;12/31/2025"/>
        </groupItems>
      </fieldGroup>
    </cacheField>
    <cacheField name="Total Revenue" numFmtId="0" formula="Revenue" databaseField="0"/>
    <cacheField name="Total Profit" numFmtId="0" formula="Profit" databaseField="0"/>
    <cacheField name="Average Profit" numFmtId="0" formula="Profit/Quantity" databaseField="0"/>
    <cacheField name="Profit Margin %" numFmtId="0" formula="Profit/Revenue" databaseField="0"/>
    <cacheField name="Total Orders" numFmtId="0" formula="Quantity" databaseField="0"/>
    <cacheField name="Field1" numFmtId="0" formula="Profit/Quantity" databaseField="0"/>
    <cacheField name="Profit Margin " numFmtId="0" formula="Revenue/Profit" databaseField="0"/>
    <cacheField name="Total Expenses" numFmtId="0" formula="'Total Cos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10887"/>
    <x v="0"/>
    <s v="Anthony Harris"/>
    <x v="0"/>
    <x v="0"/>
    <x v="0"/>
    <n v="4"/>
    <n v="85.61"/>
    <n v="0"/>
    <x v="0"/>
    <n v="175.82"/>
    <n v="166.62"/>
    <n v="0.4865669898376358"/>
    <x v="0"/>
  </r>
  <r>
    <s v="ORD-10482"/>
    <x v="1"/>
    <s v="Kimberly Johnson"/>
    <x v="0"/>
    <x v="1"/>
    <x v="0"/>
    <n v="4"/>
    <n v="85.61"/>
    <n v="0.15"/>
    <x v="1"/>
    <n v="131.23400000000001"/>
    <n v="159.84"/>
    <n v="0.54913870699547196"/>
    <x v="0"/>
  </r>
  <r>
    <s v="ORD-10795"/>
    <x v="2"/>
    <s v="Elizabeth Harris"/>
    <x v="0"/>
    <x v="2"/>
    <x v="0"/>
    <n v="5"/>
    <n v="73.12"/>
    <n v="0"/>
    <x v="2"/>
    <n v="215.55"/>
    <n v="150.05000000000001"/>
    <n v="0.41042122538293219"/>
    <x v="0"/>
  </r>
  <r>
    <s v="ORD-10179"/>
    <x v="3"/>
    <s v="Susan White"/>
    <x v="1"/>
    <x v="0"/>
    <x v="0"/>
    <n v="4"/>
    <n v="85.36"/>
    <n v="0.1"/>
    <x v="3"/>
    <n v="167.446"/>
    <n v="139.85"/>
    <n v="0.45509866708320318"/>
    <x v="0"/>
  </r>
  <r>
    <s v="ORD-10512"/>
    <x v="4"/>
    <s v="Robert Lee"/>
    <x v="2"/>
    <x v="1"/>
    <x v="0"/>
    <n v="4"/>
    <n v="85.7"/>
    <n v="0.05"/>
    <x v="4"/>
    <n v="187.04000000000002"/>
    <n v="138.62"/>
    <n v="0.42565866240864703"/>
    <x v="0"/>
  </r>
  <r>
    <s v="ORD-10840"/>
    <x v="5"/>
    <s v="Lisa Lee"/>
    <x v="1"/>
    <x v="3"/>
    <x v="0"/>
    <n v="4"/>
    <n v="84.26"/>
    <n v="0.1"/>
    <x v="5"/>
    <n v="173.48600000000002"/>
    <n v="129.85"/>
    <n v="0.42807315979639737"/>
    <x v="1"/>
  </r>
  <r>
    <s v="ORD-10218"/>
    <x v="6"/>
    <s v="David Wilson"/>
    <x v="1"/>
    <x v="4"/>
    <x v="1"/>
    <n v="5"/>
    <n v="71.5"/>
    <n v="0"/>
    <x v="6"/>
    <n v="238.66"/>
    <n v="118.84"/>
    <n v="0.33241958041958042"/>
    <x v="0"/>
  </r>
  <r>
    <s v="ORD-10562"/>
    <x v="7"/>
    <s v="Richard Wilson"/>
    <x v="3"/>
    <x v="5"/>
    <x v="2"/>
    <n v="4"/>
    <n v="135.02000000000001"/>
    <n v="0.05"/>
    <x v="7"/>
    <n v="395.33600000000001"/>
    <n v="117.74000000000001"/>
    <n v="0.22947867372475034"/>
    <x v="2"/>
  </r>
  <r>
    <s v="ORD-10012"/>
    <x v="8"/>
    <s v="Anthony Lee"/>
    <x v="4"/>
    <x v="6"/>
    <x v="0"/>
    <n v="3"/>
    <n v="87.91"/>
    <n v="0"/>
    <x v="8"/>
    <n v="146.66000000000003"/>
    <n v="117.07"/>
    <n v="0.44390095931445034"/>
    <x v="0"/>
  </r>
  <r>
    <s v="ORD-10707"/>
    <x v="9"/>
    <s v="Kevin Rodriguez"/>
    <x v="0"/>
    <x v="7"/>
    <x v="0"/>
    <n v="5"/>
    <n v="47.36"/>
    <n v="0.1"/>
    <x v="9"/>
    <n v="96.76"/>
    <n v="116.36"/>
    <n v="0.54598348348348347"/>
    <x v="0"/>
  </r>
  <r>
    <s v="ORD-10258"/>
    <x v="10"/>
    <s v="Sarah Anderson"/>
    <x v="1"/>
    <x v="8"/>
    <x v="2"/>
    <n v="4"/>
    <n v="136.4"/>
    <n v="0"/>
    <x v="10"/>
    <n v="430.15000000000003"/>
    <n v="115.44999999999999"/>
    <n v="0.21160190615835775"/>
    <x v="1"/>
  </r>
  <r>
    <s v="ORD-10091"/>
    <x v="11"/>
    <s v="Michelle Smith"/>
    <x v="0"/>
    <x v="9"/>
    <x v="2"/>
    <n v="4"/>
    <n v="135.07"/>
    <n v="0.05"/>
    <x v="11"/>
    <n v="404.34599999999995"/>
    <n v="108.92000000000002"/>
    <n v="0.21220965347402715"/>
    <x v="1"/>
  </r>
  <r>
    <s v="ORD-10834"/>
    <x v="12"/>
    <s v="Linda Taylor"/>
    <x v="0"/>
    <x v="10"/>
    <x v="1"/>
    <n v="5"/>
    <n v="56.28"/>
    <n v="0"/>
    <x v="12"/>
    <n v="178.91999999999996"/>
    <n v="102.48000000000002"/>
    <n v="0.36417910447761204"/>
    <x v="1"/>
  </r>
  <r>
    <s v="ORD-10422"/>
    <x v="13"/>
    <s v="Robert Martin"/>
    <x v="1"/>
    <x v="1"/>
    <x v="0"/>
    <n v="3"/>
    <n v="76.22"/>
    <n v="0.1"/>
    <x v="13"/>
    <n v="105.50399999999998"/>
    <n v="100.29"/>
    <n v="0.4873319921863612"/>
    <x v="1"/>
  </r>
  <r>
    <s v="ORD-10299"/>
    <x v="14"/>
    <s v="Thomas Harris"/>
    <x v="3"/>
    <x v="7"/>
    <x v="0"/>
    <n v="3"/>
    <n v="89.82"/>
    <n v="0.1"/>
    <x v="14"/>
    <n v="142.78399999999999"/>
    <n v="99.72999999999999"/>
    <n v="0.41123399061497479"/>
    <x v="0"/>
  </r>
  <r>
    <s v="ORD-10817"/>
    <x v="15"/>
    <s v="Barbara Jones"/>
    <x v="0"/>
    <x v="7"/>
    <x v="0"/>
    <n v="3"/>
    <n v="80.78"/>
    <n v="0"/>
    <x v="15"/>
    <n v="143.76"/>
    <n v="98.580000000000013"/>
    <n v="0.4067838573904432"/>
    <x v="0"/>
  </r>
  <r>
    <s v="ORD-10269"/>
    <x v="16"/>
    <s v="Joseph Brown"/>
    <x v="0"/>
    <x v="11"/>
    <x v="2"/>
    <n v="3"/>
    <n v="149.78"/>
    <n v="0"/>
    <x v="16"/>
    <n v="353.65000000000003"/>
    <n v="95.69"/>
    <n v="0.21295678105666085"/>
    <x v="0"/>
  </r>
  <r>
    <s v="ORD-10062"/>
    <x v="17"/>
    <s v="Sandra Martinez"/>
    <x v="1"/>
    <x v="9"/>
    <x v="2"/>
    <n v="4"/>
    <n v="109.81"/>
    <n v="0"/>
    <x v="17"/>
    <n v="344.28000000000003"/>
    <n v="94.95999999999998"/>
    <n v="0.216191603679082"/>
    <x v="0"/>
  </r>
  <r>
    <s v="ORD-10321"/>
    <x v="18"/>
    <s v="Kevin White"/>
    <x v="4"/>
    <x v="12"/>
    <x v="0"/>
    <n v="4"/>
    <n v="72.11"/>
    <n v="0.15"/>
    <x v="18"/>
    <n v="150.85400000000001"/>
    <n v="94.32"/>
    <n v="0.38470637180125133"/>
    <x v="1"/>
  </r>
  <r>
    <s v="ORD-10130"/>
    <x v="19"/>
    <s v="Emily Davis"/>
    <x v="2"/>
    <x v="13"/>
    <x v="2"/>
    <n v="3"/>
    <n v="147.49"/>
    <n v="0.15"/>
    <x v="19"/>
    <n v="282.2595"/>
    <n v="93.840000000000032"/>
    <n v="0.24950844125025431"/>
    <x v="1"/>
  </r>
  <r>
    <s v="ORD-10190"/>
    <x v="20"/>
    <s v="Nancy Martin"/>
    <x v="0"/>
    <x v="12"/>
    <x v="0"/>
    <n v="3"/>
    <n v="62.83"/>
    <n v="0.05"/>
    <x v="20"/>
    <n v="85.675500000000014"/>
    <n v="93.39"/>
    <n v="0.52154100036020334"/>
    <x v="0"/>
  </r>
  <r>
    <s v="ORD-10052"/>
    <x v="21"/>
    <s v="Betty Harris"/>
    <x v="1"/>
    <x v="14"/>
    <x v="3"/>
    <n v="5"/>
    <n v="34.380000000000003"/>
    <n v="0"/>
    <x v="21"/>
    <n v="79.550000000000011"/>
    <n v="92.35"/>
    <n v="0.5372309482257126"/>
    <x v="0"/>
  </r>
  <r>
    <s v="ORD-10008"/>
    <x v="22"/>
    <s v="Ashley Gonzalez"/>
    <x v="4"/>
    <x v="15"/>
    <x v="2"/>
    <n v="5"/>
    <n v="123.95"/>
    <n v="0"/>
    <x v="22"/>
    <n v="529.44000000000005"/>
    <n v="90.309999999999945"/>
    <n v="0.14572004840661548"/>
    <x v="0"/>
  </r>
  <r>
    <s v="ORD-10231"/>
    <x v="23"/>
    <s v="Steven Brown"/>
    <x v="3"/>
    <x v="2"/>
    <x v="0"/>
    <n v="5"/>
    <n v="52.55"/>
    <n v="0"/>
    <x v="23"/>
    <n v="172.53"/>
    <n v="90.22"/>
    <n v="0.34336822074215034"/>
    <x v="1"/>
  </r>
  <r>
    <s v="ORD-10133"/>
    <x v="24"/>
    <s v="Ashley Johnson"/>
    <x v="1"/>
    <x v="16"/>
    <x v="1"/>
    <n v="3"/>
    <n v="74.02"/>
    <n v="0"/>
    <x v="24"/>
    <n v="134.04000000000002"/>
    <n v="88.019999999999982"/>
    <n v="0.3963793569305592"/>
    <x v="1"/>
  </r>
  <r>
    <s v="ORD-10992"/>
    <x v="25"/>
    <s v="Linda Ramirez"/>
    <x v="0"/>
    <x v="3"/>
    <x v="0"/>
    <n v="2"/>
    <n v="83.66"/>
    <n v="0"/>
    <x v="25"/>
    <n v="79.709999999999994"/>
    <n v="87.61"/>
    <n v="0.52360745876165438"/>
    <x v="1"/>
  </r>
  <r>
    <s v="ORD-10660"/>
    <x v="26"/>
    <s v="Susan Jones"/>
    <x v="4"/>
    <x v="17"/>
    <x v="1"/>
    <n v="4"/>
    <n v="73.63"/>
    <n v="0.2"/>
    <x v="26"/>
    <n v="148.13599999999997"/>
    <n v="87.480000000000018"/>
    <n v="0.37128208610620683"/>
    <x v="0"/>
  </r>
  <r>
    <s v="ORD-10285"/>
    <x v="2"/>
    <s v="Kimberly Miller"/>
    <x v="4"/>
    <x v="18"/>
    <x v="3"/>
    <n v="4"/>
    <n v="42.39"/>
    <n v="0"/>
    <x v="27"/>
    <n v="82.39"/>
    <n v="87.17"/>
    <n v="0.51409530549657934"/>
    <x v="0"/>
  </r>
  <r>
    <s v="ORD-10080"/>
    <x v="27"/>
    <s v="Daniel Robinson"/>
    <x v="2"/>
    <x v="19"/>
    <x v="1"/>
    <n v="3"/>
    <n v="78.09"/>
    <n v="0"/>
    <x v="28"/>
    <n v="147.99"/>
    <n v="86.28"/>
    <n v="0.36829299526187731"/>
    <x v="0"/>
  </r>
  <r>
    <s v="ORD-10363"/>
    <x v="28"/>
    <s v="Michelle Miller"/>
    <x v="1"/>
    <x v="20"/>
    <x v="3"/>
    <n v="4"/>
    <n v="37.78"/>
    <n v="0.1"/>
    <x v="29"/>
    <n v="50.158000000000015"/>
    <n v="85.85"/>
    <n v="0.6312128698311863"/>
    <x v="0"/>
  </r>
  <r>
    <s v="ORD-10068"/>
    <x v="29"/>
    <s v="Betty Garcia"/>
    <x v="1"/>
    <x v="21"/>
    <x v="0"/>
    <n v="3"/>
    <n v="87.22"/>
    <n v="0.05"/>
    <x v="30"/>
    <n v="162.72699999999998"/>
    <n v="85.85"/>
    <n v="0.34536582226030565"/>
    <x v="0"/>
  </r>
  <r>
    <s v="ORD-10428"/>
    <x v="30"/>
    <s v="James Ramirez"/>
    <x v="2"/>
    <x v="22"/>
    <x v="3"/>
    <n v="4"/>
    <n v="47.81"/>
    <n v="0"/>
    <x v="31"/>
    <n v="105.44000000000001"/>
    <n v="85.8"/>
    <n v="0.44865090985149547"/>
    <x v="1"/>
  </r>
  <r>
    <s v="ORD-10426"/>
    <x v="31"/>
    <s v="Richard Harris"/>
    <x v="0"/>
    <x v="3"/>
    <x v="0"/>
    <n v="2"/>
    <n v="80.599999999999994"/>
    <n v="0"/>
    <x v="32"/>
    <n v="75.669999999999987"/>
    <n v="85.53"/>
    <n v="0.53058312655086848"/>
    <x v="0"/>
  </r>
  <r>
    <s v="ORD-10173"/>
    <x v="32"/>
    <s v="Carol Johnson"/>
    <x v="4"/>
    <x v="2"/>
    <x v="0"/>
    <n v="3"/>
    <n v="66.8"/>
    <n v="0.1"/>
    <x v="33"/>
    <n v="94.999999999999986"/>
    <n v="85.36"/>
    <n v="0.47327567088046135"/>
    <x v="0"/>
  </r>
  <r>
    <s v="ORD-10592"/>
    <x v="6"/>
    <s v="Robert Jones"/>
    <x v="3"/>
    <x v="23"/>
    <x v="3"/>
    <n v="4"/>
    <n v="47.3"/>
    <n v="0.05"/>
    <x v="34"/>
    <n v="94.969999999999985"/>
    <n v="84.77"/>
    <n v="0.47162568154000223"/>
    <x v="1"/>
  </r>
  <r>
    <s v="ORD-10476"/>
    <x v="33"/>
    <s v="Thomas Jones"/>
    <x v="1"/>
    <x v="2"/>
    <x v="0"/>
    <n v="3"/>
    <n v="60.62"/>
    <n v="0"/>
    <x v="35"/>
    <n v="97.339999999999989"/>
    <n v="84.52"/>
    <n v="0.46475310678543935"/>
    <x v="1"/>
  </r>
  <r>
    <s v="ORD-10443"/>
    <x v="34"/>
    <s v="Mary Brown"/>
    <x v="2"/>
    <x v="24"/>
    <x v="3"/>
    <n v="4"/>
    <n v="33.99"/>
    <n v="0.05"/>
    <x v="36"/>
    <n v="46.14200000000001"/>
    <n v="83.02"/>
    <n v="0.64275870612099528"/>
    <x v="2"/>
  </r>
  <r>
    <s v="ORD-10860"/>
    <x v="35"/>
    <s v="Sarah Hernandez"/>
    <x v="1"/>
    <x v="25"/>
    <x v="1"/>
    <n v="4"/>
    <n v="63.52"/>
    <n v="0"/>
    <x v="37"/>
    <n v="171.22000000000003"/>
    <n v="82.859999999999985"/>
    <n v="0.32611775818639793"/>
    <x v="0"/>
  </r>
  <r>
    <s v="ORD-10050"/>
    <x v="32"/>
    <s v="Ashley Wilson"/>
    <x v="2"/>
    <x v="19"/>
    <x v="1"/>
    <n v="4"/>
    <n v="74.75"/>
    <n v="0.1"/>
    <x v="38"/>
    <n v="186.75000000000003"/>
    <n v="82.35"/>
    <n v="0.30602006688963207"/>
    <x v="0"/>
  </r>
  <r>
    <s v="ORD-10541"/>
    <x v="36"/>
    <s v="Robert Sanchez"/>
    <x v="3"/>
    <x v="16"/>
    <x v="1"/>
    <n v="3"/>
    <n v="67.36"/>
    <n v="0"/>
    <x v="39"/>
    <n v="121.49999999999999"/>
    <n v="80.58"/>
    <n v="0.39875296912114017"/>
    <x v="0"/>
  </r>
  <r>
    <s v="ORD-10629"/>
    <x v="37"/>
    <s v="Sarah Perez"/>
    <x v="4"/>
    <x v="7"/>
    <x v="0"/>
    <n v="3"/>
    <n v="61.98"/>
    <n v="0.2"/>
    <x v="40"/>
    <n v="68.822000000000003"/>
    <n v="79.930000000000007"/>
    <n v="0.53733731311175648"/>
    <x v="1"/>
  </r>
  <r>
    <s v="ORD-10507"/>
    <x v="38"/>
    <s v="Joshua Lewis"/>
    <x v="0"/>
    <x v="26"/>
    <x v="1"/>
    <n v="4"/>
    <n v="74.36"/>
    <n v="0.1"/>
    <x v="41"/>
    <n v="188.46600000000001"/>
    <n v="79.230000000000018"/>
    <n v="0.29597005558544026"/>
    <x v="0"/>
  </r>
  <r>
    <s v="ORD-10630"/>
    <x v="39"/>
    <s v="Joseph Anderson"/>
    <x v="4"/>
    <x v="18"/>
    <x v="3"/>
    <n v="5"/>
    <n v="35.24"/>
    <n v="0.1"/>
    <x v="42"/>
    <n v="79.800000000000011"/>
    <n v="78.78"/>
    <n v="0.4967839576239122"/>
    <x v="1"/>
  </r>
  <r>
    <s v="ORD-10532"/>
    <x v="40"/>
    <s v="Andrew White"/>
    <x v="2"/>
    <x v="14"/>
    <x v="3"/>
    <n v="4"/>
    <n v="40.909999999999997"/>
    <n v="0"/>
    <x v="43"/>
    <n v="84.929999999999993"/>
    <n v="78.709999999999994"/>
    <n v="0.48099486678073822"/>
    <x v="1"/>
  </r>
  <r>
    <s v="ORD-10112"/>
    <x v="41"/>
    <s v="Lisa Lee"/>
    <x v="0"/>
    <x v="2"/>
    <x v="0"/>
    <n v="3"/>
    <n v="64.069999999999993"/>
    <n v="0"/>
    <x v="44"/>
    <n v="113.52999999999997"/>
    <n v="78.680000000000007"/>
    <n v="0.40934394672493635"/>
    <x v="1"/>
  </r>
  <r>
    <s v="ORD-10517"/>
    <x v="42"/>
    <s v="Carol Smith"/>
    <x v="1"/>
    <x v="27"/>
    <x v="0"/>
    <n v="3"/>
    <n v="62.5"/>
    <n v="0.1"/>
    <x v="45"/>
    <n v="90.45"/>
    <n v="78.3"/>
    <n v="0.46399999999999997"/>
    <x v="0"/>
  </r>
  <r>
    <s v="ORD-10150"/>
    <x v="43"/>
    <s v="Emily Thompson"/>
    <x v="3"/>
    <x v="2"/>
    <x v="0"/>
    <n v="5"/>
    <n v="28.93"/>
    <n v="0"/>
    <x v="46"/>
    <n v="67.06"/>
    <n v="77.59"/>
    <n v="0.53639820255789838"/>
    <x v="1"/>
  </r>
  <r>
    <s v="ORD-10767"/>
    <x v="44"/>
    <s v="Donna Hernandez"/>
    <x v="0"/>
    <x v="25"/>
    <x v="1"/>
    <n v="3"/>
    <n v="72.13"/>
    <n v="0"/>
    <x v="47"/>
    <n v="138.91999999999999"/>
    <n v="77.47"/>
    <n v="0.35801099865982716"/>
    <x v="0"/>
  </r>
  <r>
    <s v="ORD-10930"/>
    <x v="45"/>
    <s v="Jennifer Davis"/>
    <x v="0"/>
    <x v="3"/>
    <x v="0"/>
    <n v="2"/>
    <n v="88.54"/>
    <n v="0.15"/>
    <x v="48"/>
    <n v="73.587999999999994"/>
    <n v="76.930000000000007"/>
    <n v="0.51110166225966336"/>
    <x v="1"/>
  </r>
  <r>
    <s v="ORD-10582"/>
    <x v="46"/>
    <s v="Matthew Gonzalez"/>
    <x v="4"/>
    <x v="28"/>
    <x v="3"/>
    <n v="3"/>
    <n v="48.98"/>
    <n v="0.05"/>
    <x v="49"/>
    <n v="63.312999999999988"/>
    <n v="76.28"/>
    <n v="0.54644573868317181"/>
    <x v="0"/>
  </r>
  <r>
    <s v="ORD-10563"/>
    <x v="47"/>
    <s v="Thomas Davis"/>
    <x v="1"/>
    <x v="22"/>
    <x v="3"/>
    <n v="5"/>
    <n v="27.13"/>
    <n v="0"/>
    <x v="50"/>
    <n v="60.53"/>
    <n v="75.12"/>
    <n v="0.55377810541835604"/>
    <x v="0"/>
  </r>
  <r>
    <s v="ORD-10911"/>
    <x v="48"/>
    <s v="Joshua Clark"/>
    <x v="4"/>
    <x v="3"/>
    <x v="0"/>
    <n v="5"/>
    <n v="39.28"/>
    <n v="0"/>
    <x v="51"/>
    <n v="121.78"/>
    <n v="74.62"/>
    <n v="0.379938900203666"/>
    <x v="0"/>
  </r>
  <r>
    <s v="ORD-10109"/>
    <x v="49"/>
    <s v="Matthew Martinez"/>
    <x v="3"/>
    <x v="29"/>
    <x v="2"/>
    <n v="4"/>
    <n v="95.37"/>
    <n v="0.2"/>
    <x v="52"/>
    <n v="230.93400000000003"/>
    <n v="74.25"/>
    <n v="0.24329584775086502"/>
    <x v="1"/>
  </r>
  <r>
    <s v="ORD-10610"/>
    <x v="50"/>
    <s v="Donna Moore"/>
    <x v="2"/>
    <x v="27"/>
    <x v="0"/>
    <n v="4"/>
    <n v="56.04"/>
    <n v="0.1"/>
    <x v="53"/>
    <n v="127.764"/>
    <n v="73.98"/>
    <n v="0.36670235546038543"/>
    <x v="1"/>
  </r>
  <r>
    <s v="ORD-10024"/>
    <x v="51"/>
    <s v="Joshua Garcia"/>
    <x v="2"/>
    <x v="12"/>
    <x v="0"/>
    <n v="3"/>
    <n v="49.67"/>
    <n v="0"/>
    <x v="54"/>
    <n v="75.089999999999989"/>
    <n v="73.92"/>
    <n v="0.49607408898731631"/>
    <x v="0"/>
  </r>
  <r>
    <s v="ORD-10032"/>
    <x v="52"/>
    <s v="Nancy Martinez"/>
    <x v="0"/>
    <x v="1"/>
    <x v="0"/>
    <n v="3"/>
    <n v="74.78"/>
    <n v="0.25"/>
    <x v="55"/>
    <n v="94.384999999999991"/>
    <n v="73.87"/>
    <n v="0.43903598704347574"/>
    <x v="1"/>
  </r>
  <r>
    <s v="ORD-10883"/>
    <x v="53"/>
    <s v="Lisa Hernandez"/>
    <x v="0"/>
    <x v="30"/>
    <x v="2"/>
    <n v="5"/>
    <n v="88.62"/>
    <n v="0.05"/>
    <x v="56"/>
    <n v="347.26500000000004"/>
    <n v="73.680000000000007"/>
    <n v="0.17503474325624488"/>
    <x v="1"/>
  </r>
  <r>
    <s v="ORD-10867"/>
    <x v="54"/>
    <s v="Ashley Martin"/>
    <x v="4"/>
    <x v="31"/>
    <x v="3"/>
    <n v="4"/>
    <n v="38.869999999999997"/>
    <n v="0.25"/>
    <x v="57"/>
    <n v="44.129999999999981"/>
    <n v="72.48"/>
    <n v="0.62155904296372533"/>
    <x v="0"/>
  </r>
  <r>
    <s v="ORD-10794"/>
    <x v="55"/>
    <s v="Steven Miller"/>
    <x v="1"/>
    <x v="6"/>
    <x v="0"/>
    <n v="3"/>
    <n v="81.239999999999995"/>
    <n v="0.15"/>
    <x v="58"/>
    <n v="134.892"/>
    <n v="72.269999999999982"/>
    <n v="0.34885741593535491"/>
    <x v="0"/>
  </r>
  <r>
    <s v="ORD-10878"/>
    <x v="56"/>
    <s v="Mary Ramirez"/>
    <x v="2"/>
    <x v="22"/>
    <x v="3"/>
    <n v="3"/>
    <n v="47.21"/>
    <n v="0.1"/>
    <x v="59"/>
    <n v="55.807000000000002"/>
    <n v="71.66"/>
    <n v="0.56218472232028682"/>
    <x v="0"/>
  </r>
  <r>
    <s v="ORD-10970"/>
    <x v="26"/>
    <s v="Kimberly Wilson"/>
    <x v="3"/>
    <x v="32"/>
    <x v="3"/>
    <n v="3"/>
    <n v="41.4"/>
    <n v="0.05"/>
    <x v="60"/>
    <n v="46.86999999999999"/>
    <n v="71.12"/>
    <n v="0.60276294601237401"/>
    <x v="0"/>
  </r>
  <r>
    <s v="ORD-10757"/>
    <x v="57"/>
    <s v="Christopher Martin"/>
    <x v="4"/>
    <x v="33"/>
    <x v="4"/>
    <n v="4"/>
    <n v="56.3"/>
    <n v="0.1"/>
    <x v="61"/>
    <n v="132.02999999999997"/>
    <n v="70.650000000000006"/>
    <n v="0.34857904085257557"/>
    <x v="2"/>
  </r>
  <r>
    <s v="ORD-10211"/>
    <x v="58"/>
    <s v="James Smith"/>
    <x v="1"/>
    <x v="22"/>
    <x v="3"/>
    <n v="5"/>
    <n v="34.72"/>
    <n v="0.1"/>
    <x v="62"/>
    <n v="86.18"/>
    <n v="70.06"/>
    <n v="0.44841269841269837"/>
    <x v="1"/>
  </r>
  <r>
    <s v="ORD-10151"/>
    <x v="59"/>
    <s v="Kimberly Wilson"/>
    <x v="1"/>
    <x v="6"/>
    <x v="0"/>
    <n v="2"/>
    <n v="81.45"/>
    <n v="0.1"/>
    <x v="63"/>
    <n v="76.870000000000019"/>
    <n v="69.739999999999995"/>
    <n v="0.47568378691767266"/>
    <x v="0"/>
  </r>
  <r>
    <s v="ORD-10206"/>
    <x v="60"/>
    <s v="Mark Davis"/>
    <x v="3"/>
    <x v="22"/>
    <x v="3"/>
    <n v="5"/>
    <n v="28.97"/>
    <n v="0.2"/>
    <x v="64"/>
    <n v="46.839999999999989"/>
    <n v="69.040000000000006"/>
    <n v="0.59578874697963413"/>
    <x v="0"/>
  </r>
  <r>
    <s v="ORD-10078"/>
    <x v="61"/>
    <s v="Karen Anderson"/>
    <x v="4"/>
    <x v="34"/>
    <x v="4"/>
    <n v="5"/>
    <n v="58.49"/>
    <n v="0.05"/>
    <x v="65"/>
    <n v="208.79749999999999"/>
    <n v="69.03"/>
    <n v="0.24846352502901983"/>
    <x v="0"/>
  </r>
  <r>
    <s v="ORD-10637"/>
    <x v="4"/>
    <s v="Ashley Martinez"/>
    <x v="4"/>
    <x v="32"/>
    <x v="3"/>
    <n v="3"/>
    <n v="40.78"/>
    <n v="0"/>
    <x v="66"/>
    <n v="53.33"/>
    <n v="69.010000000000005"/>
    <n v="0.56408370116069972"/>
    <x v="0"/>
  </r>
  <r>
    <s v="ORD-10266"/>
    <x v="62"/>
    <s v="Richard Smith"/>
    <x v="0"/>
    <x v="35"/>
    <x v="1"/>
    <n v="3"/>
    <n v="65.400000000000006"/>
    <n v="0.1"/>
    <x v="67"/>
    <n v="108.01000000000002"/>
    <n v="68.569999999999993"/>
    <n v="0.3883225733378638"/>
    <x v="0"/>
  </r>
  <r>
    <s v="ORD-10559"/>
    <x v="63"/>
    <s v="Kenneth Gonzalez"/>
    <x v="3"/>
    <x v="1"/>
    <x v="0"/>
    <n v="2"/>
    <n v="67.790000000000006"/>
    <n v="0.05"/>
    <x v="68"/>
    <n v="60.301000000000016"/>
    <n v="68.5"/>
    <n v="0.53182816903595465"/>
    <x v="1"/>
  </r>
  <r>
    <s v="ORD-10967"/>
    <x v="64"/>
    <s v="Carol White"/>
    <x v="1"/>
    <x v="4"/>
    <x v="1"/>
    <n v="4"/>
    <n v="78.569999999999993"/>
    <n v="0.05"/>
    <x v="69"/>
    <n v="230.11599999999999"/>
    <n v="68.449999999999989"/>
    <n v="0.22926254161558918"/>
    <x v="0"/>
  </r>
  <r>
    <s v="ORD-10690"/>
    <x v="65"/>
    <s v="Michael Miller"/>
    <x v="2"/>
    <x v="36"/>
    <x v="3"/>
    <n v="3"/>
    <n v="44.5"/>
    <n v="0.2"/>
    <x v="70"/>
    <n v="38.5"/>
    <n v="68.3"/>
    <n v="0.63951310861423216"/>
    <x v="2"/>
  </r>
  <r>
    <s v="ORD-10728"/>
    <x v="66"/>
    <s v="Emily Brown"/>
    <x v="3"/>
    <x v="24"/>
    <x v="3"/>
    <n v="3"/>
    <n v="35.17"/>
    <n v="0"/>
    <x v="71"/>
    <n v="37.790000000000006"/>
    <n v="67.72"/>
    <n v="0.64183489716614539"/>
    <x v="0"/>
  </r>
  <r>
    <s v="ORD-10195"/>
    <x v="67"/>
    <s v="William Harris"/>
    <x v="0"/>
    <x v="37"/>
    <x v="2"/>
    <n v="4"/>
    <n v="83.12"/>
    <n v="0.1"/>
    <x v="72"/>
    <n v="231.54200000000003"/>
    <n v="67.69"/>
    <n v="0.2262124371724949"/>
    <x v="1"/>
  </r>
  <r>
    <s v="ORD-10110"/>
    <x v="68"/>
    <s v="Joseph Sanchez"/>
    <x v="1"/>
    <x v="14"/>
    <x v="3"/>
    <n v="4"/>
    <n v="29.19"/>
    <n v="0"/>
    <x v="73"/>
    <n v="49.180000000000007"/>
    <n v="67.58"/>
    <n v="0.57879410757108596"/>
    <x v="0"/>
  </r>
  <r>
    <s v="ORD-10650"/>
    <x v="69"/>
    <s v="Christopher Clark"/>
    <x v="1"/>
    <x v="38"/>
    <x v="0"/>
    <n v="2"/>
    <n v="73.61"/>
    <n v="0.1"/>
    <x v="74"/>
    <n v="66.087999999999994"/>
    <n v="66.41"/>
    <n v="0.5012151126809461"/>
    <x v="2"/>
  </r>
  <r>
    <s v="ORD-10484"/>
    <x v="70"/>
    <s v="Thomas Johnson"/>
    <x v="0"/>
    <x v="19"/>
    <x v="1"/>
    <n v="3"/>
    <n v="63.39"/>
    <n v="0.05"/>
    <x v="75"/>
    <n v="114.28150000000002"/>
    <n v="66.38"/>
    <n v="0.367427481782228"/>
    <x v="0"/>
  </r>
  <r>
    <s v="ORD-10540"/>
    <x v="71"/>
    <s v="David Smith"/>
    <x v="2"/>
    <x v="6"/>
    <x v="0"/>
    <n v="4"/>
    <n v="53.56"/>
    <n v="0"/>
    <x v="76"/>
    <n v="147.9"/>
    <n v="66.34"/>
    <n v="0.30965272591486181"/>
    <x v="0"/>
  </r>
  <r>
    <s v="ORD-10937"/>
    <x v="26"/>
    <s v="Robert Anderson"/>
    <x v="0"/>
    <x v="30"/>
    <x v="2"/>
    <n v="3"/>
    <n v="110.46"/>
    <n v="0"/>
    <x v="77"/>
    <n v="265.61"/>
    <n v="65.769999999999982"/>
    <n v="0.19847305208521934"/>
    <x v="0"/>
  </r>
  <r>
    <s v="ORD-10564"/>
    <x v="72"/>
    <s v="Paul Wilson"/>
    <x v="4"/>
    <x v="13"/>
    <x v="2"/>
    <n v="4"/>
    <n v="95.05"/>
    <n v="0.05"/>
    <x v="78"/>
    <n v="295.49"/>
    <n v="65.699999999999989"/>
    <n v="0.18189872366344581"/>
    <x v="1"/>
  </r>
  <r>
    <s v="ORD-10339"/>
    <x v="73"/>
    <s v="Kenneth Clark"/>
    <x v="1"/>
    <x v="32"/>
    <x v="3"/>
    <n v="3"/>
    <n v="46.55"/>
    <n v="0"/>
    <x v="79"/>
    <n v="74.149999999999977"/>
    <n v="65.5"/>
    <n v="0.46902971715001796"/>
    <x v="0"/>
  </r>
  <r>
    <s v="ORD-10925"/>
    <x v="74"/>
    <s v="Joseph Garcia"/>
    <x v="4"/>
    <x v="7"/>
    <x v="0"/>
    <n v="2"/>
    <n v="63.15"/>
    <n v="0"/>
    <x v="80"/>
    <n v="60.97"/>
    <n v="65.33"/>
    <n v="0.51726049089469517"/>
    <x v="0"/>
  </r>
  <r>
    <s v="ORD-10121"/>
    <x v="75"/>
    <s v="Emily Davis"/>
    <x v="1"/>
    <x v="33"/>
    <x v="4"/>
    <n v="4"/>
    <n v="56.37"/>
    <n v="0.1"/>
    <x v="81"/>
    <n v="137.90199999999999"/>
    <n v="65.03"/>
    <n v="0.32045217117063846"/>
    <x v="2"/>
  </r>
  <r>
    <s v="ORD-10993"/>
    <x v="76"/>
    <s v="James Ramirez"/>
    <x v="1"/>
    <x v="21"/>
    <x v="0"/>
    <n v="2"/>
    <n v="75.09"/>
    <n v="0.05"/>
    <x v="82"/>
    <n v="78.130999999999986"/>
    <n v="64.540000000000006"/>
    <n v="0.45236943737690216"/>
    <x v="1"/>
  </r>
  <r>
    <s v="ORD-10277"/>
    <x v="77"/>
    <s v="Barbara Lee"/>
    <x v="0"/>
    <x v="0"/>
    <x v="0"/>
    <n v="2"/>
    <n v="68.489999999999995"/>
    <n v="0.05"/>
    <x v="83"/>
    <n v="65.710999999999999"/>
    <n v="64.42"/>
    <n v="0.49503961392750384"/>
    <x v="0"/>
  </r>
  <r>
    <s v="ORD-10117"/>
    <x v="78"/>
    <s v="Dorothy Rodriguez"/>
    <x v="1"/>
    <x v="10"/>
    <x v="1"/>
    <n v="4"/>
    <n v="65.540000000000006"/>
    <n v="0.25"/>
    <x v="84"/>
    <n v="132.23000000000002"/>
    <n v="64.389999999999986"/>
    <n v="0.32748448784457324"/>
    <x v="2"/>
  </r>
  <r>
    <s v="ORD-10663"/>
    <x v="6"/>
    <s v="David Harris"/>
    <x v="4"/>
    <x v="12"/>
    <x v="0"/>
    <n v="2"/>
    <n v="83.04"/>
    <n v="0.2"/>
    <x v="85"/>
    <n v="68.674000000000007"/>
    <n v="64.19"/>
    <n v="0.48312560211946048"/>
    <x v="1"/>
  </r>
  <r>
    <s v="ORD-10565"/>
    <x v="79"/>
    <s v="Jessica Sanchez"/>
    <x v="4"/>
    <x v="8"/>
    <x v="2"/>
    <n v="4"/>
    <n v="136.08000000000001"/>
    <n v="0"/>
    <x v="86"/>
    <n v="480.14000000000004"/>
    <n v="64.180000000000007"/>
    <n v="0.11790858318636097"/>
    <x v="1"/>
  </r>
  <r>
    <s v="ORD-10762"/>
    <x v="80"/>
    <s v="Sarah Thompson"/>
    <x v="1"/>
    <x v="38"/>
    <x v="0"/>
    <n v="2"/>
    <n v="80.599999999999994"/>
    <n v="0.25"/>
    <x v="87"/>
    <n v="56.919999999999995"/>
    <n v="63.98"/>
    <n v="0.52919768403639378"/>
    <x v="1"/>
  </r>
  <r>
    <s v="ORD-10141"/>
    <x v="81"/>
    <s v="Richard Lee"/>
    <x v="2"/>
    <x v="17"/>
    <x v="1"/>
    <n v="4"/>
    <n v="62.74"/>
    <n v="0.15"/>
    <x v="88"/>
    <n v="149.386"/>
    <n v="63.930000000000007"/>
    <n v="0.29969622531830714"/>
    <x v="0"/>
  </r>
  <r>
    <s v="ORD-10314"/>
    <x v="82"/>
    <s v="Ashley Robinson"/>
    <x v="1"/>
    <x v="0"/>
    <x v="0"/>
    <n v="3"/>
    <n v="52.53"/>
    <n v="0"/>
    <x v="89"/>
    <n v="93.75"/>
    <n v="63.84"/>
    <n v="0.40510184656386827"/>
    <x v="1"/>
  </r>
  <r>
    <s v="ORD-10547"/>
    <x v="34"/>
    <s v="Anthony Ramirez"/>
    <x v="1"/>
    <x v="16"/>
    <x v="1"/>
    <n v="3"/>
    <n v="75.459999999999994"/>
    <n v="0.2"/>
    <x v="90"/>
    <n v="117.34399999999999"/>
    <n v="63.759999999999991"/>
    <n v="0.35206290308331123"/>
    <x v="1"/>
  </r>
  <r>
    <s v="ORD-10871"/>
    <x v="83"/>
    <s v="Kimberly Thomas"/>
    <x v="2"/>
    <x v="39"/>
    <x v="4"/>
    <n v="4"/>
    <n v="57"/>
    <n v="0"/>
    <x v="91"/>
    <n v="164.75"/>
    <n v="63.25"/>
    <n v="0.27741228070175439"/>
    <x v="0"/>
  </r>
  <r>
    <s v="ORD-10696"/>
    <x v="84"/>
    <s v="Kenneth Thompson"/>
    <x v="1"/>
    <x v="2"/>
    <x v="0"/>
    <n v="2"/>
    <n v="60"/>
    <n v="0"/>
    <x v="92"/>
    <n v="56.89"/>
    <n v="63.11"/>
    <n v="0.5259166666666667"/>
    <x v="2"/>
  </r>
  <r>
    <s v="ORD-10187"/>
    <x v="85"/>
    <s v="William Johnson"/>
    <x v="3"/>
    <x v="15"/>
    <x v="2"/>
    <n v="2"/>
    <n v="133.88999999999999"/>
    <n v="0.05"/>
    <x v="93"/>
    <n v="191.73099999999997"/>
    <n v="62.66"/>
    <n v="0.24631374537621223"/>
    <x v="0"/>
  </r>
  <r>
    <s v="ORD-10744"/>
    <x v="86"/>
    <s v="James Garcia"/>
    <x v="4"/>
    <x v="30"/>
    <x v="2"/>
    <n v="4"/>
    <n v="97.9"/>
    <n v="0.15"/>
    <x v="94"/>
    <n v="270.70000000000005"/>
    <n v="62.159999999999968"/>
    <n v="0.18674517815297711"/>
    <x v="0"/>
  </r>
  <r>
    <s v="ORD-10356"/>
    <x v="58"/>
    <s v="Michael Thomas"/>
    <x v="2"/>
    <x v="37"/>
    <x v="2"/>
    <n v="5"/>
    <n v="115.36"/>
    <n v="0.2"/>
    <x v="95"/>
    <n v="399.31999999999994"/>
    <n v="62.120000000000005"/>
    <n v="0.134622052704577"/>
    <x v="0"/>
  </r>
  <r>
    <s v="ORD-10734"/>
    <x v="87"/>
    <s v="Nancy Lopez"/>
    <x v="0"/>
    <x v="1"/>
    <x v="0"/>
    <n v="2"/>
    <n v="64.239999999999995"/>
    <n v="0"/>
    <x v="96"/>
    <n v="66.589999999999989"/>
    <n v="61.89"/>
    <n v="0.48170921544209222"/>
    <x v="0"/>
  </r>
  <r>
    <s v="ORD-10154"/>
    <x v="88"/>
    <s v="Sandra Lopez"/>
    <x v="1"/>
    <x v="31"/>
    <x v="3"/>
    <n v="2"/>
    <n v="49.5"/>
    <n v="0"/>
    <x v="97"/>
    <n v="37.46"/>
    <n v="61.54"/>
    <n v="0.62161616161616162"/>
    <x v="1"/>
  </r>
  <r>
    <s v="ORD-10262"/>
    <x v="89"/>
    <s v="Jennifer Robinson"/>
    <x v="1"/>
    <x v="3"/>
    <x v="0"/>
    <n v="3"/>
    <n v="70.55"/>
    <n v="0.1"/>
    <x v="98"/>
    <n v="129.01499999999999"/>
    <n v="61.47"/>
    <n v="0.32270257500590599"/>
    <x v="0"/>
  </r>
  <r>
    <s v="ORD-10998"/>
    <x v="90"/>
    <s v="Mary Miller"/>
    <x v="0"/>
    <x v="3"/>
    <x v="0"/>
    <n v="3"/>
    <n v="41.47"/>
    <n v="0.1"/>
    <x v="99"/>
    <n v="50.678999999999995"/>
    <n v="61.29"/>
    <n v="0.54738365083192675"/>
    <x v="1"/>
  </r>
  <r>
    <s v="ORD-10786"/>
    <x v="91"/>
    <s v="Sandra White"/>
    <x v="4"/>
    <x v="40"/>
    <x v="4"/>
    <n v="4"/>
    <n v="54.32"/>
    <n v="0.15"/>
    <x v="100"/>
    <n v="123.71799999999999"/>
    <n v="60.97"/>
    <n v="0.33012431776834444"/>
    <x v="1"/>
  </r>
  <r>
    <s v="ORD-10279"/>
    <x v="92"/>
    <s v="Mary Martinez"/>
    <x v="1"/>
    <x v="36"/>
    <x v="3"/>
    <n v="5"/>
    <n v="21.68"/>
    <n v="0.1"/>
    <x v="101"/>
    <n v="36.870000000000005"/>
    <n v="60.69"/>
    <n v="0.62207872078720783"/>
    <x v="0"/>
  </r>
  <r>
    <s v="ORD-10107"/>
    <x v="93"/>
    <s v="Elizabeth Sanchez"/>
    <x v="3"/>
    <x v="9"/>
    <x v="2"/>
    <n v="4"/>
    <n v="101.95"/>
    <n v="0.05"/>
    <x v="102"/>
    <n v="326.77000000000004"/>
    <n v="60.639999999999986"/>
    <n v="0.15652667716372831"/>
    <x v="2"/>
  </r>
  <r>
    <s v="ORD-10162"/>
    <x v="94"/>
    <s v="Daniel Jackson"/>
    <x v="0"/>
    <x v="17"/>
    <x v="1"/>
    <n v="3"/>
    <n v="59.98"/>
    <n v="0"/>
    <x v="103"/>
    <n v="119.31"/>
    <n v="60.629999999999995"/>
    <n v="0.33694564854951647"/>
    <x v="1"/>
  </r>
  <r>
    <s v="ORD-10772"/>
    <x v="95"/>
    <s v="Donald Johnson"/>
    <x v="3"/>
    <x v="37"/>
    <x v="2"/>
    <n v="4"/>
    <n v="98.09"/>
    <n v="0.05"/>
    <x v="104"/>
    <n v="312.322"/>
    <n v="60.420000000000016"/>
    <n v="0.16209603425425634"/>
    <x v="1"/>
  </r>
  <r>
    <s v="ORD-10890"/>
    <x v="96"/>
    <s v="Andrew Ramirez"/>
    <x v="1"/>
    <x v="10"/>
    <x v="1"/>
    <n v="4"/>
    <n v="59.7"/>
    <n v="0.25"/>
    <x v="105"/>
    <n v="118.70000000000002"/>
    <n v="60.400000000000006"/>
    <n v="0.33724176437744274"/>
    <x v="0"/>
  </r>
  <r>
    <s v="ORD-10982"/>
    <x v="97"/>
    <s v="Lisa Smith"/>
    <x v="4"/>
    <x v="2"/>
    <x v="0"/>
    <n v="2"/>
    <n v="73.319999999999993"/>
    <n v="0.15"/>
    <x v="106"/>
    <n v="64.293999999999983"/>
    <n v="60.350000000000009"/>
    <n v="0.48417894162575026"/>
    <x v="1"/>
  </r>
  <r>
    <s v="ORD-10017"/>
    <x v="98"/>
    <s v="Linda Davis"/>
    <x v="4"/>
    <x v="6"/>
    <x v="0"/>
    <n v="3"/>
    <n v="63.3"/>
    <n v="0.15"/>
    <x v="107"/>
    <n v="101.22499999999997"/>
    <n v="60.19"/>
    <n v="0.37288975621844322"/>
    <x v="1"/>
  </r>
  <r>
    <s v="ORD-10986"/>
    <x v="99"/>
    <s v="Linda Lopez"/>
    <x v="1"/>
    <x v="17"/>
    <x v="1"/>
    <n v="4"/>
    <n v="59.6"/>
    <n v="0.05"/>
    <x v="108"/>
    <n v="166.34000000000003"/>
    <n v="60.139999999999986"/>
    <n v="0.26554221123277988"/>
    <x v="0"/>
  </r>
  <r>
    <s v="ORD-10739"/>
    <x v="79"/>
    <s v="Karen Gonzalez"/>
    <x v="1"/>
    <x v="32"/>
    <x v="3"/>
    <n v="3"/>
    <n v="43.87"/>
    <n v="0.1"/>
    <x v="109"/>
    <n v="58.338999999999984"/>
    <n v="60.11"/>
    <n v="0.50747579126881615"/>
    <x v="1"/>
  </r>
  <r>
    <s v="ORD-10798"/>
    <x v="48"/>
    <s v="Paul Miller"/>
    <x v="4"/>
    <x v="21"/>
    <x v="0"/>
    <n v="2"/>
    <n v="57.29"/>
    <n v="0"/>
    <x v="110"/>
    <n v="54.5"/>
    <n v="60.08"/>
    <n v="0.52434979926688774"/>
    <x v="0"/>
  </r>
  <r>
    <s v="ORD-10067"/>
    <x v="100"/>
    <s v="Kimberly Jones"/>
    <x v="0"/>
    <x v="28"/>
    <x v="3"/>
    <n v="4"/>
    <n v="31.05"/>
    <n v="0.05"/>
    <x v="111"/>
    <n v="58.260000000000012"/>
    <n v="59.73"/>
    <n v="0.50622934146961596"/>
    <x v="0"/>
  </r>
  <r>
    <s v="ORD-10945"/>
    <x v="101"/>
    <s v="Lisa Lopez"/>
    <x v="3"/>
    <x v="21"/>
    <x v="0"/>
    <n v="3"/>
    <n v="47.44"/>
    <n v="0.05"/>
    <x v="112"/>
    <n v="75.604000000000013"/>
    <n v="59.599999999999994"/>
    <n v="0.44081536049229308"/>
    <x v="0"/>
  </r>
  <r>
    <s v="ORD-10861"/>
    <x v="102"/>
    <s v="Richard Lee"/>
    <x v="2"/>
    <x v="16"/>
    <x v="1"/>
    <n v="3"/>
    <n v="71.64"/>
    <n v="0.1"/>
    <x v="113"/>
    <n v="133.90800000000002"/>
    <n v="59.52000000000001"/>
    <n v="0.30771139648861595"/>
    <x v="0"/>
  </r>
  <r>
    <s v="ORD-10483"/>
    <x v="103"/>
    <s v="Sarah Thompson"/>
    <x v="1"/>
    <x v="24"/>
    <x v="3"/>
    <n v="5"/>
    <n v="21.11"/>
    <n v="0.1"/>
    <x v="114"/>
    <n v="35.824999999999989"/>
    <n v="59.17"/>
    <n v="0.62287488815200809"/>
    <x v="1"/>
  </r>
  <r>
    <s v="ORD-10561"/>
    <x v="104"/>
    <s v="Steven Clark"/>
    <x v="3"/>
    <x v="24"/>
    <x v="3"/>
    <n v="3"/>
    <n v="35.96"/>
    <n v="0"/>
    <x v="115"/>
    <n v="48.709999999999994"/>
    <n v="59.17"/>
    <n v="0.5484797923618836"/>
    <x v="0"/>
  </r>
  <r>
    <s v="ORD-10255"/>
    <x v="105"/>
    <s v="Robert Smith"/>
    <x v="3"/>
    <x v="36"/>
    <x v="3"/>
    <n v="3"/>
    <n v="34.11"/>
    <n v="0.05"/>
    <x v="116"/>
    <n v="38.123499999999993"/>
    <n v="59.09"/>
    <n v="0.60783738884002747"/>
    <x v="0"/>
  </r>
  <r>
    <s v="ORD-10747"/>
    <x v="106"/>
    <s v="Michelle Clark"/>
    <x v="3"/>
    <x v="9"/>
    <x v="2"/>
    <n v="3"/>
    <n v="90.84"/>
    <n v="0"/>
    <x v="117"/>
    <n v="213.76999999999998"/>
    <n v="58.75"/>
    <n v="0.21558050785263469"/>
    <x v="0"/>
  </r>
  <r>
    <s v="ORD-10183"/>
    <x v="107"/>
    <s v="Michael Jackson"/>
    <x v="3"/>
    <x v="41"/>
    <x v="4"/>
    <n v="5"/>
    <n v="36.86"/>
    <n v="0"/>
    <x v="118"/>
    <n v="126.71000000000001"/>
    <n v="57.59"/>
    <n v="0.31247965274009765"/>
    <x v="1"/>
  </r>
  <r>
    <s v="ORD-10034"/>
    <x v="108"/>
    <s v="Dorothy Perez"/>
    <x v="4"/>
    <x v="9"/>
    <x v="2"/>
    <n v="3"/>
    <n v="131.26"/>
    <n v="0"/>
    <x v="119"/>
    <n v="336.62"/>
    <n v="57.159999999999968"/>
    <n v="0.14515719437249219"/>
    <x v="2"/>
  </r>
  <r>
    <s v="ORD-10813"/>
    <x v="109"/>
    <s v="Ashley Johnson"/>
    <x v="4"/>
    <x v="15"/>
    <x v="2"/>
    <n v="4"/>
    <n v="113.66"/>
    <n v="0.15"/>
    <x v="120"/>
    <n v="329.31399999999996"/>
    <n v="57.129999999999995"/>
    <n v="0.14783513264535095"/>
    <x v="0"/>
  </r>
  <r>
    <s v="ORD-10787"/>
    <x v="110"/>
    <s v="Sarah Lee"/>
    <x v="4"/>
    <x v="28"/>
    <x v="3"/>
    <n v="3"/>
    <n v="32.29"/>
    <n v="0.1"/>
    <x v="121"/>
    <n v="30.52300000000001"/>
    <n v="56.66"/>
    <n v="0.64989734237179253"/>
    <x v="0"/>
  </r>
  <r>
    <s v="ORD-10323"/>
    <x v="111"/>
    <s v="Paul Thomas"/>
    <x v="1"/>
    <x v="36"/>
    <x v="3"/>
    <n v="4"/>
    <n v="27.2"/>
    <n v="0"/>
    <x v="122"/>
    <n v="52.62"/>
    <n v="56.18"/>
    <n v="0.51636029411764706"/>
    <x v="0"/>
  </r>
  <r>
    <s v="ORD-10328"/>
    <x v="112"/>
    <s v="David Jones"/>
    <x v="2"/>
    <x v="42"/>
    <x v="4"/>
    <n v="3"/>
    <n v="59.85"/>
    <n v="0"/>
    <x v="123"/>
    <n v="123.79000000000002"/>
    <n v="55.759999999999991"/>
    <n v="0.31055416318574208"/>
    <x v="2"/>
  </r>
  <r>
    <s v="ORD-10681"/>
    <x v="113"/>
    <s v="Mary Davis"/>
    <x v="3"/>
    <x v="10"/>
    <x v="1"/>
    <n v="2"/>
    <n v="76.75"/>
    <n v="0"/>
    <x v="124"/>
    <n v="97.759999999999991"/>
    <n v="55.740000000000009"/>
    <n v="0.36312703583061895"/>
    <x v="1"/>
  </r>
  <r>
    <s v="ORD-10554"/>
    <x v="94"/>
    <s v="William Williams"/>
    <x v="4"/>
    <x v="32"/>
    <x v="3"/>
    <n v="2"/>
    <n v="49.12"/>
    <n v="0.05"/>
    <x v="125"/>
    <n v="37.597999999999992"/>
    <n v="55.73"/>
    <n v="0.5971412652151552"/>
    <x v="1"/>
  </r>
  <r>
    <s v="ORD-10758"/>
    <x v="114"/>
    <s v="Donna Martin"/>
    <x v="0"/>
    <x v="14"/>
    <x v="3"/>
    <n v="2"/>
    <n v="48.44"/>
    <n v="0"/>
    <x v="126"/>
    <n v="41.179999999999993"/>
    <n v="55.7"/>
    <n v="0.57493806771263423"/>
    <x v="0"/>
  </r>
  <r>
    <s v="ORD-10783"/>
    <x v="115"/>
    <s v="Donna Martinez"/>
    <x v="1"/>
    <x v="37"/>
    <x v="2"/>
    <n v="3"/>
    <n v="81.849999999999994"/>
    <n v="0.05"/>
    <x v="127"/>
    <n v="178.46249999999998"/>
    <n v="54.81"/>
    <n v="0.23496125775648655"/>
    <x v="0"/>
  </r>
  <r>
    <s v="ORD-10092"/>
    <x v="116"/>
    <s v="Daniel Lewis"/>
    <x v="1"/>
    <x v="33"/>
    <x v="4"/>
    <n v="4"/>
    <n v="54.88"/>
    <n v="0.1"/>
    <x v="128"/>
    <n v="143.06800000000001"/>
    <n v="54.5"/>
    <n v="0.2758543893747975"/>
    <x v="0"/>
  </r>
  <r>
    <s v="ORD-10056"/>
    <x v="117"/>
    <s v="Robert Garcia"/>
    <x v="4"/>
    <x v="12"/>
    <x v="0"/>
    <n v="2"/>
    <n v="88.79"/>
    <n v="0.1"/>
    <x v="129"/>
    <n v="105.33199999999999"/>
    <n v="54.490000000000009"/>
    <n v="0.34094179774999694"/>
    <x v="1"/>
  </r>
  <r>
    <s v="ORD-10718"/>
    <x v="118"/>
    <s v="Mary Anderson"/>
    <x v="1"/>
    <x v="14"/>
    <x v="3"/>
    <n v="3"/>
    <n v="31.21"/>
    <n v="0.1"/>
    <x v="130"/>
    <n v="29.896999999999998"/>
    <n v="54.37"/>
    <n v="0.6452110553360153"/>
    <x v="0"/>
  </r>
  <r>
    <s v="ORD-10583"/>
    <x v="119"/>
    <s v="David White"/>
    <x v="3"/>
    <x v="7"/>
    <x v="0"/>
    <n v="2"/>
    <n v="70.23"/>
    <n v="0.15"/>
    <x v="131"/>
    <n v="65.521000000000015"/>
    <n v="53.86999999999999"/>
    <n v="0.45120653985643799"/>
    <x v="1"/>
  </r>
  <r>
    <s v="ORD-10161"/>
    <x v="120"/>
    <s v="Elizabeth Jackson"/>
    <x v="1"/>
    <x v="7"/>
    <x v="0"/>
    <n v="2"/>
    <n v="71.77"/>
    <n v="0.25"/>
    <x v="132"/>
    <n v="54.245000000000005"/>
    <n v="53.41"/>
    <n v="0.49612187079095255"/>
    <x v="1"/>
  </r>
  <r>
    <s v="ORD-10593"/>
    <x v="121"/>
    <s v="Steven Wilson"/>
    <x v="2"/>
    <x v="3"/>
    <x v="0"/>
    <n v="4"/>
    <n v="31.81"/>
    <n v="0.1"/>
    <x v="133"/>
    <n v="61.155999999999992"/>
    <n v="53.36"/>
    <n v="0.46596108840686024"/>
    <x v="2"/>
  </r>
  <r>
    <s v="ORD-10254"/>
    <x v="122"/>
    <s v="Michelle Jackson"/>
    <x v="4"/>
    <x v="32"/>
    <x v="3"/>
    <n v="2"/>
    <n v="43.55"/>
    <n v="0"/>
    <x v="134"/>
    <n v="33.769999999999996"/>
    <n v="53.33"/>
    <n v="0.61228473019517793"/>
    <x v="1"/>
  </r>
  <r>
    <s v="ORD-10481"/>
    <x v="123"/>
    <s v="Christopher Ramirez"/>
    <x v="3"/>
    <x v="11"/>
    <x v="2"/>
    <n v="2"/>
    <n v="135.74"/>
    <n v="0.2"/>
    <x v="135"/>
    <n v="164.09400000000002"/>
    <n v="53.09"/>
    <n v="0.24444710475909825"/>
    <x v="0"/>
  </r>
  <r>
    <s v="ORD-10115"/>
    <x v="73"/>
    <s v="Karen Moore"/>
    <x v="3"/>
    <x v="4"/>
    <x v="1"/>
    <n v="2"/>
    <n v="74.47"/>
    <n v="0"/>
    <x v="136"/>
    <n v="96.22999999999999"/>
    <n v="52.710000000000008"/>
    <n v="0.35390089969115085"/>
    <x v="1"/>
  </r>
  <r>
    <s v="ORD-10657"/>
    <x v="124"/>
    <s v="Paul Lee"/>
    <x v="4"/>
    <x v="12"/>
    <x v="0"/>
    <n v="2"/>
    <n v="53.16"/>
    <n v="0.1"/>
    <x v="137"/>
    <n v="43.307999999999986"/>
    <n v="52.38"/>
    <n v="0.54740406320541768"/>
    <x v="1"/>
  </r>
  <r>
    <s v="ORD-10870"/>
    <x v="21"/>
    <s v="Karen Martinez"/>
    <x v="0"/>
    <x v="32"/>
    <x v="3"/>
    <n v="3"/>
    <n v="34.840000000000003"/>
    <n v="0.15"/>
    <x v="138"/>
    <n v="36.792000000000016"/>
    <n v="52.05"/>
    <n v="0.58587154724116963"/>
    <x v="0"/>
  </r>
  <r>
    <s v="ORD-10818"/>
    <x v="125"/>
    <s v="Joshua Lewis"/>
    <x v="1"/>
    <x v="13"/>
    <x v="2"/>
    <n v="3"/>
    <n v="129.13999999999999"/>
    <n v="0.1"/>
    <x v="139"/>
    <n v="296.66799999999995"/>
    <n v="52.009999999999991"/>
    <n v="0.14916341151434848"/>
    <x v="0"/>
  </r>
  <r>
    <s v="ORD-10157"/>
    <x v="74"/>
    <s v="Mary Miller"/>
    <x v="1"/>
    <x v="17"/>
    <x v="1"/>
    <n v="2"/>
    <n v="78.63"/>
    <n v="0"/>
    <x v="140"/>
    <n v="105.35"/>
    <n v="51.91"/>
    <n v="0.33009029632455805"/>
    <x v="0"/>
  </r>
  <r>
    <s v="ORD-10613"/>
    <x v="126"/>
    <s v="Kimberly Martin"/>
    <x v="4"/>
    <x v="38"/>
    <x v="0"/>
    <n v="4"/>
    <n v="34.840000000000003"/>
    <n v="0"/>
    <x v="141"/>
    <n v="87.62"/>
    <n v="51.740000000000009"/>
    <n v="0.37126865671641796"/>
    <x v="1"/>
  </r>
  <r>
    <s v="ORD-10638"/>
    <x v="127"/>
    <s v="Emily Brown"/>
    <x v="2"/>
    <x v="14"/>
    <x v="3"/>
    <n v="5"/>
    <n v="20.95"/>
    <n v="0.15"/>
    <x v="142"/>
    <n v="37.617499999999993"/>
    <n v="51.42"/>
    <n v="0.57750947634423699"/>
    <x v="0"/>
  </r>
  <r>
    <s v="ORD-10969"/>
    <x v="128"/>
    <s v="Anthony Smith"/>
    <x v="2"/>
    <x v="8"/>
    <x v="2"/>
    <n v="2"/>
    <n v="111.83"/>
    <n v="0.05"/>
    <x v="143"/>
    <n v="161.297"/>
    <n v="51.180000000000007"/>
    <n v="0.24087312979757811"/>
    <x v="0"/>
  </r>
  <r>
    <s v="ORD-10013"/>
    <x v="129"/>
    <s v="Daniel Davis"/>
    <x v="3"/>
    <x v="26"/>
    <x v="1"/>
    <n v="3"/>
    <n v="61.19"/>
    <n v="0.2"/>
    <x v="144"/>
    <n v="95.786000000000001"/>
    <n v="51.069999999999993"/>
    <n v="0.34775562455738951"/>
    <x v="0"/>
  </r>
  <r>
    <s v="ORD-10988"/>
    <x v="130"/>
    <s v="Sandra Lee"/>
    <x v="1"/>
    <x v="28"/>
    <x v="3"/>
    <n v="3"/>
    <n v="31.44"/>
    <n v="0"/>
    <x v="145"/>
    <n v="43.77000000000001"/>
    <n v="50.55"/>
    <n v="0.53594147582697194"/>
    <x v="0"/>
  </r>
  <r>
    <s v="ORD-10595"/>
    <x v="131"/>
    <s v="Michael Hernandez"/>
    <x v="2"/>
    <x v="27"/>
    <x v="0"/>
    <n v="3"/>
    <n v="35.11"/>
    <n v="0.05"/>
    <x v="146"/>
    <n v="49.563500000000005"/>
    <n v="50.5"/>
    <n v="0.5046795284994029"/>
    <x v="0"/>
  </r>
  <r>
    <s v="ORD-10514"/>
    <x v="132"/>
    <s v="Joshua Thompson"/>
    <x v="4"/>
    <x v="2"/>
    <x v="0"/>
    <n v="2"/>
    <n v="82.56"/>
    <n v="0.05"/>
    <x v="147"/>
    <n v="106.38400000000001"/>
    <n v="50.47999999999999"/>
    <n v="0.3218074255405956"/>
    <x v="0"/>
  </r>
  <r>
    <s v="ORD-10367"/>
    <x v="133"/>
    <s v="Mark Thompson"/>
    <x v="3"/>
    <x v="43"/>
    <x v="2"/>
    <n v="4"/>
    <n v="118.28"/>
    <n v="0.05"/>
    <x v="148"/>
    <n v="399.084"/>
    <n v="50.379999999999995"/>
    <n v="0.11208906608760656"/>
    <x v="1"/>
  </r>
  <r>
    <s v="ORD-10809"/>
    <x v="134"/>
    <s v="Matthew Johnson"/>
    <x v="3"/>
    <x v="16"/>
    <x v="1"/>
    <n v="5"/>
    <n v="31.67"/>
    <n v="0.05"/>
    <x v="149"/>
    <n v="100.06250000000003"/>
    <n v="50.370000000000005"/>
    <n v="0.33483456035098796"/>
    <x v="0"/>
  </r>
  <r>
    <s v="ORD-10900"/>
    <x v="135"/>
    <s v="Barbara Brown"/>
    <x v="0"/>
    <x v="30"/>
    <x v="2"/>
    <n v="2"/>
    <n v="137.69"/>
    <n v="0.05"/>
    <x v="150"/>
    <n v="211.351"/>
    <n v="50.259999999999991"/>
    <n v="0.19211730393599655"/>
    <x v="1"/>
  </r>
  <r>
    <s v="ORD-10959"/>
    <x v="97"/>
    <s v="Robert Martinez"/>
    <x v="1"/>
    <x v="42"/>
    <x v="4"/>
    <n v="4"/>
    <n v="49.44"/>
    <n v="0"/>
    <x v="151"/>
    <n v="147.51999999999998"/>
    <n v="50.240000000000009"/>
    <n v="0.25404530744336573"/>
    <x v="1"/>
  </r>
  <r>
    <s v="ORD-10197"/>
    <x v="136"/>
    <s v="Michelle Sanchez"/>
    <x v="2"/>
    <x v="21"/>
    <x v="0"/>
    <n v="3"/>
    <n v="50.3"/>
    <n v="0.05"/>
    <x v="152"/>
    <n v="93.164999999999992"/>
    <n v="50.19"/>
    <n v="0.35010986711311082"/>
    <x v="0"/>
  </r>
  <r>
    <s v="ORD-10639"/>
    <x v="137"/>
    <s v="Susan Johnson"/>
    <x v="1"/>
    <x v="16"/>
    <x v="1"/>
    <n v="3"/>
    <n v="65.89"/>
    <n v="0.15"/>
    <x v="153"/>
    <n v="117.85950000000003"/>
    <n v="50.16"/>
    <n v="0.2985367769812432"/>
    <x v="0"/>
  </r>
  <r>
    <s v="ORD-10704"/>
    <x v="67"/>
    <s v="Kimberly Jackson"/>
    <x v="1"/>
    <x v="7"/>
    <x v="0"/>
    <n v="2"/>
    <n v="65.89"/>
    <n v="0.25"/>
    <x v="154"/>
    <n v="48.705000000000005"/>
    <n v="50.13"/>
    <n v="0.50720898467142206"/>
    <x v="0"/>
  </r>
  <r>
    <s v="ORD-10508"/>
    <x v="138"/>
    <s v="Daniel Robinson"/>
    <x v="2"/>
    <x v="4"/>
    <x v="1"/>
    <n v="5"/>
    <n v="48.14"/>
    <n v="0.1"/>
    <x v="155"/>
    <n v="166.69"/>
    <n v="49.94"/>
    <n v="0.23053132068503901"/>
    <x v="0"/>
  </r>
  <r>
    <s v="ORD-10286"/>
    <x v="139"/>
    <s v="Mark Jackson"/>
    <x v="3"/>
    <x v="14"/>
    <x v="3"/>
    <n v="2"/>
    <n v="42.69"/>
    <n v="0"/>
    <x v="156"/>
    <n v="35.629999999999995"/>
    <n v="49.75"/>
    <n v="0.58268915436870461"/>
    <x v="1"/>
  </r>
  <r>
    <s v="ORD-10683"/>
    <x v="80"/>
    <s v="Mark Lewis"/>
    <x v="2"/>
    <x v="31"/>
    <x v="3"/>
    <n v="2"/>
    <n v="45.06"/>
    <n v="0"/>
    <x v="157"/>
    <n v="40.620000000000005"/>
    <n v="49.5"/>
    <n v="0.54926764314247667"/>
    <x v="0"/>
  </r>
  <r>
    <s v="ORD-10181"/>
    <x v="24"/>
    <s v="Elizabeth White"/>
    <x v="2"/>
    <x v="39"/>
    <x v="4"/>
    <n v="4"/>
    <n v="59.46"/>
    <n v="0"/>
    <x v="158"/>
    <n v="188.53"/>
    <n v="49.31"/>
    <n v="0.20732425159771276"/>
    <x v="0"/>
  </r>
  <r>
    <s v="ORD-10223"/>
    <x v="140"/>
    <s v="Betty Ramirez"/>
    <x v="2"/>
    <x v="28"/>
    <x v="3"/>
    <n v="3"/>
    <n v="25.71"/>
    <n v="0"/>
    <x v="159"/>
    <n v="27.849999999999994"/>
    <n v="49.28"/>
    <n v="0.63892130169843131"/>
    <x v="0"/>
  </r>
  <r>
    <s v="ORD-10458"/>
    <x v="15"/>
    <s v="David Garcia"/>
    <x v="4"/>
    <x v="14"/>
    <x v="3"/>
    <n v="2"/>
    <n v="38.67"/>
    <n v="0"/>
    <x v="160"/>
    <n v="28.230000000000004"/>
    <n v="49.11"/>
    <n v="0.6349883630721489"/>
    <x v="0"/>
  </r>
  <r>
    <s v="ORD-10851"/>
    <x v="141"/>
    <s v="Kimberly Smith"/>
    <x v="4"/>
    <x v="5"/>
    <x v="2"/>
    <n v="3"/>
    <n v="94.51"/>
    <n v="0.15"/>
    <x v="161"/>
    <n v="191.91050000000004"/>
    <n v="49.09"/>
    <n v="0.20369252345949487"/>
    <x v="0"/>
  </r>
  <r>
    <s v="ORD-10415"/>
    <x v="57"/>
    <s v="Thomas Johnson"/>
    <x v="0"/>
    <x v="36"/>
    <x v="3"/>
    <n v="5"/>
    <n v="19.52"/>
    <n v="0"/>
    <x v="162"/>
    <n v="48.599999999999994"/>
    <n v="49"/>
    <n v="0.50204918032786883"/>
    <x v="0"/>
  </r>
  <r>
    <s v="ORD-10135"/>
    <x v="100"/>
    <s v="Emily Martin"/>
    <x v="1"/>
    <x v="14"/>
    <x v="3"/>
    <n v="3"/>
    <n v="39.61"/>
    <n v="0.1"/>
    <x v="163"/>
    <n v="58.007000000000005"/>
    <n v="48.94"/>
    <n v="0.4576098441284"/>
    <x v="0"/>
  </r>
  <r>
    <s v="ORD-10594"/>
    <x v="142"/>
    <s v="Emily Garcia"/>
    <x v="2"/>
    <x v="12"/>
    <x v="0"/>
    <n v="2"/>
    <n v="51.46"/>
    <n v="0"/>
    <x v="164"/>
    <n v="54.46"/>
    <n v="48.46"/>
    <n v="0.47085114652157017"/>
    <x v="0"/>
  </r>
  <r>
    <s v="ORD-10492"/>
    <x v="143"/>
    <s v="James Anderson"/>
    <x v="0"/>
    <x v="44"/>
    <x v="4"/>
    <n v="4"/>
    <n v="51.81"/>
    <n v="0.05"/>
    <x v="165"/>
    <n v="148.428"/>
    <n v="48.450000000000017"/>
    <n v="0.24609148812970477"/>
    <x v="1"/>
  </r>
  <r>
    <s v="ORD-10833"/>
    <x v="144"/>
    <s v="Robert Perez"/>
    <x v="3"/>
    <x v="0"/>
    <x v="0"/>
    <n v="5"/>
    <n v="28.02"/>
    <n v="0.2"/>
    <x v="166"/>
    <n v="63.91"/>
    <n v="48.17"/>
    <n v="0.4297822983583155"/>
    <x v="0"/>
  </r>
  <r>
    <s v="ORD-10424"/>
    <x v="145"/>
    <s v="Thomas Thomas"/>
    <x v="3"/>
    <x v="34"/>
    <x v="4"/>
    <n v="5"/>
    <n v="53.24"/>
    <n v="0.2"/>
    <x v="167"/>
    <n v="164.98999999999998"/>
    <n v="47.97"/>
    <n v="0.22525356874530431"/>
    <x v="1"/>
  </r>
  <r>
    <s v="ORD-10724"/>
    <x v="146"/>
    <s v="Linda Gonzalez"/>
    <x v="4"/>
    <x v="28"/>
    <x v="3"/>
    <n v="3"/>
    <n v="35.71"/>
    <n v="0"/>
    <x v="168"/>
    <n v="59.62"/>
    <n v="47.51"/>
    <n v="0.44347988425277701"/>
    <x v="0"/>
  </r>
  <r>
    <s v="ORD-10543"/>
    <x v="147"/>
    <s v="Kimberly Martinez"/>
    <x v="3"/>
    <x v="7"/>
    <x v="0"/>
    <n v="5"/>
    <n v="26.63"/>
    <n v="0.15"/>
    <x v="169"/>
    <n v="65.877500000000012"/>
    <n v="47.3"/>
    <n v="0.41792759161494109"/>
    <x v="0"/>
  </r>
  <r>
    <s v="ORD-10903"/>
    <x v="148"/>
    <s v="Susan Williams"/>
    <x v="0"/>
    <x v="17"/>
    <x v="1"/>
    <n v="4"/>
    <n v="55.37"/>
    <n v="0.05"/>
    <x v="170"/>
    <n v="163.65599999999998"/>
    <n v="46.75"/>
    <n v="0.22218948128855642"/>
    <x v="2"/>
  </r>
  <r>
    <s v="ORD-10220"/>
    <x v="89"/>
    <s v="Linda Anderson"/>
    <x v="1"/>
    <x v="1"/>
    <x v="0"/>
    <n v="2"/>
    <n v="62.72"/>
    <n v="0.05"/>
    <x v="171"/>
    <n v="72.457999999999998"/>
    <n v="46.709999999999994"/>
    <n v="0.39196764232008591"/>
    <x v="0"/>
  </r>
  <r>
    <s v="ORD-10983"/>
    <x v="149"/>
    <s v="Kenneth Jackson"/>
    <x v="3"/>
    <x v="45"/>
    <x v="4"/>
    <n v="3"/>
    <n v="54.7"/>
    <n v="0.15"/>
    <x v="172"/>
    <n v="93.16500000000002"/>
    <n v="46.319999999999993"/>
    <n v="0.33207871814173556"/>
    <x v="0"/>
  </r>
  <r>
    <s v="ORD-10136"/>
    <x v="150"/>
    <s v="Barbara Martinez"/>
    <x v="1"/>
    <x v="22"/>
    <x v="3"/>
    <n v="2"/>
    <n v="47.91"/>
    <n v="0"/>
    <x v="173"/>
    <n v="49.949999999999996"/>
    <n v="45.87"/>
    <n v="0.47871008140262994"/>
    <x v="0"/>
  </r>
  <r>
    <s v="ORD-10958"/>
    <x v="80"/>
    <s v="Jennifer Johnson"/>
    <x v="4"/>
    <x v="3"/>
    <x v="0"/>
    <n v="2"/>
    <n v="63.08"/>
    <n v="0.15"/>
    <x v="174"/>
    <n v="61.55599999999999"/>
    <n v="45.68"/>
    <n v="0.42597635122533484"/>
    <x v="1"/>
  </r>
  <r>
    <s v="ORD-10077"/>
    <x v="29"/>
    <s v="Richard Smith"/>
    <x v="1"/>
    <x v="38"/>
    <x v="0"/>
    <n v="2"/>
    <n v="42.26"/>
    <n v="0"/>
    <x v="175"/>
    <n v="38.879999999999995"/>
    <n v="45.64"/>
    <n v="0.53999053478466641"/>
    <x v="1"/>
  </r>
  <r>
    <s v="ORD-10444"/>
    <x v="151"/>
    <s v="Thomas Brown"/>
    <x v="3"/>
    <x v="23"/>
    <x v="3"/>
    <n v="3"/>
    <n v="30.57"/>
    <n v="0.2"/>
    <x v="176"/>
    <n v="27.768000000000008"/>
    <n v="45.6"/>
    <n v="0.62152437029767738"/>
    <x v="1"/>
  </r>
  <r>
    <s v="ORD-10491"/>
    <x v="152"/>
    <s v="Karen Perez"/>
    <x v="3"/>
    <x v="0"/>
    <x v="0"/>
    <n v="2"/>
    <n v="46.18"/>
    <n v="0"/>
    <x v="177"/>
    <n v="46.85"/>
    <n v="45.51"/>
    <n v="0.49274577739281072"/>
    <x v="1"/>
  </r>
  <r>
    <s v="ORD-10462"/>
    <x v="153"/>
    <s v="Donna White"/>
    <x v="0"/>
    <x v="18"/>
    <x v="3"/>
    <n v="2"/>
    <n v="43.71"/>
    <n v="0.05"/>
    <x v="178"/>
    <n v="37.559000000000005"/>
    <n v="45.49"/>
    <n v="0.54774891931269487"/>
    <x v="0"/>
  </r>
  <r>
    <s v="ORD-10516"/>
    <x v="143"/>
    <s v="Donna Lee"/>
    <x v="1"/>
    <x v="0"/>
    <x v="0"/>
    <n v="2"/>
    <n v="59.61"/>
    <n v="0.15"/>
    <x v="179"/>
    <n v="55.907000000000004"/>
    <n v="45.43"/>
    <n v="0.44830614681705594"/>
    <x v="1"/>
  </r>
  <r>
    <s v="ORD-10387"/>
    <x v="154"/>
    <s v="Thomas Williams"/>
    <x v="2"/>
    <x v="18"/>
    <x v="3"/>
    <n v="2"/>
    <n v="43.22"/>
    <n v="0"/>
    <x v="180"/>
    <n v="41.489999999999995"/>
    <n v="44.95"/>
    <n v="0.52001388246182323"/>
    <x v="0"/>
  </r>
  <r>
    <s v="ORD-10372"/>
    <x v="155"/>
    <s v="Linda Harris"/>
    <x v="3"/>
    <x v="46"/>
    <x v="1"/>
    <n v="3"/>
    <n v="41.19"/>
    <n v="0.05"/>
    <x v="181"/>
    <n v="72.811499999999995"/>
    <n v="44.58"/>
    <n v="0.3797549226306845"/>
    <x v="0"/>
  </r>
  <r>
    <s v="ORD-10391"/>
    <x v="156"/>
    <s v="Matthew Hernandez"/>
    <x v="4"/>
    <x v="8"/>
    <x v="2"/>
    <n v="2"/>
    <n v="125.79"/>
    <n v="0.1"/>
    <x v="182"/>
    <n v="181.86200000000002"/>
    <n v="44.56"/>
    <n v="0.19680066424640713"/>
    <x v="0"/>
  </r>
  <r>
    <s v="ORD-10551"/>
    <x v="157"/>
    <s v="Joshua Hernandez"/>
    <x v="4"/>
    <x v="47"/>
    <x v="4"/>
    <n v="4"/>
    <n v="51.45"/>
    <n v="0"/>
    <x v="183"/>
    <n v="161.43"/>
    <n v="44.370000000000005"/>
    <n v="0.21559766763848398"/>
    <x v="1"/>
  </r>
  <r>
    <s v="ORD-10289"/>
    <x v="119"/>
    <s v="Linda Thomas"/>
    <x v="3"/>
    <x v="42"/>
    <x v="4"/>
    <n v="3"/>
    <n v="59.38"/>
    <n v="0.2"/>
    <x v="184"/>
    <n v="98.722000000000008"/>
    <n v="43.789999999999992"/>
    <n v="0.30727237004603114"/>
    <x v="2"/>
  </r>
  <r>
    <s v="ORD-10411"/>
    <x v="158"/>
    <s v="Thomas Harris"/>
    <x v="3"/>
    <x v="34"/>
    <x v="4"/>
    <n v="3"/>
    <n v="54.12"/>
    <n v="0"/>
    <x v="185"/>
    <n v="118.61999999999998"/>
    <n v="43.740000000000009"/>
    <n v="0.2694013303769402"/>
    <x v="1"/>
  </r>
  <r>
    <s v="ORD-10294"/>
    <x v="159"/>
    <s v="Robert Lewis"/>
    <x v="4"/>
    <x v="27"/>
    <x v="0"/>
    <n v="5"/>
    <n v="32.21"/>
    <n v="0.2"/>
    <x v="186"/>
    <n v="85.15"/>
    <n v="43.69"/>
    <n v="0.33910276311704435"/>
    <x v="0"/>
  </r>
  <r>
    <s v="ORD-10607"/>
    <x v="133"/>
    <s v="James Brown"/>
    <x v="3"/>
    <x v="5"/>
    <x v="2"/>
    <n v="2"/>
    <n v="145.56"/>
    <n v="0"/>
    <x v="187"/>
    <n v="247.52"/>
    <n v="43.599999999999994"/>
    <n v="0.14976641934597415"/>
    <x v="1"/>
  </r>
  <r>
    <s v="ORD-10523"/>
    <x v="160"/>
    <s v="Paul Rodriguez"/>
    <x v="1"/>
    <x v="46"/>
    <x v="1"/>
    <n v="2"/>
    <n v="64.260000000000005"/>
    <n v="0"/>
    <x v="188"/>
    <n v="84.960000000000008"/>
    <n v="43.56"/>
    <n v="0.33893557422969189"/>
    <x v="1"/>
  </r>
  <r>
    <s v="ORD-10838"/>
    <x v="16"/>
    <s v="Andrew Taylor"/>
    <x v="1"/>
    <x v="8"/>
    <x v="2"/>
    <n v="2"/>
    <n v="145.76"/>
    <n v="0.1"/>
    <x v="189"/>
    <n v="218.84799999999998"/>
    <n v="43.52000000000001"/>
    <n v="0.16587388705939754"/>
    <x v="1"/>
  </r>
  <r>
    <s v="ORD-10232"/>
    <x v="161"/>
    <s v="Carol Johnson"/>
    <x v="3"/>
    <x v="1"/>
    <x v="0"/>
    <n v="2"/>
    <n v="50.79"/>
    <n v="0.05"/>
    <x v="190"/>
    <n v="53.021000000000008"/>
    <n v="43.48"/>
    <n v="0.45056527911627853"/>
    <x v="1"/>
  </r>
  <r>
    <s v="ORD-10147"/>
    <x v="162"/>
    <s v="Mary Thomas"/>
    <x v="0"/>
    <x v="6"/>
    <x v="0"/>
    <n v="2"/>
    <n v="48.95"/>
    <n v="0.05"/>
    <x v="191"/>
    <n v="49.585000000000008"/>
    <n v="43.42"/>
    <n v="0.46685662061179506"/>
    <x v="0"/>
  </r>
  <r>
    <s v="ORD-10337"/>
    <x v="163"/>
    <s v="Matthew Smith"/>
    <x v="2"/>
    <x v="22"/>
    <x v="3"/>
    <n v="3"/>
    <n v="25.09"/>
    <n v="0.05"/>
    <x v="192"/>
    <n v="28.096499999999992"/>
    <n v="43.41"/>
    <n v="0.60707767825302605"/>
    <x v="2"/>
  </r>
  <r>
    <s v="ORD-10941"/>
    <x v="164"/>
    <s v="Betty Brown"/>
    <x v="3"/>
    <x v="0"/>
    <x v="0"/>
    <n v="2"/>
    <n v="54.14"/>
    <n v="0"/>
    <x v="193"/>
    <n v="65.050000000000011"/>
    <n v="43.22999999999999"/>
    <n v="0.39924270410048013"/>
    <x v="0"/>
  </r>
  <r>
    <s v="ORD-10756"/>
    <x v="13"/>
    <s v="David Jackson"/>
    <x v="0"/>
    <x v="36"/>
    <x v="3"/>
    <n v="3"/>
    <n v="39"/>
    <n v="0.1"/>
    <x v="194"/>
    <n v="62.099999999999994"/>
    <n v="43.2"/>
    <n v="0.4102564102564103"/>
    <x v="1"/>
  </r>
  <r>
    <s v="ORD-10139"/>
    <x v="165"/>
    <s v="Matthew Johnson"/>
    <x v="2"/>
    <x v="4"/>
    <x v="1"/>
    <n v="2"/>
    <n v="65.010000000000005"/>
    <n v="0.05"/>
    <x v="195"/>
    <n v="80.439000000000007"/>
    <n v="43.08"/>
    <n v="0.34877225366137998"/>
    <x v="0"/>
  </r>
  <r>
    <s v="ORD-10345"/>
    <x v="71"/>
    <s v="Jessica Ramirez"/>
    <x v="2"/>
    <x v="9"/>
    <x v="2"/>
    <n v="3"/>
    <n v="72.19"/>
    <n v="0"/>
    <x v="196"/>
    <n v="173.78"/>
    <n v="42.789999999999992"/>
    <n v="0.19758045897400375"/>
    <x v="2"/>
  </r>
  <r>
    <s v="ORD-10330"/>
    <x v="166"/>
    <s v="Jennifer Brown"/>
    <x v="1"/>
    <x v="38"/>
    <x v="0"/>
    <n v="2"/>
    <n v="72.95"/>
    <n v="0.1"/>
    <x v="197"/>
    <n v="88.86"/>
    <n v="42.45"/>
    <n v="0.32328078592643367"/>
    <x v="0"/>
  </r>
  <r>
    <s v="ORD-10912"/>
    <x v="167"/>
    <s v="Joseph Ramirez"/>
    <x v="3"/>
    <x v="14"/>
    <x v="3"/>
    <n v="2"/>
    <n v="47"/>
    <n v="0.1"/>
    <x v="198"/>
    <n v="42.179999999999993"/>
    <n v="42.42"/>
    <n v="0.50141843971631206"/>
    <x v="1"/>
  </r>
  <r>
    <s v="ORD-10661"/>
    <x v="120"/>
    <s v="Dorothy Martinez"/>
    <x v="3"/>
    <x v="42"/>
    <x v="4"/>
    <n v="4"/>
    <n v="53.57"/>
    <n v="0.15"/>
    <x v="199"/>
    <n v="139.78800000000001"/>
    <n v="42.349999999999994"/>
    <n v="0.23251600434835121"/>
    <x v="1"/>
  </r>
  <r>
    <s v="ORD-10227"/>
    <x v="168"/>
    <s v="Joseph Moore"/>
    <x v="2"/>
    <x v="10"/>
    <x v="1"/>
    <n v="4"/>
    <n v="42.76"/>
    <n v="0"/>
    <x v="200"/>
    <n v="128.79"/>
    <n v="42.25"/>
    <n v="0.24701824134705333"/>
    <x v="1"/>
  </r>
  <r>
    <s v="ORD-10612"/>
    <x v="100"/>
    <s v="Joseph Brown"/>
    <x v="2"/>
    <x v="48"/>
    <x v="1"/>
    <n v="2"/>
    <n v="65.34"/>
    <n v="0.15"/>
    <x v="201"/>
    <n v="68.837999999999994"/>
    <n v="42.240000000000009"/>
    <n v="0.38027332144979209"/>
    <x v="1"/>
  </r>
  <r>
    <s v="ORD-10131"/>
    <x v="169"/>
    <s v="Kevin Martinez"/>
    <x v="3"/>
    <x v="24"/>
    <x v="3"/>
    <n v="3"/>
    <n v="32.04"/>
    <n v="0.25"/>
    <x v="202"/>
    <n v="30.060000000000002"/>
    <n v="42.03"/>
    <n v="0.58302122347066165"/>
    <x v="0"/>
  </r>
  <r>
    <s v="ORD-10406"/>
    <x v="170"/>
    <s v="Joshua Lewis"/>
    <x v="4"/>
    <x v="22"/>
    <x v="3"/>
    <n v="2"/>
    <n v="48.7"/>
    <n v="0"/>
    <x v="203"/>
    <n v="55.570000000000007"/>
    <n v="41.83"/>
    <n v="0.42946611909650922"/>
    <x v="1"/>
  </r>
  <r>
    <s v="ORD-10045"/>
    <x v="6"/>
    <s v="Daniel Jones"/>
    <x v="0"/>
    <x v="5"/>
    <x v="2"/>
    <n v="3"/>
    <n v="138.55000000000001"/>
    <n v="0.25"/>
    <x v="204"/>
    <n v="269.96750000000003"/>
    <n v="41.769999999999982"/>
    <n v="0.13399093788844774"/>
    <x v="1"/>
  </r>
  <r>
    <s v="ORD-10495"/>
    <x v="171"/>
    <s v="Kevin White"/>
    <x v="0"/>
    <x v="27"/>
    <x v="0"/>
    <n v="2"/>
    <n v="52.91"/>
    <n v="0.1"/>
    <x v="205"/>
    <n v="53.558"/>
    <n v="41.68"/>
    <n v="0.43764043764043764"/>
    <x v="0"/>
  </r>
  <r>
    <s v="ORD-10924"/>
    <x v="172"/>
    <s v="Ashley Brown"/>
    <x v="0"/>
    <x v="28"/>
    <x v="3"/>
    <n v="3"/>
    <n v="23.9"/>
    <n v="0.1"/>
    <x v="206"/>
    <n v="22.959999999999987"/>
    <n v="41.57"/>
    <n v="0.64419649775298327"/>
    <x v="0"/>
  </r>
  <r>
    <s v="ORD-10529"/>
    <x v="173"/>
    <s v="Jennifer Thompson"/>
    <x v="4"/>
    <x v="7"/>
    <x v="0"/>
    <n v="2"/>
    <n v="71.84"/>
    <n v="0.05"/>
    <x v="207"/>
    <n v="94.946000000000012"/>
    <n v="41.55"/>
    <n v="0.30440452467471568"/>
    <x v="1"/>
  </r>
  <r>
    <s v="ORD-10423"/>
    <x v="174"/>
    <s v="Joshua Johnson"/>
    <x v="1"/>
    <x v="24"/>
    <x v="3"/>
    <n v="3"/>
    <n v="27.12"/>
    <n v="0"/>
    <x v="208"/>
    <n v="39.99"/>
    <n v="41.37"/>
    <n v="0.50848082595870203"/>
    <x v="0"/>
  </r>
  <r>
    <s v="ORD-10755"/>
    <x v="175"/>
    <s v="Donald Lopez"/>
    <x v="0"/>
    <x v="46"/>
    <x v="1"/>
    <n v="3"/>
    <n v="43.5"/>
    <n v="0.05"/>
    <x v="209"/>
    <n v="82.634999999999991"/>
    <n v="41.34"/>
    <n v="0.33345432546884457"/>
    <x v="0"/>
  </r>
  <r>
    <s v="ORD-10994"/>
    <x v="176"/>
    <s v="Lisa Wilson"/>
    <x v="1"/>
    <x v="2"/>
    <x v="0"/>
    <n v="2"/>
    <n v="67.459999999999994"/>
    <n v="0.25"/>
    <x v="210"/>
    <n v="60.099999999999994"/>
    <n v="41.09"/>
    <n v="0.40606779326020365"/>
    <x v="0"/>
  </r>
  <r>
    <s v="ORD-10896"/>
    <x v="93"/>
    <s v="Christopher Wilson"/>
    <x v="0"/>
    <x v="3"/>
    <x v="0"/>
    <n v="1"/>
    <n v="86.97"/>
    <n v="0"/>
    <x v="211"/>
    <n v="45.99"/>
    <n v="40.98"/>
    <n v="0.47119696447050702"/>
    <x v="1"/>
  </r>
  <r>
    <s v="ORD-10274"/>
    <x v="177"/>
    <s v="Ashley Ramirez"/>
    <x v="0"/>
    <x v="7"/>
    <x v="0"/>
    <n v="3"/>
    <n v="60.2"/>
    <n v="0.25"/>
    <x v="212"/>
    <n v="94.54000000000002"/>
    <n v="40.909999999999997"/>
    <n v="0.30203026947212985"/>
    <x v="2"/>
  </r>
  <r>
    <s v="ORD-10587"/>
    <x v="178"/>
    <s v="Andrew Clark"/>
    <x v="3"/>
    <x v="4"/>
    <x v="1"/>
    <n v="4"/>
    <n v="42.65"/>
    <n v="0.1"/>
    <x v="213"/>
    <n v="112.71"/>
    <n v="40.83"/>
    <n v="0.26592418913638138"/>
    <x v="0"/>
  </r>
  <r>
    <s v="ORD-10733"/>
    <x v="179"/>
    <s v="Dorothy Wilson"/>
    <x v="3"/>
    <x v="36"/>
    <x v="3"/>
    <n v="3"/>
    <n v="38.630000000000003"/>
    <n v="0.25"/>
    <x v="214"/>
    <n v="46.127500000000019"/>
    <n v="40.79"/>
    <n v="0.46929559639888391"/>
    <x v="1"/>
  </r>
  <r>
    <s v="ORD-10348"/>
    <x v="180"/>
    <s v="Sarah Clark"/>
    <x v="4"/>
    <x v="0"/>
    <x v="0"/>
    <n v="2"/>
    <n v="58.02"/>
    <n v="0.25"/>
    <x v="215"/>
    <n v="46.31"/>
    <n v="40.72"/>
    <n v="0.46788463748132825"/>
    <x v="0"/>
  </r>
  <r>
    <s v="ORD-10668"/>
    <x v="181"/>
    <s v="Ashley Wilson"/>
    <x v="4"/>
    <x v="31"/>
    <x v="3"/>
    <n v="2"/>
    <n v="45.81"/>
    <n v="0.15"/>
    <x v="216"/>
    <n v="37.187000000000012"/>
    <n v="40.69"/>
    <n v="0.52249059414204446"/>
    <x v="0"/>
  </r>
  <r>
    <s v="ORD-10155"/>
    <x v="117"/>
    <s v="Michelle Thompson"/>
    <x v="2"/>
    <x v="8"/>
    <x v="2"/>
    <n v="2"/>
    <n v="141.15"/>
    <n v="0.2"/>
    <x v="217"/>
    <n v="185.17000000000002"/>
    <n v="40.669999999999987"/>
    <n v="0.18008324477506193"/>
    <x v="0"/>
  </r>
  <r>
    <s v="ORD-10149"/>
    <x v="182"/>
    <s v="Thomas Brown"/>
    <x v="3"/>
    <x v="28"/>
    <x v="3"/>
    <n v="2"/>
    <n v="48.98"/>
    <n v="0.1"/>
    <x v="218"/>
    <n v="47.893999999999984"/>
    <n v="40.270000000000003"/>
    <n v="0.45676239735039253"/>
    <x v="1"/>
  </r>
  <r>
    <s v="ORD-10720"/>
    <x v="183"/>
    <s v="Emily Perez"/>
    <x v="1"/>
    <x v="24"/>
    <x v="3"/>
    <n v="4"/>
    <n v="20.8"/>
    <n v="0.25"/>
    <x v="219"/>
    <n v="22.150000000000006"/>
    <n v="40.25"/>
    <n v="0.64503205128205121"/>
    <x v="1"/>
  </r>
  <r>
    <s v="ORD-10771"/>
    <x v="184"/>
    <s v="Steven Hernandez"/>
    <x v="3"/>
    <x v="48"/>
    <x v="1"/>
    <n v="2"/>
    <n v="75.25"/>
    <n v="0.2"/>
    <x v="220"/>
    <n v="80.240000000000009"/>
    <n v="40.159999999999997"/>
    <n v="0.33355481727574748"/>
    <x v="0"/>
  </r>
  <r>
    <s v="ORD-10470"/>
    <x v="185"/>
    <s v="Matthew Robinson"/>
    <x v="0"/>
    <x v="21"/>
    <x v="0"/>
    <n v="2"/>
    <n v="64.89"/>
    <n v="0.1"/>
    <x v="221"/>
    <n v="77.391999999999996"/>
    <n v="39.409999999999997"/>
    <n v="0.33740860601702027"/>
    <x v="1"/>
  </r>
  <r>
    <s v="ORD-10877"/>
    <x v="186"/>
    <s v="Jessica Robinson"/>
    <x v="4"/>
    <x v="8"/>
    <x v="2"/>
    <n v="2"/>
    <n v="99.93"/>
    <n v="0.1"/>
    <x v="222"/>
    <n v="140.53400000000002"/>
    <n v="39.340000000000003"/>
    <n v="0.21870865161168374"/>
    <x v="1"/>
  </r>
  <r>
    <s v="ORD-10750"/>
    <x v="146"/>
    <s v="Thomas Anderson"/>
    <x v="3"/>
    <x v="1"/>
    <x v="0"/>
    <n v="3"/>
    <n v="40.79"/>
    <n v="0"/>
    <x v="223"/>
    <n v="83.22"/>
    <n v="39.150000000000006"/>
    <n v="0.31993135572444231"/>
    <x v="0"/>
  </r>
  <r>
    <s v="ORD-10295"/>
    <x v="187"/>
    <s v="William Rodriguez"/>
    <x v="4"/>
    <x v="22"/>
    <x v="3"/>
    <n v="3"/>
    <n v="22.73"/>
    <n v="0.1"/>
    <x v="224"/>
    <n v="22.420999999999992"/>
    <n v="38.950000000000003"/>
    <n v="0.63466458099102196"/>
    <x v="0"/>
  </r>
  <r>
    <s v="ORD-10040"/>
    <x v="188"/>
    <s v="Joseph Williams"/>
    <x v="1"/>
    <x v="28"/>
    <x v="3"/>
    <n v="2"/>
    <n v="32.74"/>
    <n v="0"/>
    <x v="225"/>
    <n v="26.590000000000003"/>
    <n v="38.89"/>
    <n v="0.5939218081857055"/>
    <x v="1"/>
  </r>
  <r>
    <s v="ORD-10095"/>
    <x v="134"/>
    <s v="Donna Wilson"/>
    <x v="1"/>
    <x v="2"/>
    <x v="0"/>
    <n v="1"/>
    <n v="70.489999999999995"/>
    <n v="0"/>
    <x v="226"/>
    <n v="31.749999999999993"/>
    <n v="38.74"/>
    <n v="0.54958150092211666"/>
    <x v="1"/>
  </r>
  <r>
    <s v="ORD-10760"/>
    <x v="189"/>
    <s v="Michael Lee"/>
    <x v="1"/>
    <x v="18"/>
    <x v="3"/>
    <n v="2"/>
    <n v="44.36"/>
    <n v="0"/>
    <x v="227"/>
    <n v="50.129999999999995"/>
    <n v="38.590000000000003"/>
    <n v="0.43496393146979268"/>
    <x v="1"/>
  </r>
  <r>
    <s v="ORD-10635"/>
    <x v="190"/>
    <s v="Robert Brown"/>
    <x v="3"/>
    <x v="20"/>
    <x v="3"/>
    <n v="2"/>
    <n v="46.08"/>
    <n v="0"/>
    <x v="228"/>
    <n v="53.669999999999995"/>
    <n v="38.49"/>
    <n v="0.41764322916666669"/>
    <x v="0"/>
  </r>
  <r>
    <s v="ORD-10581"/>
    <x v="191"/>
    <s v="Matthew Taylor"/>
    <x v="4"/>
    <x v="12"/>
    <x v="0"/>
    <n v="1"/>
    <n v="88.48"/>
    <n v="0.2"/>
    <x v="229"/>
    <n v="32.324000000000005"/>
    <n v="38.46"/>
    <n v="0.54334312839059673"/>
    <x v="1"/>
  </r>
  <r>
    <s v="ORD-10047"/>
    <x v="192"/>
    <s v="Dorothy Sanchez"/>
    <x v="1"/>
    <x v="31"/>
    <x v="3"/>
    <n v="2"/>
    <n v="30.45"/>
    <n v="0"/>
    <x v="230"/>
    <n v="22.47"/>
    <n v="38.43"/>
    <n v="0.63103448275862073"/>
    <x v="1"/>
  </r>
  <r>
    <s v="ORD-10388"/>
    <x v="150"/>
    <s v="Susan Taylor"/>
    <x v="2"/>
    <x v="49"/>
    <x v="4"/>
    <n v="2"/>
    <n v="59.71"/>
    <n v="0.05"/>
    <x v="231"/>
    <n v="75.09899999999999"/>
    <n v="38.350000000000009"/>
    <n v="0.33803735599256063"/>
    <x v="0"/>
  </r>
  <r>
    <s v="ORD-10632"/>
    <x v="193"/>
    <s v="James Johnson"/>
    <x v="1"/>
    <x v="42"/>
    <x v="4"/>
    <n v="4"/>
    <n v="43.56"/>
    <n v="0"/>
    <x v="232"/>
    <n v="135.96"/>
    <n v="38.28"/>
    <n v="0.2196969696969697"/>
    <x v="0"/>
  </r>
  <r>
    <s v="ORD-10178"/>
    <x v="194"/>
    <s v="Carol Sanchez"/>
    <x v="0"/>
    <x v="36"/>
    <x v="3"/>
    <n v="2"/>
    <n v="44.77"/>
    <n v="0.05"/>
    <x v="233"/>
    <n v="46.833000000000006"/>
    <n v="38.229999999999997"/>
    <n v="0.44943159775695657"/>
    <x v="1"/>
  </r>
  <r>
    <s v="ORD-10347"/>
    <x v="195"/>
    <s v="Michael Ramirez"/>
    <x v="3"/>
    <x v="44"/>
    <x v="4"/>
    <n v="4"/>
    <n v="35.450000000000003"/>
    <n v="0.1"/>
    <x v="234"/>
    <n v="89.41"/>
    <n v="38.210000000000008"/>
    <n v="0.29940448205610409"/>
    <x v="2"/>
  </r>
  <r>
    <s v="ORD-10764"/>
    <x v="196"/>
    <s v="Lisa Thompson"/>
    <x v="0"/>
    <x v="42"/>
    <x v="4"/>
    <n v="2"/>
    <n v="58.77"/>
    <n v="0"/>
    <x v="235"/>
    <n v="79.38000000000001"/>
    <n v="38.159999999999997"/>
    <n v="0.32465543644716688"/>
    <x v="1"/>
  </r>
  <r>
    <s v="ORD-10745"/>
    <x v="197"/>
    <s v="Sandra Brown"/>
    <x v="2"/>
    <x v="48"/>
    <x v="1"/>
    <n v="3"/>
    <n v="62.62"/>
    <n v="0.1"/>
    <x v="236"/>
    <n v="130.97399999999999"/>
    <n v="38.099999999999994"/>
    <n v="0.22534511515667693"/>
    <x v="0"/>
  </r>
  <r>
    <s v="ORD-10879"/>
    <x v="139"/>
    <s v="Kevin Martin"/>
    <x v="3"/>
    <x v="0"/>
    <x v="0"/>
    <n v="1"/>
    <n v="84.93"/>
    <n v="0.15"/>
    <x v="237"/>
    <n v="34.250500000000002"/>
    <n v="37.94"/>
    <n v="0.52555391637403814"/>
    <x v="1"/>
  </r>
  <r>
    <s v="ORD-10678"/>
    <x v="198"/>
    <s v="Elizabeth Martin"/>
    <x v="1"/>
    <x v="38"/>
    <x v="0"/>
    <n v="1"/>
    <n v="88.51"/>
    <n v="0.05"/>
    <x v="238"/>
    <n v="46.154500000000006"/>
    <n v="37.93"/>
    <n v="0.45109384012511222"/>
    <x v="2"/>
  </r>
  <r>
    <s v="ORD-10931"/>
    <x v="176"/>
    <s v="Joseph Anderson"/>
    <x v="4"/>
    <x v="37"/>
    <x v="2"/>
    <n v="3"/>
    <n v="125.39"/>
    <n v="0.2"/>
    <x v="239"/>
    <n v="263.07600000000002"/>
    <n v="37.860000000000014"/>
    <n v="0.12580748066033978"/>
    <x v="0"/>
  </r>
  <r>
    <s v="ORD-10645"/>
    <x v="199"/>
    <s v="Paul Rodriguez"/>
    <x v="0"/>
    <x v="1"/>
    <x v="0"/>
    <n v="2"/>
    <n v="44.81"/>
    <n v="0.05"/>
    <x v="240"/>
    <n v="47.379000000000012"/>
    <n v="37.76"/>
    <n v="0.44351002478300183"/>
    <x v="1"/>
  </r>
  <r>
    <s v="ORD-10303"/>
    <x v="200"/>
    <s v="Sandra Brown"/>
    <x v="1"/>
    <x v="3"/>
    <x v="0"/>
    <n v="1"/>
    <n v="80.02"/>
    <n v="0"/>
    <x v="241"/>
    <n v="42.389999999999993"/>
    <n v="37.630000000000003"/>
    <n v="0.47025743564108979"/>
    <x v="1"/>
  </r>
  <r>
    <s v="ORD-10282"/>
    <x v="201"/>
    <s v="Steven Lopez"/>
    <x v="4"/>
    <x v="0"/>
    <x v="0"/>
    <n v="3"/>
    <n v="33.76"/>
    <n v="0.1"/>
    <x v="242"/>
    <n v="53.521999999999998"/>
    <n v="37.630000000000003"/>
    <n v="0.41282692645251889"/>
    <x v="0"/>
  </r>
  <r>
    <s v="ORD-10702"/>
    <x v="202"/>
    <s v="Kenneth Harris"/>
    <x v="3"/>
    <x v="31"/>
    <x v="3"/>
    <n v="2"/>
    <n v="37.29"/>
    <n v="0.05"/>
    <x v="243"/>
    <n v="33.241"/>
    <n v="37.61"/>
    <n v="0.53083231005913822"/>
    <x v="0"/>
  </r>
  <r>
    <s v="ORD-10938"/>
    <x v="203"/>
    <s v="Ashley Garcia"/>
    <x v="2"/>
    <x v="25"/>
    <x v="1"/>
    <n v="2"/>
    <n v="59.81"/>
    <n v="0.2"/>
    <x v="244"/>
    <n v="58.165999999999997"/>
    <n v="37.53"/>
    <n v="0.39217940143788665"/>
    <x v="2"/>
  </r>
  <r>
    <s v="ORD-10020"/>
    <x v="134"/>
    <s v="Lisa Moore"/>
    <x v="0"/>
    <x v="11"/>
    <x v="2"/>
    <n v="3"/>
    <n v="145.80000000000001"/>
    <n v="0.15"/>
    <x v="245"/>
    <n v="334.53000000000003"/>
    <n v="37.259999999999991"/>
    <n v="0.10021786492374725"/>
    <x v="0"/>
  </r>
  <r>
    <s v="ORD-10103"/>
    <x v="204"/>
    <s v="Christopher Brown"/>
    <x v="0"/>
    <x v="49"/>
    <x v="4"/>
    <n v="3"/>
    <n v="57.41"/>
    <n v="0.1"/>
    <x v="246"/>
    <n v="117.75700000000001"/>
    <n v="37.25"/>
    <n v="0.24031172785745158"/>
    <x v="1"/>
  </r>
  <r>
    <s v="ORD-10455"/>
    <x v="205"/>
    <s v="Richard White"/>
    <x v="3"/>
    <x v="32"/>
    <x v="3"/>
    <n v="3"/>
    <n v="23.7"/>
    <n v="0"/>
    <x v="247"/>
    <n v="33.859999999999992"/>
    <n v="37.24"/>
    <n v="0.5237693389592124"/>
    <x v="0"/>
  </r>
  <r>
    <s v="ORD-10105"/>
    <x v="60"/>
    <s v="Betty Robinson"/>
    <x v="4"/>
    <x v="49"/>
    <x v="4"/>
    <n v="4"/>
    <n v="27.41"/>
    <n v="0"/>
    <x v="248"/>
    <n v="72.41"/>
    <n v="37.230000000000004"/>
    <n v="0.33956585187887633"/>
    <x v="0"/>
  </r>
  <r>
    <s v="ORD-10662"/>
    <x v="141"/>
    <s v="William Thompson"/>
    <x v="0"/>
    <x v="28"/>
    <x v="3"/>
    <n v="2"/>
    <n v="31.83"/>
    <n v="0"/>
    <x v="249"/>
    <n v="26.43"/>
    <n v="37.229999999999997"/>
    <n v="0.58482563619227146"/>
    <x v="0"/>
  </r>
  <r>
    <s v="ORD-10326"/>
    <x v="206"/>
    <s v="Carol Clark"/>
    <x v="2"/>
    <x v="38"/>
    <x v="0"/>
    <n v="1"/>
    <n v="84.2"/>
    <n v="0.1"/>
    <x v="250"/>
    <n v="38.770000000000003"/>
    <n v="37.01"/>
    <n v="0.48838743731855366"/>
    <x v="1"/>
  </r>
  <r>
    <s v="ORD-10956"/>
    <x v="151"/>
    <s v="Donald Martinez"/>
    <x v="2"/>
    <x v="44"/>
    <x v="4"/>
    <n v="2"/>
    <n v="56.93"/>
    <n v="0"/>
    <x v="251"/>
    <n v="76.930000000000007"/>
    <n v="36.929999999999993"/>
    <n v="0.32434568768663263"/>
    <x v="2"/>
  </r>
  <r>
    <s v="ORD-10127"/>
    <x v="37"/>
    <s v="Mary Anderson"/>
    <x v="3"/>
    <x v="21"/>
    <x v="0"/>
    <n v="1"/>
    <n v="89.58"/>
    <n v="0.05"/>
    <x v="252"/>
    <n v="48.420999999999999"/>
    <n v="36.68"/>
    <n v="0.43101726184181149"/>
    <x v="0"/>
  </r>
  <r>
    <s v="ORD-10847"/>
    <x v="207"/>
    <s v="Daniel Ramirez"/>
    <x v="0"/>
    <x v="28"/>
    <x v="3"/>
    <n v="2"/>
    <n v="42.12"/>
    <n v="0"/>
    <x v="253"/>
    <n v="47.639999999999993"/>
    <n v="36.6"/>
    <n v="0.4344729344729345"/>
    <x v="0"/>
  </r>
  <r>
    <s v="ORD-10641"/>
    <x v="73"/>
    <s v="Joshua Perez"/>
    <x v="1"/>
    <x v="10"/>
    <x v="1"/>
    <n v="2"/>
    <n v="51.34"/>
    <n v="0.1"/>
    <x v="254"/>
    <n v="55.902000000000008"/>
    <n v="36.51"/>
    <n v="0.39507856122581481"/>
    <x v="0"/>
  </r>
  <r>
    <s v="ORD-10942"/>
    <x v="208"/>
    <s v="Joseph Gonzalez"/>
    <x v="4"/>
    <x v="13"/>
    <x v="2"/>
    <n v="2"/>
    <n v="86.54"/>
    <n v="0"/>
    <x v="255"/>
    <n v="136.59"/>
    <n v="36.490000000000009"/>
    <n v="0.21082736306910102"/>
    <x v="0"/>
  </r>
  <r>
    <s v="ORD-10049"/>
    <x v="181"/>
    <s v="Jessica Jones"/>
    <x v="1"/>
    <x v="16"/>
    <x v="1"/>
    <n v="3"/>
    <n v="44.17"/>
    <n v="0.05"/>
    <x v="256"/>
    <n v="89.404499999999985"/>
    <n v="36.480000000000004"/>
    <n v="0.28978944985284133"/>
    <x v="0"/>
  </r>
  <r>
    <s v="ORD-10977"/>
    <x v="209"/>
    <s v="Kenneth Perez"/>
    <x v="1"/>
    <x v="34"/>
    <x v="4"/>
    <n v="4"/>
    <n v="26.28"/>
    <n v="0"/>
    <x v="257"/>
    <n v="68.680000000000007"/>
    <n v="36.44"/>
    <n v="0.34665144596651443"/>
    <x v="1"/>
  </r>
  <r>
    <s v="ORD-10386"/>
    <x v="210"/>
    <s v="Kevin Jones"/>
    <x v="0"/>
    <x v="32"/>
    <x v="3"/>
    <n v="2"/>
    <n v="40.89"/>
    <n v="0.05"/>
    <x v="258"/>
    <n v="41.331000000000003"/>
    <n v="36.36"/>
    <n v="0.46800787736031196"/>
    <x v="0"/>
  </r>
  <r>
    <s v="ORD-10341"/>
    <x v="211"/>
    <s v="Emily Brown"/>
    <x v="3"/>
    <x v="2"/>
    <x v="0"/>
    <n v="2"/>
    <n v="37.99"/>
    <n v="0"/>
    <x v="259"/>
    <n v="39.750000000000007"/>
    <n v="36.229999999999997"/>
    <n v="0.47683600947617788"/>
    <x v="0"/>
  </r>
  <r>
    <s v="ORD-10228"/>
    <x v="202"/>
    <s v="Matthew Brown"/>
    <x v="3"/>
    <x v="25"/>
    <x v="1"/>
    <n v="2"/>
    <n v="58.11"/>
    <n v="0.05"/>
    <x v="260"/>
    <n v="74.258999999999986"/>
    <n v="36.150000000000006"/>
    <n v="0.32741896041083612"/>
    <x v="0"/>
  </r>
  <r>
    <s v="ORD-10037"/>
    <x v="212"/>
    <s v="Michael Johnson"/>
    <x v="3"/>
    <x v="15"/>
    <x v="2"/>
    <n v="3"/>
    <n v="104.06"/>
    <n v="0.05"/>
    <x v="261"/>
    <n v="260.62100000000004"/>
    <n v="35.949999999999989"/>
    <n v="0.12121886495982408"/>
    <x v="0"/>
  </r>
  <r>
    <s v="ORD-10023"/>
    <x v="213"/>
    <s v="Karen Brown"/>
    <x v="4"/>
    <x v="24"/>
    <x v="3"/>
    <n v="2"/>
    <n v="32.479999999999997"/>
    <n v="0.05"/>
    <x v="262"/>
    <n v="25.911999999999999"/>
    <n v="35.799999999999997"/>
    <n v="0.58011407829919626"/>
    <x v="0"/>
  </r>
  <r>
    <s v="ORD-10113"/>
    <x v="80"/>
    <s v="Barbara Wilson"/>
    <x v="4"/>
    <x v="36"/>
    <x v="3"/>
    <n v="2"/>
    <n v="39.520000000000003"/>
    <n v="0.1"/>
    <x v="263"/>
    <n v="35.396000000000008"/>
    <n v="35.74"/>
    <n v="0.50241790373369322"/>
    <x v="1"/>
  </r>
  <r>
    <s v="ORD-10466"/>
    <x v="214"/>
    <s v="Barbara Miller"/>
    <x v="0"/>
    <x v="35"/>
    <x v="1"/>
    <n v="3"/>
    <n v="62.6"/>
    <n v="0.15"/>
    <x v="264"/>
    <n v="124.06"/>
    <n v="35.569999999999993"/>
    <n v="0.22282778926266988"/>
    <x v="0"/>
  </r>
  <r>
    <s v="ORD-10725"/>
    <x v="215"/>
    <s v="Richard Rodriguez"/>
    <x v="4"/>
    <x v="27"/>
    <x v="0"/>
    <n v="4"/>
    <n v="33.92"/>
    <n v="0.2"/>
    <x v="265"/>
    <n v="73.134000000000015"/>
    <n v="35.409999999999997"/>
    <n v="0.32622715212264142"/>
    <x v="1"/>
  </r>
  <r>
    <s v="ORD-10694"/>
    <x v="125"/>
    <s v="Joseph White"/>
    <x v="0"/>
    <x v="24"/>
    <x v="3"/>
    <n v="3"/>
    <n v="31.47"/>
    <n v="0.2"/>
    <x v="266"/>
    <n v="40.127999999999993"/>
    <n v="35.4"/>
    <n v="0.46870034953924378"/>
    <x v="0"/>
  </r>
  <r>
    <s v="ORD-10376"/>
    <x v="216"/>
    <s v="Michelle Brown"/>
    <x v="2"/>
    <x v="29"/>
    <x v="2"/>
    <n v="4"/>
    <n v="45.17"/>
    <n v="0.2"/>
    <x v="267"/>
    <n v="109.26400000000001"/>
    <n v="35.28"/>
    <n v="0.24407792782820456"/>
    <x v="1"/>
  </r>
  <r>
    <s v="ORD-10433"/>
    <x v="217"/>
    <s v="James Jackson"/>
    <x v="3"/>
    <x v="29"/>
    <x v="2"/>
    <n v="3"/>
    <n v="116.21"/>
    <n v="0"/>
    <x v="268"/>
    <n v="313.37"/>
    <n v="35.259999999999991"/>
    <n v="0.1011387430800562"/>
    <x v="0"/>
  </r>
  <r>
    <s v="ORD-10527"/>
    <x v="218"/>
    <s v="Paul Rodriguez"/>
    <x v="1"/>
    <x v="27"/>
    <x v="0"/>
    <n v="4"/>
    <n v="20.399999999999999"/>
    <n v="0.2"/>
    <x v="269"/>
    <n v="30.11"/>
    <n v="35.17"/>
    <n v="0.53875612745098045"/>
    <x v="0"/>
  </r>
  <r>
    <s v="ORD-10542"/>
    <x v="170"/>
    <s v="Jessica Moore"/>
    <x v="1"/>
    <x v="3"/>
    <x v="0"/>
    <n v="1"/>
    <n v="82.02"/>
    <n v="0.1"/>
    <x v="270"/>
    <n v="38.717999999999996"/>
    <n v="35.1"/>
    <n v="0.47549378200438919"/>
    <x v="1"/>
  </r>
  <r>
    <s v="ORD-10971"/>
    <x v="219"/>
    <s v="Kenneth Robinson"/>
    <x v="1"/>
    <x v="12"/>
    <x v="0"/>
    <n v="2"/>
    <n v="63.36"/>
    <n v="0.1"/>
    <x v="271"/>
    <n v="78.998000000000005"/>
    <n v="35.049999999999997"/>
    <n v="0.30732673961840623"/>
    <x v="0"/>
  </r>
  <r>
    <s v="ORD-10741"/>
    <x v="220"/>
    <s v="Betty Gonzalez"/>
    <x v="4"/>
    <x v="10"/>
    <x v="1"/>
    <n v="3"/>
    <n v="33.130000000000003"/>
    <n v="0"/>
    <x v="272"/>
    <n v="64.420000000000016"/>
    <n v="34.97"/>
    <n v="0.35184626219941639"/>
    <x v="0"/>
  </r>
  <r>
    <s v="ORD-10785"/>
    <x v="221"/>
    <s v="Linda Lee"/>
    <x v="2"/>
    <x v="1"/>
    <x v="0"/>
    <n v="3"/>
    <n v="31.02"/>
    <n v="0"/>
    <x v="273"/>
    <n v="58.24"/>
    <n v="34.82"/>
    <n v="0.37416720395443798"/>
    <x v="0"/>
  </r>
  <r>
    <s v="ORD-10596"/>
    <x v="222"/>
    <s v="Linda Martinez"/>
    <x v="1"/>
    <x v="31"/>
    <x v="3"/>
    <n v="2"/>
    <n v="30.19"/>
    <n v="0"/>
    <x v="274"/>
    <n v="26.160000000000004"/>
    <n v="34.22"/>
    <n v="0.56674395495197083"/>
    <x v="2"/>
  </r>
  <r>
    <s v="ORD-10316"/>
    <x v="223"/>
    <s v="Daniel Lee"/>
    <x v="0"/>
    <x v="0"/>
    <x v="0"/>
    <n v="2"/>
    <n v="58.85"/>
    <n v="0.05"/>
    <x v="275"/>
    <n v="78.025000000000006"/>
    <n v="33.789999999999992"/>
    <n v="0.30219559093144921"/>
    <x v="0"/>
  </r>
  <r>
    <s v="ORD-10463"/>
    <x v="224"/>
    <s v="David Martinez"/>
    <x v="1"/>
    <x v="44"/>
    <x v="4"/>
    <n v="3"/>
    <n v="52.74"/>
    <n v="0.05"/>
    <x v="276"/>
    <n v="116.749"/>
    <n v="33.56"/>
    <n v="0.22327339014962513"/>
    <x v="0"/>
  </r>
  <r>
    <s v="ORD-10276"/>
    <x v="225"/>
    <s v="Jessica Miller"/>
    <x v="1"/>
    <x v="35"/>
    <x v="1"/>
    <n v="3"/>
    <n v="51.26"/>
    <n v="0.1"/>
    <x v="277"/>
    <n v="104.90199999999999"/>
    <n v="33.5"/>
    <n v="0.24204852531032792"/>
    <x v="1"/>
  </r>
  <r>
    <s v="ORD-10090"/>
    <x v="226"/>
    <s v="Betty Anderson"/>
    <x v="2"/>
    <x v="28"/>
    <x v="3"/>
    <n v="2"/>
    <n v="39.74"/>
    <n v="0.1"/>
    <x v="278"/>
    <n v="38.162000000000013"/>
    <n v="33.369999999999997"/>
    <n v="0.46650450148185418"/>
    <x v="0"/>
  </r>
  <r>
    <s v="ORD-10101"/>
    <x v="227"/>
    <s v="Karen Williams"/>
    <x v="4"/>
    <x v="1"/>
    <x v="0"/>
    <n v="2"/>
    <n v="34.590000000000003"/>
    <n v="0"/>
    <x v="279"/>
    <n v="35.840000000000003"/>
    <n v="33.340000000000003"/>
    <n v="0.48193119398670137"/>
    <x v="0"/>
  </r>
  <r>
    <s v="ORD-10929"/>
    <x v="101"/>
    <s v="Joseph Martin"/>
    <x v="0"/>
    <x v="0"/>
    <x v="0"/>
    <n v="2"/>
    <n v="38.06"/>
    <n v="0"/>
    <x v="280"/>
    <n v="42.78"/>
    <n v="33.340000000000003"/>
    <n v="0.43799264319495534"/>
    <x v="0"/>
  </r>
  <r>
    <s v="ORD-10852"/>
    <x v="62"/>
    <s v="Linda Wilson"/>
    <x v="2"/>
    <x v="1"/>
    <x v="0"/>
    <n v="2"/>
    <n v="45.63"/>
    <n v="0"/>
    <x v="281"/>
    <n v="57.95"/>
    <n v="33.31"/>
    <n v="0.36500109577032652"/>
    <x v="2"/>
  </r>
  <r>
    <s v="ORD-10605"/>
    <x v="105"/>
    <s v="Daniel Thompson"/>
    <x v="2"/>
    <x v="12"/>
    <x v="0"/>
    <n v="3"/>
    <n v="35.24"/>
    <n v="0.1"/>
    <x v="282"/>
    <n v="61.837999999999994"/>
    <n v="33.31"/>
    <n v="0.35008618152772525"/>
    <x v="1"/>
  </r>
  <r>
    <s v="ORD-10950"/>
    <x v="195"/>
    <s v="Susan Robinson"/>
    <x v="2"/>
    <x v="47"/>
    <x v="4"/>
    <n v="4"/>
    <n v="39.340000000000003"/>
    <n v="0.2"/>
    <x v="283"/>
    <n v="92.628000000000014"/>
    <n v="33.259999999999991"/>
    <n v="0.26420310116929324"/>
    <x v="0"/>
  </r>
  <r>
    <s v="ORD-10438"/>
    <x v="228"/>
    <s v="Michael Jackson"/>
    <x v="1"/>
    <x v="19"/>
    <x v="1"/>
    <n v="2"/>
    <n v="49.17"/>
    <n v="0.05"/>
    <x v="284"/>
    <n v="60.243000000000002"/>
    <n v="33.18"/>
    <n v="0.35515879387302912"/>
    <x v="1"/>
  </r>
  <r>
    <s v="ORD-10709"/>
    <x v="229"/>
    <s v="Michael Harris"/>
    <x v="0"/>
    <x v="42"/>
    <x v="4"/>
    <n v="2"/>
    <n v="54.6"/>
    <n v="0.1"/>
    <x v="285"/>
    <n v="65.19"/>
    <n v="33.090000000000003"/>
    <n v="0.33669108669108672"/>
    <x v="2"/>
  </r>
  <r>
    <s v="ORD-10310"/>
    <x v="230"/>
    <s v="Karen Lewis"/>
    <x v="0"/>
    <x v="21"/>
    <x v="0"/>
    <n v="1"/>
    <n v="64.7"/>
    <n v="0.05"/>
    <x v="286"/>
    <n v="28.415000000000006"/>
    <n v="33.049999999999997"/>
    <n v="0.53770438460912706"/>
    <x v="1"/>
  </r>
  <r>
    <s v="ORD-10464"/>
    <x v="231"/>
    <s v="Joshua Lee"/>
    <x v="3"/>
    <x v="14"/>
    <x v="3"/>
    <n v="2"/>
    <n v="34.24"/>
    <n v="0.1"/>
    <x v="287"/>
    <n v="28.602000000000004"/>
    <n v="33.03"/>
    <n v="0.53592289719626163"/>
    <x v="1"/>
  </r>
  <r>
    <s v="ORD-10407"/>
    <x v="143"/>
    <s v="Paul Anderson"/>
    <x v="3"/>
    <x v="22"/>
    <x v="3"/>
    <n v="2"/>
    <n v="44.74"/>
    <n v="0.1"/>
    <x v="288"/>
    <n v="47.512000000000008"/>
    <n v="33.020000000000003"/>
    <n v="0.41002334475736352"/>
    <x v="0"/>
  </r>
  <r>
    <s v="ORD-10569"/>
    <x v="232"/>
    <s v="Karen Lee"/>
    <x v="0"/>
    <x v="46"/>
    <x v="1"/>
    <n v="2"/>
    <n v="58.48"/>
    <n v="0"/>
    <x v="289"/>
    <n v="83.949999999999989"/>
    <n v="33.010000000000005"/>
    <n v="0.28223324213406298"/>
    <x v="1"/>
  </r>
  <r>
    <s v="ORD-10524"/>
    <x v="233"/>
    <s v="David Perez"/>
    <x v="4"/>
    <x v="22"/>
    <x v="3"/>
    <n v="3"/>
    <n v="22.03"/>
    <n v="0.05"/>
    <x v="290"/>
    <n v="29.775500000000008"/>
    <n v="33.01"/>
    <n v="0.52575833592151044"/>
    <x v="0"/>
  </r>
  <r>
    <s v="ORD-10753"/>
    <x v="115"/>
    <s v="Mark Thompson"/>
    <x v="1"/>
    <x v="0"/>
    <x v="0"/>
    <n v="2"/>
    <n v="57.71"/>
    <n v="0.15"/>
    <x v="291"/>
    <n v="65.146999999999991"/>
    <n v="32.960000000000008"/>
    <n v="0.33595971745135422"/>
    <x v="0"/>
  </r>
  <r>
    <s v="ORD-10436"/>
    <x v="186"/>
    <s v="Barbara Perez"/>
    <x v="3"/>
    <x v="16"/>
    <x v="1"/>
    <n v="2"/>
    <n v="51.54"/>
    <n v="0"/>
    <x v="292"/>
    <n v="70.22"/>
    <n v="32.86"/>
    <n v="0.31878152890958478"/>
    <x v="1"/>
  </r>
  <r>
    <s v="ORD-10803"/>
    <x v="234"/>
    <s v="Christopher Wilson"/>
    <x v="2"/>
    <x v="2"/>
    <x v="0"/>
    <n v="4"/>
    <n v="16.68"/>
    <n v="0"/>
    <x v="293"/>
    <n v="33.879999999999995"/>
    <n v="32.840000000000003"/>
    <n v="0.49220623501199046"/>
    <x v="1"/>
  </r>
  <r>
    <s v="ORD-10248"/>
    <x v="216"/>
    <s v="Jennifer Wilson"/>
    <x v="3"/>
    <x v="0"/>
    <x v="0"/>
    <n v="3"/>
    <n v="37.869999999999997"/>
    <n v="0.05"/>
    <x v="294"/>
    <n v="75.089499999999987"/>
    <n v="32.840000000000003"/>
    <n v="0.30427269652875261"/>
    <x v="0"/>
  </r>
  <r>
    <s v="ORD-10669"/>
    <x v="235"/>
    <s v="Lisa Lopez"/>
    <x v="0"/>
    <x v="31"/>
    <x v="3"/>
    <n v="2"/>
    <n v="47.33"/>
    <n v="0.15"/>
    <x v="295"/>
    <n v="47.661000000000001"/>
    <n v="32.799999999999997"/>
    <n v="0.40765091162177947"/>
    <x v="2"/>
  </r>
  <r>
    <s v="ORD-10410"/>
    <x v="236"/>
    <s v="Michael Lee"/>
    <x v="3"/>
    <x v="37"/>
    <x v="2"/>
    <n v="2"/>
    <n v="102.04"/>
    <n v="0"/>
    <x v="296"/>
    <n v="171.29000000000002"/>
    <n v="32.789999999999992"/>
    <n v="0.16067228537828299"/>
    <x v="0"/>
  </r>
  <r>
    <s v="ORD-10620"/>
    <x v="231"/>
    <s v="Michelle Garcia"/>
    <x v="1"/>
    <x v="15"/>
    <x v="2"/>
    <n v="1"/>
    <n v="147.05000000000001"/>
    <n v="0.05"/>
    <x v="297"/>
    <n v="106.92750000000001"/>
    <n v="32.77000000000001"/>
    <n v="0.23457828522342924"/>
    <x v="0"/>
  </r>
  <r>
    <s v="ORD-10976"/>
    <x v="237"/>
    <s v="Dorothy Lee"/>
    <x v="2"/>
    <x v="3"/>
    <x v="0"/>
    <n v="3"/>
    <n v="34.15"/>
    <n v="0"/>
    <x v="298"/>
    <n v="69.769999999999982"/>
    <n v="32.680000000000007"/>
    <n v="0.31898487066861891"/>
    <x v="1"/>
  </r>
  <r>
    <s v="ORD-10460"/>
    <x v="177"/>
    <s v="Paul Garcia"/>
    <x v="0"/>
    <x v="12"/>
    <x v="0"/>
    <n v="2"/>
    <n v="52.04"/>
    <n v="0"/>
    <x v="299"/>
    <n v="71.42"/>
    <n v="32.659999999999997"/>
    <n v="0.31379707916986932"/>
    <x v="0"/>
  </r>
  <r>
    <s v="ORD-10116"/>
    <x v="35"/>
    <s v="Kenneth Brown"/>
    <x v="2"/>
    <x v="19"/>
    <x v="1"/>
    <n v="2"/>
    <n v="59.63"/>
    <n v="0.15"/>
    <x v="300"/>
    <n v="68.791000000000011"/>
    <n v="32.58"/>
    <n v="0.3213936924761519"/>
    <x v="0"/>
  </r>
  <r>
    <s v="ORD-10122"/>
    <x v="146"/>
    <s v="Joshua Davis"/>
    <x v="3"/>
    <x v="40"/>
    <x v="4"/>
    <n v="2"/>
    <n v="59.53"/>
    <n v="0.05"/>
    <x v="301"/>
    <n v="80.62700000000001"/>
    <n v="32.47999999999999"/>
    <n v="0.28716171412909891"/>
    <x v="0"/>
  </r>
  <r>
    <s v="ORD-10065"/>
    <x v="238"/>
    <s v="William Ramirez"/>
    <x v="1"/>
    <x v="34"/>
    <x v="4"/>
    <n v="4"/>
    <n v="49.25"/>
    <n v="0"/>
    <x v="302"/>
    <n v="164.57"/>
    <n v="32.430000000000007"/>
    <n v="0.16461928934010156"/>
    <x v="1"/>
  </r>
  <r>
    <s v="ORD-10841"/>
    <x v="239"/>
    <s v="Donald Harris"/>
    <x v="4"/>
    <x v="40"/>
    <x v="4"/>
    <n v="4"/>
    <n v="41.59"/>
    <n v="0.2"/>
    <x v="303"/>
    <n v="100.70800000000003"/>
    <n v="32.379999999999995"/>
    <n v="0.24329766770858371"/>
    <x v="0"/>
  </r>
  <r>
    <s v="ORD-10782"/>
    <x v="240"/>
    <s v="Joseph Taylor"/>
    <x v="0"/>
    <x v="35"/>
    <x v="1"/>
    <n v="2"/>
    <n v="44.58"/>
    <n v="0"/>
    <x v="304"/>
    <n v="56.8"/>
    <n v="32.36"/>
    <n v="0.36294302377747872"/>
    <x v="2"/>
  </r>
  <r>
    <s v="ORD-10735"/>
    <x v="241"/>
    <s v="Joshua Taylor"/>
    <x v="4"/>
    <x v="18"/>
    <x v="3"/>
    <n v="2"/>
    <n v="39.51"/>
    <n v="0.25"/>
    <x v="305"/>
    <n v="27.045000000000002"/>
    <n v="32.22"/>
    <n v="0.54365983295368259"/>
    <x v="0"/>
  </r>
  <r>
    <s v="ORD-10868"/>
    <x v="242"/>
    <s v="Jessica Smith"/>
    <x v="1"/>
    <x v="12"/>
    <x v="0"/>
    <n v="2"/>
    <n v="47.59"/>
    <n v="0.1"/>
    <x v="306"/>
    <n v="53.482000000000006"/>
    <n v="32.18"/>
    <n v="0.37566248745067821"/>
    <x v="0"/>
  </r>
  <r>
    <s v="ORD-10706"/>
    <x v="243"/>
    <s v="Nancy White"/>
    <x v="2"/>
    <x v="37"/>
    <x v="2"/>
    <n v="4"/>
    <n v="76.290000000000006"/>
    <n v="0"/>
    <x v="307"/>
    <n v="273.13"/>
    <n v="32.03000000000003"/>
    <n v="0.10496133176038808"/>
    <x v="1"/>
  </r>
  <r>
    <s v="ORD-10701"/>
    <x v="198"/>
    <s v="Steven Thompson"/>
    <x v="2"/>
    <x v="26"/>
    <x v="1"/>
    <n v="2"/>
    <n v="63.32"/>
    <n v="0.05"/>
    <x v="308"/>
    <n v="88.49799999999999"/>
    <n v="31.810000000000002"/>
    <n v="0.26440469461714933"/>
    <x v="1"/>
  </r>
  <r>
    <s v="ORD-10759"/>
    <x v="2"/>
    <s v="Kevin Johnson"/>
    <x v="1"/>
    <x v="33"/>
    <x v="4"/>
    <n v="4"/>
    <n v="35.04"/>
    <n v="0"/>
    <x v="309"/>
    <n v="108.35"/>
    <n v="31.810000000000002"/>
    <n v="0.22695490867579912"/>
    <x v="0"/>
  </r>
  <r>
    <s v="ORD-10351"/>
    <x v="244"/>
    <s v="Sandra Brown"/>
    <x v="3"/>
    <x v="27"/>
    <x v="0"/>
    <n v="1"/>
    <n v="74.7"/>
    <n v="0.05"/>
    <x v="310"/>
    <n v="39.234999999999999"/>
    <n v="31.730000000000004"/>
    <n v="0.44712182061579653"/>
    <x v="0"/>
  </r>
  <r>
    <s v="ORD-10251"/>
    <x v="44"/>
    <s v="Sarah Clark"/>
    <x v="1"/>
    <x v="3"/>
    <x v="0"/>
    <n v="1"/>
    <n v="76.27"/>
    <n v="0"/>
    <x v="311"/>
    <n v="44.539999999999992"/>
    <n v="31.730000000000004"/>
    <n v="0.41602202700930913"/>
    <x v="1"/>
  </r>
  <r>
    <s v="ORD-10176"/>
    <x v="245"/>
    <s v="Susan Johnson"/>
    <x v="0"/>
    <x v="7"/>
    <x v="0"/>
    <n v="1"/>
    <n v="68.930000000000007"/>
    <n v="0"/>
    <x v="312"/>
    <n v="37.300000000000011"/>
    <n v="31.629999999999995"/>
    <n v="0.45887131872914538"/>
    <x v="2"/>
  </r>
  <r>
    <s v="ORD-10552"/>
    <x v="246"/>
    <s v="Barbara Anderson"/>
    <x v="2"/>
    <x v="8"/>
    <x v="2"/>
    <n v="2"/>
    <n v="86.94"/>
    <n v="0.05"/>
    <x v="313"/>
    <n v="133.61600000000001"/>
    <n v="31.569999999999993"/>
    <n v="0.19111789134672424"/>
    <x v="2"/>
  </r>
  <r>
    <s v="ORD-10053"/>
    <x v="89"/>
    <s v="Matthew Jones"/>
    <x v="2"/>
    <x v="41"/>
    <x v="4"/>
    <n v="2"/>
    <n v="57.17"/>
    <n v="0"/>
    <x v="314"/>
    <n v="82.78"/>
    <n v="31.560000000000002"/>
    <n v="0.2760188910267623"/>
    <x v="1"/>
  </r>
  <r>
    <s v="ORD-10011"/>
    <x v="26"/>
    <s v="Michelle Moore"/>
    <x v="0"/>
    <x v="29"/>
    <x v="2"/>
    <n v="2"/>
    <n v="85.28"/>
    <n v="0.25"/>
    <x v="315"/>
    <n v="96.38"/>
    <n v="31.540000000000006"/>
    <n v="0.24656035021888684"/>
    <x v="1"/>
  </r>
  <r>
    <s v="ORD-10490"/>
    <x v="247"/>
    <s v="Joseph Taylor"/>
    <x v="0"/>
    <x v="28"/>
    <x v="3"/>
    <n v="2"/>
    <n v="31.66"/>
    <n v="0.15"/>
    <x v="316"/>
    <n v="22.292000000000002"/>
    <n v="31.53"/>
    <n v="0.58581992493775781"/>
    <x v="0"/>
  </r>
  <r>
    <s v="ORD-10655"/>
    <x v="248"/>
    <s v="Joshua Davis"/>
    <x v="1"/>
    <x v="16"/>
    <x v="1"/>
    <n v="2"/>
    <n v="62.76"/>
    <n v="0"/>
    <x v="317"/>
    <n v="94.12"/>
    <n v="31.399999999999991"/>
    <n v="0.25015933715742505"/>
    <x v="0"/>
  </r>
  <r>
    <s v="ORD-10606"/>
    <x v="79"/>
    <s v="Linda Martinez"/>
    <x v="4"/>
    <x v="23"/>
    <x v="3"/>
    <n v="2"/>
    <n v="30.94"/>
    <n v="0"/>
    <x v="318"/>
    <n v="30.76"/>
    <n v="31.12"/>
    <n v="0.50290885585003231"/>
    <x v="0"/>
  </r>
  <r>
    <s v="ORD-10081"/>
    <x v="126"/>
    <s v="Elizabeth Anderson"/>
    <x v="3"/>
    <x v="32"/>
    <x v="3"/>
    <n v="2"/>
    <n v="42.15"/>
    <n v="0.15"/>
    <x v="319"/>
    <n v="40.605000000000004"/>
    <n v="31.049999999999997"/>
    <n v="0.43332635545321324"/>
    <x v="0"/>
  </r>
  <r>
    <s v="ORD-10888"/>
    <x v="249"/>
    <s v="Jessica Jackson"/>
    <x v="0"/>
    <x v="12"/>
    <x v="0"/>
    <n v="2"/>
    <n v="36.92"/>
    <n v="0.1"/>
    <x v="320"/>
    <n v="35.466000000000008"/>
    <n v="30.989999999999995"/>
    <n v="0.4663235825207655"/>
    <x v="1"/>
  </r>
  <r>
    <s v="ORD-10769"/>
    <x v="199"/>
    <s v="Michelle White"/>
    <x v="2"/>
    <x v="35"/>
    <x v="1"/>
    <n v="2"/>
    <n v="41.05"/>
    <n v="0"/>
    <x v="321"/>
    <n v="51.139999999999993"/>
    <n v="30.96"/>
    <n v="0.37710109622411697"/>
    <x v="0"/>
  </r>
  <r>
    <s v="ORD-10390"/>
    <x v="250"/>
    <s v="Emily Sanchez"/>
    <x v="4"/>
    <x v="21"/>
    <x v="0"/>
    <n v="4"/>
    <n v="21.51"/>
    <n v="0.2"/>
    <x v="322"/>
    <n v="37.962000000000003"/>
    <n v="30.870000000000005"/>
    <n v="0.44848326359832635"/>
    <x v="1"/>
  </r>
  <r>
    <s v="ORD-10021"/>
    <x v="251"/>
    <s v="Michelle Jackson"/>
    <x v="1"/>
    <x v="14"/>
    <x v="3"/>
    <n v="3"/>
    <n v="26.14"/>
    <n v="0.15"/>
    <x v="323"/>
    <n v="36.027000000000001"/>
    <n v="30.629999999999995"/>
    <n v="0.45951662991133713"/>
    <x v="0"/>
  </r>
  <r>
    <s v="ORD-10504"/>
    <x v="252"/>
    <s v="Daniel Brown"/>
    <x v="3"/>
    <x v="29"/>
    <x v="2"/>
    <n v="5"/>
    <n v="60.77"/>
    <n v="0.1"/>
    <x v="324"/>
    <n v="242.93500000000003"/>
    <n v="30.53"/>
    <n v="0.11164134349916807"/>
    <x v="0"/>
  </r>
  <r>
    <s v="ORD-10893"/>
    <x v="35"/>
    <s v="James Garcia"/>
    <x v="0"/>
    <x v="17"/>
    <x v="1"/>
    <n v="2"/>
    <n v="75.569999999999993"/>
    <n v="0.1"/>
    <x v="325"/>
    <n v="105.59599999999998"/>
    <n v="30.430000000000007"/>
    <n v="0.22370723244085697"/>
    <x v="0"/>
  </r>
  <r>
    <s v="ORD-10598"/>
    <x v="15"/>
    <s v="Kimberly Martin"/>
    <x v="2"/>
    <x v="24"/>
    <x v="3"/>
    <n v="4"/>
    <n v="16.04"/>
    <n v="0.05"/>
    <x v="326"/>
    <n v="30.541999999999998"/>
    <n v="30.41"/>
    <n v="0.49891718073237962"/>
    <x v="1"/>
  </r>
  <r>
    <s v="ORD-10597"/>
    <x v="253"/>
    <s v="Carol White"/>
    <x v="4"/>
    <x v="17"/>
    <x v="1"/>
    <n v="2"/>
    <n v="56.78"/>
    <n v="0.1"/>
    <x v="327"/>
    <n v="71.834000000000003"/>
    <n v="30.370000000000005"/>
    <n v="0.29715079644632308"/>
    <x v="1"/>
  </r>
  <r>
    <s v="ORD-10599"/>
    <x v="188"/>
    <s v="Christopher Clark"/>
    <x v="1"/>
    <x v="13"/>
    <x v="2"/>
    <n v="2"/>
    <n v="82.89"/>
    <n v="0.1"/>
    <x v="328"/>
    <n v="118.88200000000001"/>
    <n v="30.319999999999993"/>
    <n v="0.20321443412286694"/>
    <x v="1"/>
  </r>
  <r>
    <s v="ORD-10828"/>
    <x v="2"/>
    <s v="Kenneth Clark"/>
    <x v="4"/>
    <x v="48"/>
    <x v="1"/>
    <n v="1"/>
    <n v="79.739999999999995"/>
    <n v="0"/>
    <x v="329"/>
    <n v="49.539999999999992"/>
    <n v="30.200000000000003"/>
    <n v="0.37873087534487088"/>
    <x v="2"/>
  </r>
  <r>
    <s v="ORD-10502"/>
    <x v="254"/>
    <s v="Dorothy Sanchez"/>
    <x v="3"/>
    <x v="11"/>
    <x v="2"/>
    <n v="3"/>
    <n v="61.12"/>
    <n v="0"/>
    <x v="330"/>
    <n v="153.17999999999998"/>
    <n v="30.180000000000007"/>
    <n v="0.16459424083769639"/>
    <x v="0"/>
  </r>
  <r>
    <s v="ORD-10849"/>
    <x v="255"/>
    <s v="Joseph Brown"/>
    <x v="2"/>
    <x v="22"/>
    <x v="3"/>
    <n v="2"/>
    <n v="29.89"/>
    <n v="0"/>
    <x v="331"/>
    <n v="29.64"/>
    <n v="30.14"/>
    <n v="0.50418200066912011"/>
    <x v="0"/>
  </r>
  <r>
    <s v="ORD-10589"/>
    <x v="120"/>
    <s v="Barbara Johnson"/>
    <x v="3"/>
    <x v="32"/>
    <x v="3"/>
    <n v="2"/>
    <n v="28.5"/>
    <n v="0"/>
    <x v="332"/>
    <n v="26.91"/>
    <n v="30.09"/>
    <n v="0.52789473684210531"/>
    <x v="0"/>
  </r>
  <r>
    <s v="ORD-10666"/>
    <x v="256"/>
    <s v="Christopher Martin"/>
    <x v="1"/>
    <x v="28"/>
    <x v="3"/>
    <n v="2"/>
    <n v="30.21"/>
    <n v="0"/>
    <x v="333"/>
    <n v="30.330000000000002"/>
    <n v="30.09"/>
    <n v="0.49801390268123136"/>
    <x v="0"/>
  </r>
  <r>
    <s v="ORD-10086"/>
    <x v="257"/>
    <s v="Kevin Taylor"/>
    <x v="4"/>
    <x v="10"/>
    <x v="1"/>
    <n v="5"/>
    <n v="17.170000000000002"/>
    <n v="0.05"/>
    <x v="334"/>
    <n v="51.56750000000001"/>
    <n v="29.989999999999995"/>
    <n v="0.36771602856880109"/>
    <x v="1"/>
  </r>
  <r>
    <s v="ORD-10230"/>
    <x v="258"/>
    <s v="Christopher Anderson"/>
    <x v="4"/>
    <x v="45"/>
    <x v="4"/>
    <n v="3"/>
    <n v="36.28"/>
    <n v="0.1"/>
    <x v="335"/>
    <n v="67.975999999999999"/>
    <n v="29.980000000000004"/>
    <n v="0.30605578014618812"/>
    <x v="0"/>
  </r>
  <r>
    <s v="ORD-10075"/>
    <x v="259"/>
    <s v="William Martinez"/>
    <x v="1"/>
    <x v="20"/>
    <x v="3"/>
    <n v="2"/>
    <n v="24.36"/>
    <n v="0"/>
    <x v="336"/>
    <n v="18.75"/>
    <n v="29.97"/>
    <n v="0.61514778325123154"/>
    <x v="1"/>
  </r>
  <r>
    <s v="ORD-10284"/>
    <x v="260"/>
    <s v="Dorothy Sanchez"/>
    <x v="1"/>
    <x v="20"/>
    <x v="3"/>
    <n v="2"/>
    <n v="28.44"/>
    <n v="0.1"/>
    <x v="337"/>
    <n v="21.242000000000001"/>
    <n v="29.95"/>
    <n v="0.58505235192998906"/>
    <x v="0"/>
  </r>
  <r>
    <s v="ORD-10793"/>
    <x v="261"/>
    <s v="Jessica Rodriguez"/>
    <x v="0"/>
    <x v="22"/>
    <x v="3"/>
    <n v="4"/>
    <n v="14.98"/>
    <n v="0.1"/>
    <x v="338"/>
    <n v="24.067999999999998"/>
    <n v="29.86"/>
    <n v="0.55370123127132476"/>
    <x v="0"/>
  </r>
  <r>
    <s v="ORD-10996"/>
    <x v="17"/>
    <s v="Mary Thomas"/>
    <x v="1"/>
    <x v="6"/>
    <x v="0"/>
    <n v="1"/>
    <n v="74.930000000000007"/>
    <n v="0.25"/>
    <x v="339"/>
    <n v="26.457500000000007"/>
    <n v="29.74"/>
    <n v="0.52920503581120149"/>
    <x v="1"/>
  </r>
  <r>
    <s v="ORD-10280"/>
    <x v="262"/>
    <s v="Dorothy Johnson"/>
    <x v="2"/>
    <x v="37"/>
    <x v="2"/>
    <n v="4"/>
    <n v="60.24"/>
    <n v="0.25"/>
    <x v="340"/>
    <n v="151.04"/>
    <n v="29.680000000000007"/>
    <n v="0.16423196104471008"/>
    <x v="1"/>
  </r>
  <r>
    <s v="ORD-10804"/>
    <x v="250"/>
    <s v="Mark Thompson"/>
    <x v="4"/>
    <x v="33"/>
    <x v="4"/>
    <n v="2"/>
    <n v="45.45"/>
    <n v="0"/>
    <x v="341"/>
    <n v="61.31"/>
    <n v="29.590000000000003"/>
    <n v="0.32552255225522553"/>
    <x v="0"/>
  </r>
  <r>
    <s v="ORD-10296"/>
    <x v="141"/>
    <s v="Daniel Taylor"/>
    <x v="4"/>
    <x v="14"/>
    <x v="3"/>
    <n v="2"/>
    <n v="36.299999999999997"/>
    <n v="0"/>
    <x v="342"/>
    <n v="43.11999999999999"/>
    <n v="29.480000000000004"/>
    <n v="0.40606060606060612"/>
    <x v="0"/>
  </r>
  <r>
    <s v="ORD-10177"/>
    <x v="172"/>
    <s v="William Davis"/>
    <x v="4"/>
    <x v="33"/>
    <x v="4"/>
    <n v="3"/>
    <n v="44.99"/>
    <n v="0.1"/>
    <x v="343"/>
    <n v="92.182999999999993"/>
    <n v="29.290000000000006"/>
    <n v="0.24112354185703824"/>
    <x v="0"/>
  </r>
  <r>
    <s v="ORD-10019"/>
    <x v="210"/>
    <s v="Matthew Lee"/>
    <x v="4"/>
    <x v="26"/>
    <x v="1"/>
    <n v="3"/>
    <n v="25.92"/>
    <n v="0.05"/>
    <x v="344"/>
    <n v="44.712000000000003"/>
    <n v="29.159999999999997"/>
    <n v="0.39473684210526311"/>
    <x v="1"/>
  </r>
  <r>
    <s v="ORD-10335"/>
    <x v="263"/>
    <s v="Emily Perez"/>
    <x v="0"/>
    <x v="43"/>
    <x v="2"/>
    <n v="2"/>
    <n v="65.34"/>
    <n v="0.05"/>
    <x v="345"/>
    <n v="95.025999999999996"/>
    <n v="29.120000000000005"/>
    <n v="0.23456253121324896"/>
    <x v="1"/>
  </r>
  <r>
    <s v="ORD-10752"/>
    <x v="57"/>
    <s v="Elizabeth Smith"/>
    <x v="4"/>
    <x v="22"/>
    <x v="3"/>
    <n v="2"/>
    <n v="27.71"/>
    <n v="0"/>
    <x v="346"/>
    <n v="26.340000000000003"/>
    <n v="29.08"/>
    <n v="0.52472031757488269"/>
    <x v="1"/>
  </r>
  <r>
    <s v="ORD-10779"/>
    <x v="264"/>
    <s v="Linda Ramirez"/>
    <x v="2"/>
    <x v="6"/>
    <x v="0"/>
    <n v="1"/>
    <n v="57.01"/>
    <n v="0.05"/>
    <x v="347"/>
    <n v="25.079499999999996"/>
    <n v="29.08"/>
    <n v="0.53693257877196066"/>
    <x v="0"/>
  </r>
  <r>
    <s v="ORD-10633"/>
    <x v="265"/>
    <s v="Susan Taylor"/>
    <x v="4"/>
    <x v="18"/>
    <x v="3"/>
    <n v="2"/>
    <n v="29.3"/>
    <n v="0.2"/>
    <x v="348"/>
    <n v="17.830000000000002"/>
    <n v="29.05"/>
    <n v="0.61966723549488056"/>
    <x v="0"/>
  </r>
  <r>
    <s v="ORD-10894"/>
    <x v="266"/>
    <s v="Robert Hernandez"/>
    <x v="1"/>
    <x v="2"/>
    <x v="0"/>
    <n v="2"/>
    <n v="48.93"/>
    <n v="0.25"/>
    <x v="349"/>
    <n v="44.454999999999998"/>
    <n v="28.939999999999998"/>
    <n v="0.39430478915457456"/>
    <x v="1"/>
  </r>
  <r>
    <s v="ORD-10614"/>
    <x v="267"/>
    <s v="Jennifer Jones"/>
    <x v="3"/>
    <x v="36"/>
    <x v="3"/>
    <n v="3"/>
    <n v="20.82"/>
    <n v="0.1"/>
    <x v="350"/>
    <n v="27.293999999999997"/>
    <n v="28.92"/>
    <n v="0.51446258939054335"/>
    <x v="0"/>
  </r>
  <r>
    <s v="ORD-10533"/>
    <x v="268"/>
    <s v="Daniel Martin"/>
    <x v="1"/>
    <x v="29"/>
    <x v="2"/>
    <n v="2"/>
    <n v="100.54"/>
    <n v="0.2"/>
    <x v="351"/>
    <n v="131.95400000000001"/>
    <n v="28.909999999999997"/>
    <n v="0.17971702804853787"/>
    <x v="0"/>
  </r>
  <r>
    <s v="ORD-10355"/>
    <x v="269"/>
    <s v="Matthew Rodriguez"/>
    <x v="0"/>
    <x v="12"/>
    <x v="0"/>
    <n v="1"/>
    <n v="77.89"/>
    <n v="0.1"/>
    <x v="352"/>
    <n v="41.221000000000004"/>
    <n v="28.879999999999995"/>
    <n v="0.41197700460763748"/>
    <x v="1"/>
  </r>
  <r>
    <s v="ORD-10949"/>
    <x v="204"/>
    <s v="Thomas Ramirez"/>
    <x v="2"/>
    <x v="26"/>
    <x v="1"/>
    <n v="5"/>
    <n v="16.760000000000002"/>
    <n v="0.05"/>
    <x v="353"/>
    <n v="50.750000000000014"/>
    <n v="28.86"/>
    <n v="0.36251727169953518"/>
    <x v="0"/>
  </r>
  <r>
    <s v="ORD-10770"/>
    <x v="270"/>
    <s v="Jennifer Ramirez"/>
    <x v="3"/>
    <x v="7"/>
    <x v="0"/>
    <n v="1"/>
    <n v="80.819999999999993"/>
    <n v="0.05"/>
    <x v="354"/>
    <n v="47.928999999999995"/>
    <n v="28.85"/>
    <n v="0.37575378684275651"/>
    <x v="1"/>
  </r>
  <r>
    <s v="ORD-10427"/>
    <x v="91"/>
    <s v="Betty Taylor"/>
    <x v="0"/>
    <x v="8"/>
    <x v="2"/>
    <n v="1"/>
    <n v="139.68"/>
    <n v="0"/>
    <x v="355"/>
    <n v="110.89000000000001"/>
    <n v="28.789999999999992"/>
    <n v="0.20611397479954174"/>
    <x v="0"/>
  </r>
  <r>
    <s v="ORD-10043"/>
    <x v="174"/>
    <s v="Donna Jackson"/>
    <x v="1"/>
    <x v="45"/>
    <x v="4"/>
    <n v="3"/>
    <n v="36"/>
    <n v="0"/>
    <x v="356"/>
    <n v="79.210000000000008"/>
    <n v="28.789999999999992"/>
    <n v="0.26657407407407402"/>
    <x v="2"/>
  </r>
  <r>
    <s v="ORD-10761"/>
    <x v="271"/>
    <s v="Barbara Thompson"/>
    <x v="4"/>
    <x v="10"/>
    <x v="1"/>
    <n v="2"/>
    <n v="38.24"/>
    <n v="0.05"/>
    <x v="357"/>
    <n v="43.876000000000005"/>
    <n v="28.78"/>
    <n v="0.39611319092710856"/>
    <x v="0"/>
  </r>
  <r>
    <s v="ORD-10506"/>
    <x v="260"/>
    <s v="Kevin Brown"/>
    <x v="1"/>
    <x v="45"/>
    <x v="4"/>
    <n v="2"/>
    <n v="52.33"/>
    <n v="0.15"/>
    <x v="358"/>
    <n v="60.430999999999997"/>
    <n v="28.53"/>
    <n v="0.32070233023459721"/>
    <x v="0"/>
  </r>
  <r>
    <s v="ORD-10670"/>
    <x v="272"/>
    <s v="Richard Martin"/>
    <x v="0"/>
    <x v="23"/>
    <x v="3"/>
    <n v="3"/>
    <n v="15.92"/>
    <n v="0.05"/>
    <x v="359"/>
    <n v="16.872"/>
    <n v="28.5"/>
    <n v="0.62814070351758799"/>
    <x v="1"/>
  </r>
  <r>
    <s v="ORD-10935"/>
    <x v="273"/>
    <s v="Lisa Perez"/>
    <x v="1"/>
    <x v="28"/>
    <x v="3"/>
    <n v="2"/>
    <n v="31.62"/>
    <n v="0.25"/>
    <x v="360"/>
    <n v="19.02"/>
    <n v="28.41"/>
    <n v="0.59898798228969008"/>
    <x v="1"/>
  </r>
  <r>
    <s v="ORD-10566"/>
    <x v="274"/>
    <s v="Joseph Lopez"/>
    <x v="2"/>
    <x v="45"/>
    <x v="4"/>
    <n v="2"/>
    <n v="48.08"/>
    <n v="0.15"/>
    <x v="361"/>
    <n v="53.375999999999991"/>
    <n v="28.36"/>
    <n v="0.34697073504942744"/>
    <x v="2"/>
  </r>
  <r>
    <s v="ORD-10281"/>
    <x v="164"/>
    <s v="Karen Smith"/>
    <x v="0"/>
    <x v="7"/>
    <x v="0"/>
    <n v="1"/>
    <n v="75.39"/>
    <n v="0.25"/>
    <x v="362"/>
    <n v="28.252500000000005"/>
    <n v="28.29"/>
    <n v="0.50033160896670636"/>
    <x v="0"/>
  </r>
  <r>
    <s v="ORD-10972"/>
    <x v="105"/>
    <s v="Andrew Thompson"/>
    <x v="0"/>
    <x v="5"/>
    <x v="2"/>
    <n v="3"/>
    <n v="59.34"/>
    <n v="0.1"/>
    <x v="363"/>
    <n v="131.92800000000003"/>
    <n v="28.289999999999992"/>
    <n v="0.17657192075796721"/>
    <x v="0"/>
  </r>
  <r>
    <s v="ORD-10100"/>
    <x v="275"/>
    <s v="Steven White"/>
    <x v="3"/>
    <x v="33"/>
    <x v="4"/>
    <n v="3"/>
    <n v="35.979999999999997"/>
    <n v="0.2"/>
    <x v="364"/>
    <n v="58.132000000000005"/>
    <n v="28.22"/>
    <n v="0.32680192699647947"/>
    <x v="0"/>
  </r>
  <r>
    <s v="ORD-10325"/>
    <x v="276"/>
    <s v="Donald Wilson"/>
    <x v="0"/>
    <x v="25"/>
    <x v="1"/>
    <n v="1"/>
    <n v="71.209999999999994"/>
    <n v="0"/>
    <x v="365"/>
    <n v="43.109999999999992"/>
    <n v="28.1"/>
    <n v="0.39460749894677721"/>
    <x v="0"/>
  </r>
  <r>
    <s v="ORD-10413"/>
    <x v="277"/>
    <s v="Donald Lopez"/>
    <x v="3"/>
    <x v="3"/>
    <x v="0"/>
    <n v="1"/>
    <n v="83.69"/>
    <n v="0.15"/>
    <x v="366"/>
    <n v="43.1965"/>
    <n v="27.939999999999998"/>
    <n v="0.39276602025683016"/>
    <x v="0"/>
  </r>
  <r>
    <s v="ORD-10038"/>
    <x v="116"/>
    <s v="William Williams"/>
    <x v="1"/>
    <x v="46"/>
    <x v="1"/>
    <n v="1"/>
    <n v="70.66"/>
    <n v="0"/>
    <x v="367"/>
    <n v="42.739999999999995"/>
    <n v="27.92"/>
    <n v="0.39513161619020665"/>
    <x v="1"/>
  </r>
  <r>
    <s v="ORD-10920"/>
    <x v="236"/>
    <s v="Sandra Anderson"/>
    <x v="4"/>
    <x v="43"/>
    <x v="2"/>
    <n v="2"/>
    <n v="74.16"/>
    <n v="0.05"/>
    <x v="368"/>
    <n v="113.00399999999999"/>
    <n v="27.900000000000006"/>
    <n v="0.19800715380684725"/>
    <x v="2"/>
  </r>
  <r>
    <s v="ORD-10895"/>
    <x v="263"/>
    <s v="Michael Jackson"/>
    <x v="1"/>
    <x v="23"/>
    <x v="3"/>
    <n v="2"/>
    <n v="22.99"/>
    <n v="0.05"/>
    <x v="369"/>
    <n v="15.780999999999999"/>
    <n v="27.9"/>
    <n v="0.6387216409880726"/>
    <x v="0"/>
  </r>
  <r>
    <s v="ORD-10790"/>
    <x v="278"/>
    <s v="Michelle Gonzalez"/>
    <x v="3"/>
    <x v="26"/>
    <x v="1"/>
    <n v="2"/>
    <n v="73.8"/>
    <n v="0.15"/>
    <x v="370"/>
    <n v="97.609999999999985"/>
    <n v="27.850000000000009"/>
    <n v="0.22198310218396308"/>
    <x v="1"/>
  </r>
  <r>
    <s v="ORD-10700"/>
    <x v="279"/>
    <s v="James Sanchez"/>
    <x v="0"/>
    <x v="3"/>
    <x v="0"/>
    <n v="1"/>
    <n v="72.98"/>
    <n v="0.1"/>
    <x v="371"/>
    <n v="37.932000000000002"/>
    <n v="27.75"/>
    <n v="0.42249017995797933"/>
    <x v="0"/>
  </r>
  <r>
    <s v="ORD-10334"/>
    <x v="226"/>
    <s v="Matthew Moore"/>
    <x v="1"/>
    <x v="47"/>
    <x v="4"/>
    <n v="4"/>
    <n v="41.88"/>
    <n v="0.25"/>
    <x v="372"/>
    <n v="97.910000000000011"/>
    <n v="27.730000000000004"/>
    <n v="0.22070996497930595"/>
    <x v="1"/>
  </r>
  <r>
    <s v="ORD-10682"/>
    <x v="280"/>
    <s v="Lisa Miller"/>
    <x v="3"/>
    <x v="38"/>
    <x v="0"/>
    <n v="1"/>
    <n v="86.73"/>
    <n v="0.15"/>
    <x v="373"/>
    <n v="46.040500000000002"/>
    <n v="27.68"/>
    <n v="0.37547222278742004"/>
    <x v="1"/>
  </r>
  <r>
    <s v="ORD-10811"/>
    <x v="281"/>
    <s v="Donna Davis"/>
    <x v="1"/>
    <x v="1"/>
    <x v="0"/>
    <n v="1"/>
    <n v="76.22"/>
    <n v="0"/>
    <x v="374"/>
    <n v="48.599999999999994"/>
    <n v="27.620000000000005"/>
    <n v="0.36237208081868283"/>
    <x v="1"/>
  </r>
  <r>
    <s v="ORD-10004"/>
    <x v="282"/>
    <s v="Jennifer Garcia"/>
    <x v="1"/>
    <x v="8"/>
    <x v="2"/>
    <n v="2"/>
    <n v="124.59"/>
    <n v="0.05"/>
    <x v="375"/>
    <n v="209.101"/>
    <n v="27.620000000000005"/>
    <n v="0.11667743884150542"/>
    <x v="0"/>
  </r>
  <r>
    <s v="ORD-10409"/>
    <x v="283"/>
    <s v="James Jackson"/>
    <x v="2"/>
    <x v="31"/>
    <x v="3"/>
    <n v="2"/>
    <n v="23.62"/>
    <n v="0.1"/>
    <x v="376"/>
    <n v="14.906000000000006"/>
    <n v="27.61"/>
    <n v="0.64940257785304345"/>
    <x v="0"/>
  </r>
  <r>
    <s v="ORD-10268"/>
    <x v="284"/>
    <s v="Nancy Hernandez"/>
    <x v="0"/>
    <x v="48"/>
    <x v="1"/>
    <n v="4"/>
    <n v="26.02"/>
    <n v="0.25"/>
    <x v="377"/>
    <n v="50.5"/>
    <n v="27.560000000000002"/>
    <n v="0.35306174737381502"/>
    <x v="0"/>
  </r>
  <r>
    <s v="ORD-10445"/>
    <x v="220"/>
    <s v="Carol Martinez"/>
    <x v="0"/>
    <x v="5"/>
    <x v="2"/>
    <n v="3"/>
    <n v="56.27"/>
    <n v="0"/>
    <x v="378"/>
    <n v="141.34"/>
    <n v="27.47"/>
    <n v="0.16272732658017888"/>
    <x v="2"/>
  </r>
  <r>
    <s v="ORD-10472"/>
    <x v="155"/>
    <s v="Daniel Clark"/>
    <x v="0"/>
    <x v="27"/>
    <x v="0"/>
    <n v="2"/>
    <n v="37.979999999999997"/>
    <n v="0.1"/>
    <x v="379"/>
    <n v="40.97399999999999"/>
    <n v="27.39"/>
    <n v="0.40064946463050732"/>
    <x v="1"/>
  </r>
  <r>
    <s v="ORD-10732"/>
    <x v="285"/>
    <s v="Matthew Rodriguez"/>
    <x v="0"/>
    <x v="38"/>
    <x v="0"/>
    <n v="3"/>
    <n v="25.64"/>
    <n v="0.1"/>
    <x v="380"/>
    <n v="41.848000000000013"/>
    <n v="27.379999999999995"/>
    <n v="0.39550470907725188"/>
    <x v="0"/>
  </r>
  <r>
    <s v="ORD-10940"/>
    <x v="286"/>
    <s v="Thomas Ramirez"/>
    <x v="1"/>
    <x v="33"/>
    <x v="4"/>
    <n v="3"/>
    <n v="39.130000000000003"/>
    <n v="0.05"/>
    <x v="381"/>
    <n v="84.140500000000017"/>
    <n v="27.379999999999995"/>
    <n v="0.24551539851417445"/>
    <x v="1"/>
  </r>
  <r>
    <s v="ORD-10897"/>
    <x v="237"/>
    <s v="Carol Ramirez"/>
    <x v="1"/>
    <x v="43"/>
    <x v="2"/>
    <n v="1"/>
    <n v="148.13"/>
    <n v="0"/>
    <x v="382"/>
    <n v="120.81"/>
    <n v="27.319999999999993"/>
    <n v="0.18443259299264156"/>
    <x v="0"/>
  </r>
  <r>
    <s v="ORD-10693"/>
    <x v="255"/>
    <s v="Betty Taylor"/>
    <x v="4"/>
    <x v="22"/>
    <x v="3"/>
    <n v="4"/>
    <n v="15.95"/>
    <n v="0.25"/>
    <x v="383"/>
    <n v="20.569999999999993"/>
    <n v="27.28"/>
    <n v="0.57011494252873574"/>
    <x v="1"/>
  </r>
  <r>
    <s v="ORD-10997"/>
    <x v="287"/>
    <s v="Ashley Anderson"/>
    <x v="4"/>
    <x v="29"/>
    <x v="2"/>
    <n v="2"/>
    <n v="83.45"/>
    <n v="0.15"/>
    <x v="384"/>
    <n v="114.63500000000001"/>
    <n v="27.230000000000004"/>
    <n v="0.19194304444366125"/>
    <x v="1"/>
  </r>
  <r>
    <s v="ORD-10471"/>
    <x v="288"/>
    <s v="Carol Robinson"/>
    <x v="3"/>
    <x v="29"/>
    <x v="2"/>
    <n v="2"/>
    <n v="77.540000000000006"/>
    <n v="0.1"/>
    <x v="385"/>
    <n v="112.402"/>
    <n v="27.17"/>
    <n v="0.19466655203049324"/>
    <x v="1"/>
  </r>
  <r>
    <s v="ORD-10864"/>
    <x v="191"/>
    <s v="Daniel Thomas"/>
    <x v="4"/>
    <x v="10"/>
    <x v="1"/>
    <n v="2"/>
    <n v="48.41"/>
    <n v="0"/>
    <x v="386"/>
    <n v="69.83"/>
    <n v="26.989999999999995"/>
    <n v="0.27876471803346414"/>
    <x v="2"/>
  </r>
  <r>
    <s v="ORD-10832"/>
    <x v="264"/>
    <s v="Andrew Smith"/>
    <x v="0"/>
    <x v="31"/>
    <x v="3"/>
    <n v="2"/>
    <n v="34.520000000000003"/>
    <n v="0.25"/>
    <x v="387"/>
    <n v="24.85"/>
    <n v="26.93"/>
    <n v="0.52008497489378136"/>
    <x v="2"/>
  </r>
  <r>
    <s v="ORD-10731"/>
    <x v="127"/>
    <s v="Lisa Jones"/>
    <x v="3"/>
    <x v="36"/>
    <x v="3"/>
    <n v="1"/>
    <n v="48.1"/>
    <n v="0.1"/>
    <x v="388"/>
    <n v="16.369999999999997"/>
    <n v="26.92"/>
    <n v="0.62185262185262191"/>
    <x v="0"/>
  </r>
  <r>
    <s v="ORD-10810"/>
    <x v="176"/>
    <s v="Andrew Brown"/>
    <x v="0"/>
    <x v="19"/>
    <x v="1"/>
    <n v="1"/>
    <n v="79.23"/>
    <n v="0"/>
    <x v="389"/>
    <n v="52.34"/>
    <n v="26.89"/>
    <n v="0.33939164457907356"/>
    <x v="0"/>
  </r>
  <r>
    <s v="ORD-10846"/>
    <x v="289"/>
    <s v="Michelle Clark"/>
    <x v="2"/>
    <x v="19"/>
    <x v="1"/>
    <n v="3"/>
    <n v="31.43"/>
    <n v="0.2"/>
    <x v="390"/>
    <n v="48.691999999999993"/>
    <n v="26.739999999999995"/>
    <n v="0.35449146250927988"/>
    <x v="1"/>
  </r>
  <r>
    <s v="ORD-10118"/>
    <x v="290"/>
    <s v="Richard Brown"/>
    <x v="0"/>
    <x v="35"/>
    <x v="1"/>
    <n v="2"/>
    <n v="36.43"/>
    <n v="0"/>
    <x v="391"/>
    <n v="46.129999999999995"/>
    <n v="26.730000000000004"/>
    <n v="0.36686796596211918"/>
    <x v="1"/>
  </r>
  <r>
    <s v="ORD-10016"/>
    <x v="291"/>
    <s v="Karen Robinson"/>
    <x v="3"/>
    <x v="46"/>
    <x v="1"/>
    <n v="3"/>
    <n v="29.58"/>
    <n v="0.2"/>
    <x v="392"/>
    <n v="44.271999999999991"/>
    <n v="26.72"/>
    <n v="0.37638043723236425"/>
    <x v="1"/>
  </r>
  <r>
    <s v="ORD-10365"/>
    <x v="276"/>
    <s v="Christopher Gonzalez"/>
    <x v="3"/>
    <x v="23"/>
    <x v="3"/>
    <n v="2"/>
    <n v="32.15"/>
    <n v="0.1"/>
    <x v="393"/>
    <n v="31.199999999999996"/>
    <n v="26.67"/>
    <n v="0.46086054950751693"/>
    <x v="0"/>
  </r>
  <r>
    <s v="ORD-10165"/>
    <x v="292"/>
    <s v="Mark Miller"/>
    <x v="3"/>
    <x v="33"/>
    <x v="4"/>
    <n v="4"/>
    <n v="48.62"/>
    <n v="0.15"/>
    <x v="394"/>
    <n v="138.84799999999998"/>
    <n v="26.460000000000008"/>
    <n v="0.16006484864616358"/>
    <x v="0"/>
  </r>
  <r>
    <s v="ORD-10378"/>
    <x v="293"/>
    <s v="Mary Brown"/>
    <x v="3"/>
    <x v="11"/>
    <x v="2"/>
    <n v="5"/>
    <n v="69.13"/>
    <n v="0.1"/>
    <x v="395"/>
    <n v="284.685"/>
    <n v="26.399999999999977"/>
    <n v="8.486426539370262E-2"/>
    <x v="1"/>
  </r>
  <r>
    <s v="ORD-10496"/>
    <x v="294"/>
    <s v="David Moore"/>
    <x v="2"/>
    <x v="34"/>
    <x v="4"/>
    <n v="3"/>
    <n v="39.03"/>
    <n v="0.25"/>
    <x v="396"/>
    <n v="61.55749999999999"/>
    <n v="26.260000000000005"/>
    <n v="0.29902923676943671"/>
    <x v="1"/>
  </r>
  <r>
    <s v="ORD-10716"/>
    <x v="243"/>
    <s v="Kimberly Harris"/>
    <x v="1"/>
    <x v="2"/>
    <x v="0"/>
    <n v="3"/>
    <n v="27.52"/>
    <n v="0.1"/>
    <x v="397"/>
    <n v="48.054000000000002"/>
    <n v="26.25"/>
    <n v="0.35327842377260982"/>
    <x v="1"/>
  </r>
  <r>
    <s v="ORD-10222"/>
    <x v="295"/>
    <s v="Jennifer Lopez"/>
    <x v="4"/>
    <x v="18"/>
    <x v="3"/>
    <n v="2"/>
    <n v="22.66"/>
    <n v="0.05"/>
    <x v="398"/>
    <n v="16.844000000000001"/>
    <n v="26.21"/>
    <n v="0.60877038138152084"/>
    <x v="1"/>
  </r>
  <r>
    <s v="ORD-10951"/>
    <x v="296"/>
    <s v="Sarah Robinson"/>
    <x v="3"/>
    <x v="11"/>
    <x v="2"/>
    <n v="1"/>
    <n v="135.31"/>
    <n v="0.2"/>
    <x v="399"/>
    <n v="82.128"/>
    <n v="26.120000000000005"/>
    <n v="0.24129776069765727"/>
    <x v="0"/>
  </r>
  <r>
    <s v="ORD-10374"/>
    <x v="17"/>
    <s v="Anthony Lewis"/>
    <x v="4"/>
    <x v="34"/>
    <x v="4"/>
    <n v="2"/>
    <n v="51.27"/>
    <n v="0.1"/>
    <x v="400"/>
    <n v="66.236000000000004"/>
    <n v="26.049999999999997"/>
    <n v="0.28227466788028516"/>
    <x v="0"/>
  </r>
  <r>
    <s v="ORD-10947"/>
    <x v="297"/>
    <s v="Thomas Thompson"/>
    <x v="2"/>
    <x v="24"/>
    <x v="3"/>
    <n v="3"/>
    <n v="25.85"/>
    <n v="0.2"/>
    <x v="401"/>
    <n v="36.050000000000011"/>
    <n v="25.989999999999995"/>
    <n v="0.41892327530625389"/>
    <x v="0"/>
  </r>
  <r>
    <s v="ORD-10156"/>
    <x v="298"/>
    <s v="Daniel Johnson"/>
    <x v="2"/>
    <x v="14"/>
    <x v="3"/>
    <n v="4"/>
    <n v="16.170000000000002"/>
    <n v="0.1"/>
    <x v="402"/>
    <n v="32.262"/>
    <n v="25.950000000000003"/>
    <n v="0.44578437435580293"/>
    <x v="0"/>
  </r>
  <r>
    <s v="ORD-10528"/>
    <x v="12"/>
    <s v="Steven Lopez"/>
    <x v="1"/>
    <x v="28"/>
    <x v="3"/>
    <n v="2"/>
    <n v="29.21"/>
    <n v="0.1"/>
    <x v="403"/>
    <n v="26.648000000000003"/>
    <n v="25.93"/>
    <n v="0.49317204914603063"/>
    <x v="0"/>
  </r>
  <r>
    <s v="ORD-10479"/>
    <x v="299"/>
    <s v="Robert Anderson"/>
    <x v="0"/>
    <x v="1"/>
    <x v="0"/>
    <n v="1"/>
    <n v="77.14"/>
    <n v="0"/>
    <x v="404"/>
    <n v="51.22"/>
    <n v="25.92"/>
    <n v="0.33601244490536686"/>
    <x v="0"/>
  </r>
  <r>
    <s v="ORD-10814"/>
    <x v="300"/>
    <s v="Kenneth Wilson"/>
    <x v="3"/>
    <x v="42"/>
    <x v="4"/>
    <n v="3"/>
    <n v="46.25"/>
    <n v="0.15"/>
    <x v="405"/>
    <n v="92.027500000000003"/>
    <n v="25.909999999999997"/>
    <n v="0.21969263381028084"/>
    <x v="0"/>
  </r>
  <r>
    <s v="ORD-10705"/>
    <x v="301"/>
    <s v="Donna Hernandez"/>
    <x v="1"/>
    <x v="30"/>
    <x v="2"/>
    <n v="1"/>
    <n v="116.23"/>
    <n v="0"/>
    <x v="406"/>
    <n v="90.39"/>
    <n v="25.840000000000003"/>
    <n v="0.22231781811924634"/>
    <x v="2"/>
  </r>
  <r>
    <s v="ORD-10518"/>
    <x v="302"/>
    <s v="Robert Brown"/>
    <x v="0"/>
    <x v="4"/>
    <x v="1"/>
    <n v="2"/>
    <n v="57.59"/>
    <n v="0.25"/>
    <x v="407"/>
    <n v="60.635000000000005"/>
    <n v="25.75"/>
    <n v="0.29808415812930483"/>
    <x v="0"/>
  </r>
  <r>
    <s v="ORD-10505"/>
    <x v="303"/>
    <s v="Jennifer Martin"/>
    <x v="2"/>
    <x v="5"/>
    <x v="2"/>
    <n v="1"/>
    <n v="141.66"/>
    <n v="0.05"/>
    <x v="408"/>
    <n v="108.857"/>
    <n v="25.72"/>
    <n v="0.19111735289091003"/>
    <x v="0"/>
  </r>
  <r>
    <s v="ORD-10201"/>
    <x v="304"/>
    <s v="Jennifer Garcia"/>
    <x v="2"/>
    <x v="43"/>
    <x v="2"/>
    <n v="1"/>
    <n v="108.05"/>
    <n v="0.05"/>
    <x v="409"/>
    <n v="77.047499999999985"/>
    <n v="25.600000000000009"/>
    <n v="0.24939720889451775"/>
    <x v="0"/>
  </r>
  <r>
    <s v="ORD-10985"/>
    <x v="305"/>
    <s v="William Anderson"/>
    <x v="1"/>
    <x v="49"/>
    <x v="4"/>
    <n v="2"/>
    <n v="39.15"/>
    <n v="0"/>
    <x v="410"/>
    <n v="52.699999999999996"/>
    <n v="25.6"/>
    <n v="0.3269476372924649"/>
    <x v="0"/>
  </r>
  <r>
    <s v="ORD-10953"/>
    <x v="8"/>
    <s v="Kimberly Thompson"/>
    <x v="1"/>
    <x v="12"/>
    <x v="0"/>
    <n v="2"/>
    <n v="42.34"/>
    <n v="0.15"/>
    <x v="411"/>
    <n v="46.478000000000009"/>
    <n v="25.5"/>
    <n v="0.35427491733585259"/>
    <x v="0"/>
  </r>
  <r>
    <s v="ORD-10357"/>
    <x v="306"/>
    <s v="Linda Clark"/>
    <x v="0"/>
    <x v="23"/>
    <x v="3"/>
    <n v="1"/>
    <n v="49.28"/>
    <n v="0.2"/>
    <x v="412"/>
    <n v="13.934000000000001"/>
    <n v="25.49"/>
    <n v="0.64656047077922074"/>
    <x v="0"/>
  </r>
  <r>
    <s v="ORD-10252"/>
    <x v="307"/>
    <s v="Kimberly Martin"/>
    <x v="3"/>
    <x v="29"/>
    <x v="2"/>
    <n v="2"/>
    <n v="95.25"/>
    <n v="0.2"/>
    <x v="413"/>
    <n v="126.95"/>
    <n v="25.450000000000003"/>
    <n v="0.16699475065616798"/>
    <x v="1"/>
  </r>
  <r>
    <s v="ORD-10907"/>
    <x v="308"/>
    <s v="William Rodriguez"/>
    <x v="3"/>
    <x v="7"/>
    <x v="0"/>
    <n v="1"/>
    <n v="56.18"/>
    <n v="0.1"/>
    <x v="414"/>
    <n v="25.121999999999996"/>
    <n v="25.44"/>
    <n v="0.50314465408805031"/>
    <x v="0"/>
  </r>
  <r>
    <s v="ORD-10332"/>
    <x v="309"/>
    <s v="Elizabeth White"/>
    <x v="3"/>
    <x v="8"/>
    <x v="2"/>
    <n v="2"/>
    <n v="74.8"/>
    <n v="0.15"/>
    <x v="415"/>
    <n v="101.78999999999999"/>
    <n v="25.370000000000005"/>
    <n v="0.19951242529097205"/>
    <x v="0"/>
  </r>
  <r>
    <s v="ORD-10430"/>
    <x v="30"/>
    <s v="David Jones"/>
    <x v="2"/>
    <x v="18"/>
    <x v="3"/>
    <n v="1"/>
    <n v="38.909999999999997"/>
    <n v="0"/>
    <x v="416"/>
    <n v="13.629999999999995"/>
    <n v="25.28"/>
    <n v="0.6497044461578001"/>
    <x v="1"/>
  </r>
  <r>
    <s v="ORD-10588"/>
    <x v="305"/>
    <s v="Thomas Smith"/>
    <x v="3"/>
    <x v="41"/>
    <x v="4"/>
    <n v="2"/>
    <n v="45.02"/>
    <n v="0.15"/>
    <x v="417"/>
    <n v="51.394000000000005"/>
    <n v="25.14"/>
    <n v="0.32848145922073846"/>
    <x v="2"/>
  </r>
  <r>
    <s v="ORD-10453"/>
    <x v="156"/>
    <s v="Lisa Lewis"/>
    <x v="1"/>
    <x v="27"/>
    <x v="0"/>
    <n v="1"/>
    <n v="84.47"/>
    <n v="0.05"/>
    <x v="418"/>
    <n v="55.126499999999993"/>
    <n v="25.120000000000005"/>
    <n v="0.31303545949044514"/>
    <x v="1"/>
  </r>
  <r>
    <s v="ORD-10891"/>
    <x v="218"/>
    <s v="Andrew Jones"/>
    <x v="0"/>
    <x v="13"/>
    <x v="2"/>
    <n v="1"/>
    <n v="117.29"/>
    <n v="0.1"/>
    <x v="419"/>
    <n v="80.491000000000014"/>
    <n v="25.069999999999993"/>
    <n v="0.23749301351825003"/>
    <x v="0"/>
  </r>
  <r>
    <s v="ORD-10489"/>
    <x v="193"/>
    <s v="Kimberly Lewis"/>
    <x v="0"/>
    <x v="42"/>
    <x v="4"/>
    <n v="2"/>
    <n v="58.72"/>
    <n v="0"/>
    <x v="420"/>
    <n v="92.42"/>
    <n v="25.019999999999996"/>
    <n v="0.21304495912806537"/>
    <x v="1"/>
  </r>
  <r>
    <s v="ORD-10876"/>
    <x v="310"/>
    <s v="Joshua Smith"/>
    <x v="2"/>
    <x v="25"/>
    <x v="1"/>
    <n v="2"/>
    <n v="36.26"/>
    <n v="0"/>
    <x v="421"/>
    <n v="47.509999999999991"/>
    <n v="25.010000000000005"/>
    <n v="0.3448703805846664"/>
    <x v="1"/>
  </r>
  <r>
    <s v="ORD-10677"/>
    <x v="311"/>
    <s v="David Brown"/>
    <x v="0"/>
    <x v="2"/>
    <x v="0"/>
    <n v="1"/>
    <n v="63.15"/>
    <n v="0.25"/>
    <x v="422"/>
    <n v="22.352499999999996"/>
    <n v="25.01"/>
    <n v="0.52805489575085784"/>
    <x v="1"/>
  </r>
  <r>
    <s v="ORD-10313"/>
    <x v="312"/>
    <s v="Dorothy Lopez"/>
    <x v="4"/>
    <x v="10"/>
    <x v="1"/>
    <n v="3"/>
    <n v="53.4"/>
    <n v="0.25"/>
    <x v="423"/>
    <n v="95.22999999999999"/>
    <n v="24.92"/>
    <n v="0.20740740740740743"/>
    <x v="0"/>
  </r>
  <r>
    <s v="ORD-10288"/>
    <x v="313"/>
    <s v="Dorothy Rodriguez"/>
    <x v="1"/>
    <x v="14"/>
    <x v="3"/>
    <n v="1"/>
    <n v="49.62"/>
    <n v="0.05"/>
    <x v="424"/>
    <n v="22.288999999999994"/>
    <n v="24.85"/>
    <n v="0.52716434374933718"/>
    <x v="0"/>
  </r>
  <r>
    <s v="ORD-10108"/>
    <x v="229"/>
    <s v="Mary Jones"/>
    <x v="2"/>
    <x v="16"/>
    <x v="1"/>
    <n v="2"/>
    <n v="34.56"/>
    <n v="0"/>
    <x v="425"/>
    <n v="44.330000000000005"/>
    <n v="24.79"/>
    <n v="0.35865162037037035"/>
    <x v="1"/>
  </r>
  <r>
    <s v="ORD-10577"/>
    <x v="314"/>
    <s v="Matthew Lopez"/>
    <x v="2"/>
    <x v="15"/>
    <x v="2"/>
    <n v="1"/>
    <n v="133.26"/>
    <n v="0.1"/>
    <x v="426"/>
    <n v="95.263999999999996"/>
    <n v="24.67"/>
    <n v="0.20569646638984776"/>
    <x v="0"/>
  </r>
  <r>
    <s v="ORD-10366"/>
    <x v="13"/>
    <s v="Anthony Lopez"/>
    <x v="0"/>
    <x v="23"/>
    <x v="3"/>
    <n v="1"/>
    <n v="45.21"/>
    <n v="0.1"/>
    <x v="427"/>
    <n v="16.029"/>
    <n v="24.66"/>
    <n v="0.60606060606060608"/>
    <x v="1"/>
  </r>
  <r>
    <s v="ORD-10437"/>
    <x v="130"/>
    <s v="Michelle Martin"/>
    <x v="0"/>
    <x v="29"/>
    <x v="2"/>
    <n v="5"/>
    <n v="36.299999999999997"/>
    <n v="0.05"/>
    <x v="428"/>
    <n v="147.76500000000001"/>
    <n v="24.659999999999997"/>
    <n v="0.14301870378425399"/>
    <x v="2"/>
  </r>
  <r>
    <s v="ORD-10695"/>
    <x v="315"/>
    <s v="Joshua White"/>
    <x v="1"/>
    <x v="39"/>
    <x v="4"/>
    <n v="2"/>
    <n v="58.65"/>
    <n v="0.2"/>
    <x v="429"/>
    <n v="69.23"/>
    <n v="24.61"/>
    <n v="0.26225490196078433"/>
    <x v="0"/>
  </r>
  <r>
    <s v="ORD-10910"/>
    <x v="152"/>
    <s v="Lisa Thomas"/>
    <x v="0"/>
    <x v="21"/>
    <x v="0"/>
    <n v="2"/>
    <n v="24.18"/>
    <n v="0"/>
    <x v="430"/>
    <n v="24.16"/>
    <n v="24.2"/>
    <n v="0.50041356492969391"/>
    <x v="0"/>
  </r>
  <r>
    <s v="ORD-10003"/>
    <x v="271"/>
    <s v="Robert Smith"/>
    <x v="1"/>
    <x v="28"/>
    <x v="3"/>
    <n v="2"/>
    <n v="23.36"/>
    <n v="0.1"/>
    <x v="431"/>
    <n v="17.908000000000001"/>
    <n v="24.14"/>
    <n v="0.57410578386605782"/>
    <x v="1"/>
  </r>
  <r>
    <s v="ORD-10649"/>
    <x v="289"/>
    <s v="Dorothy Ramirez"/>
    <x v="3"/>
    <x v="25"/>
    <x v="1"/>
    <n v="1"/>
    <n v="69.88"/>
    <n v="0.05"/>
    <x v="432"/>
    <n v="42.256"/>
    <n v="24.129999999999995"/>
    <n v="0.36348025186033195"/>
    <x v="1"/>
  </r>
  <r>
    <s v="ORD-10186"/>
    <x v="316"/>
    <s v="Mark Perez"/>
    <x v="2"/>
    <x v="42"/>
    <x v="4"/>
    <n v="3"/>
    <n v="50.02"/>
    <n v="0"/>
    <x v="433"/>
    <n v="126.13"/>
    <n v="23.930000000000007"/>
    <n v="0.15946954551512732"/>
    <x v="1"/>
  </r>
  <r>
    <s v="ORD-10957"/>
    <x v="317"/>
    <s v="Daniel Martin"/>
    <x v="1"/>
    <x v="16"/>
    <x v="1"/>
    <n v="1"/>
    <n v="71.19"/>
    <n v="0.15"/>
    <x v="434"/>
    <n v="36.601500000000001"/>
    <n v="23.909999999999997"/>
    <n v="0.3951315039290052"/>
    <x v="0"/>
  </r>
  <r>
    <s v="ORD-10158"/>
    <x v="268"/>
    <s v="Robert Robinson"/>
    <x v="3"/>
    <x v="29"/>
    <x v="2"/>
    <n v="3"/>
    <n v="104.59"/>
    <n v="0.15"/>
    <x v="435"/>
    <n v="242.8245"/>
    <n v="23.879999999999995"/>
    <n v="8.9537296896002858E-2"/>
    <x v="0"/>
  </r>
  <r>
    <s v="ORD-10146"/>
    <x v="239"/>
    <s v="Sarah Clark"/>
    <x v="0"/>
    <x v="20"/>
    <x v="3"/>
    <n v="1"/>
    <n v="49.22"/>
    <n v="0.15"/>
    <x v="436"/>
    <n v="18.017000000000003"/>
    <n v="23.82"/>
    <n v="0.569352487033009"/>
    <x v="1"/>
  </r>
  <r>
    <s v="ORD-10039"/>
    <x v="318"/>
    <s v="Andrew Davis"/>
    <x v="1"/>
    <x v="9"/>
    <x v="2"/>
    <n v="2"/>
    <n v="109.42"/>
    <n v="0.05"/>
    <x v="437"/>
    <n v="184.18799999999999"/>
    <n v="23.710000000000008"/>
    <n v="0.11404631117182469"/>
    <x v="1"/>
  </r>
  <r>
    <s v="ORD-10370"/>
    <x v="267"/>
    <s v="Donna Wilson"/>
    <x v="1"/>
    <x v="45"/>
    <x v="4"/>
    <n v="2"/>
    <n v="42.24"/>
    <n v="0.15"/>
    <x v="438"/>
    <n v="48.268000000000008"/>
    <n v="23.54"/>
    <n v="0.32781862745098034"/>
    <x v="0"/>
  </r>
  <r>
    <s v="ORD-10617"/>
    <x v="319"/>
    <s v="Kevin Clark"/>
    <x v="4"/>
    <x v="21"/>
    <x v="0"/>
    <n v="1"/>
    <n v="72.900000000000006"/>
    <n v="0"/>
    <x v="439"/>
    <n v="49.370000000000005"/>
    <n v="23.53"/>
    <n v="0.32277091906721533"/>
    <x v="1"/>
  </r>
  <r>
    <s v="ORD-10026"/>
    <x v="0"/>
    <s v="Ashley Garcia"/>
    <x v="2"/>
    <x v="14"/>
    <x v="3"/>
    <n v="2"/>
    <n v="29.09"/>
    <n v="0.1"/>
    <x v="440"/>
    <n v="28.852"/>
    <n v="23.51"/>
    <n v="0.4489897253733624"/>
    <x v="0"/>
  </r>
  <r>
    <s v="ORD-10311"/>
    <x v="146"/>
    <s v="Thomas Martinez"/>
    <x v="4"/>
    <x v="21"/>
    <x v="0"/>
    <n v="1"/>
    <n v="67.23"/>
    <n v="0"/>
    <x v="441"/>
    <n v="43.78"/>
    <n v="23.450000000000003"/>
    <n v="0.34880261787892314"/>
    <x v="2"/>
  </r>
  <r>
    <s v="ORD-10979"/>
    <x v="320"/>
    <s v="Carol Rodriguez"/>
    <x v="3"/>
    <x v="25"/>
    <x v="1"/>
    <n v="2"/>
    <n v="52.2"/>
    <n v="0.1"/>
    <x v="442"/>
    <n v="70.510000000000005"/>
    <n v="23.450000000000003"/>
    <n v="0.24957428693060879"/>
    <x v="0"/>
  </r>
  <r>
    <s v="ORD-10602"/>
    <x v="321"/>
    <s v="Richard Lewis"/>
    <x v="3"/>
    <x v="37"/>
    <x v="2"/>
    <n v="1"/>
    <n v="142.59"/>
    <n v="0.1"/>
    <x v="443"/>
    <n v="104.93100000000001"/>
    <n v="23.400000000000006"/>
    <n v="0.18234097762816467"/>
    <x v="0"/>
  </r>
  <r>
    <s v="ORD-10555"/>
    <x v="322"/>
    <s v="Joshua Davis"/>
    <x v="1"/>
    <x v="20"/>
    <x v="3"/>
    <n v="1"/>
    <n v="36.840000000000003"/>
    <n v="0"/>
    <x v="444"/>
    <n v="13.470000000000002"/>
    <n v="23.37"/>
    <n v="0.63436482084690549"/>
    <x v="1"/>
  </r>
  <r>
    <s v="ORD-10990"/>
    <x v="323"/>
    <s v="Daniel Hernandez"/>
    <x v="2"/>
    <x v="18"/>
    <x v="3"/>
    <n v="2"/>
    <n v="24.12"/>
    <n v="0.05"/>
    <x v="445"/>
    <n v="22.488000000000003"/>
    <n v="23.34"/>
    <n v="0.5092956271275203"/>
    <x v="1"/>
  </r>
  <r>
    <s v="ORD-10487"/>
    <x v="199"/>
    <s v="Andrew Hernandez"/>
    <x v="0"/>
    <x v="46"/>
    <x v="1"/>
    <n v="1"/>
    <n v="62.85"/>
    <n v="0"/>
    <x v="446"/>
    <n v="39.58"/>
    <n v="23.270000000000003"/>
    <n v="0.37024661893396982"/>
    <x v="0"/>
  </r>
  <r>
    <s v="ORD-10031"/>
    <x v="288"/>
    <s v="Richard Robinson"/>
    <x v="1"/>
    <x v="42"/>
    <x v="4"/>
    <n v="2"/>
    <n v="50.9"/>
    <n v="0"/>
    <x v="447"/>
    <n v="78.56"/>
    <n v="23.239999999999995"/>
    <n v="0.22829076620825142"/>
    <x v="1"/>
  </r>
  <r>
    <s v="ORD-10167"/>
    <x v="126"/>
    <s v="Ashley Thompson"/>
    <x v="2"/>
    <x v="31"/>
    <x v="3"/>
    <n v="3"/>
    <n v="14.71"/>
    <n v="0.05"/>
    <x v="448"/>
    <n v="18.693500000000004"/>
    <n v="23.23"/>
    <n v="0.55410449986284538"/>
    <x v="0"/>
  </r>
  <r>
    <s v="ORD-10691"/>
    <x v="324"/>
    <s v="Richard Jones"/>
    <x v="0"/>
    <x v="29"/>
    <x v="2"/>
    <n v="2"/>
    <n v="134.03"/>
    <n v="0.15"/>
    <x v="449"/>
    <n v="204.64099999999999"/>
    <n v="23.210000000000008"/>
    <n v="0.101864815164296"/>
    <x v="0"/>
  </r>
  <r>
    <s v="ORD-10451"/>
    <x v="325"/>
    <s v="Jessica Williams"/>
    <x v="0"/>
    <x v="41"/>
    <x v="4"/>
    <n v="2"/>
    <n v="45.32"/>
    <n v="0.05"/>
    <x v="450"/>
    <n v="62.908000000000001"/>
    <n v="23.200000000000003"/>
    <n v="0.2694290890509593"/>
    <x v="0"/>
  </r>
  <r>
    <s v="ORD-10960"/>
    <x v="122"/>
    <s v="James Lee"/>
    <x v="0"/>
    <x v="22"/>
    <x v="3"/>
    <n v="1"/>
    <n v="49.03"/>
    <n v="0"/>
    <x v="451"/>
    <n v="25.84"/>
    <n v="23.19"/>
    <n v="0.47297572914542119"/>
    <x v="0"/>
  </r>
  <r>
    <s v="ORD-10721"/>
    <x v="82"/>
    <s v="Mary Perez"/>
    <x v="3"/>
    <x v="19"/>
    <x v="1"/>
    <n v="2"/>
    <n v="54.21"/>
    <n v="0"/>
    <x v="452"/>
    <n v="85.31"/>
    <n v="23.11"/>
    <n v="0.21315255487917359"/>
    <x v="1"/>
  </r>
  <r>
    <s v="ORD-10601"/>
    <x v="326"/>
    <s v="Joseph Jones"/>
    <x v="2"/>
    <x v="4"/>
    <x v="1"/>
    <n v="3"/>
    <n v="26.21"/>
    <n v="0.2"/>
    <x v="453"/>
    <n v="39.833999999999996"/>
    <n v="23.07"/>
    <n v="0.36674933231591"/>
    <x v="1"/>
  </r>
  <r>
    <s v="ORD-10055"/>
    <x v="207"/>
    <s v="Donald Thomas"/>
    <x v="0"/>
    <x v="15"/>
    <x v="2"/>
    <n v="1"/>
    <n v="128.88"/>
    <n v="0"/>
    <x v="454"/>
    <n v="105.86"/>
    <n v="23.019999999999996"/>
    <n v="0.17861576660459338"/>
    <x v="0"/>
  </r>
  <r>
    <s v="ORD-10217"/>
    <x v="245"/>
    <s v="Donald Smith"/>
    <x v="0"/>
    <x v="41"/>
    <x v="4"/>
    <n v="2"/>
    <n v="46.51"/>
    <n v="0"/>
    <x v="455"/>
    <n v="70.039999999999992"/>
    <n v="22.980000000000004"/>
    <n v="0.24704364652762853"/>
    <x v="1"/>
  </r>
  <r>
    <s v="ORD-10319"/>
    <x v="327"/>
    <s v="Sarah Jackson"/>
    <x v="2"/>
    <x v="31"/>
    <x v="3"/>
    <n v="1"/>
    <n v="46.72"/>
    <n v="0.1"/>
    <x v="431"/>
    <n v="19.138000000000002"/>
    <n v="22.91"/>
    <n v="0.544853500761035"/>
    <x v="0"/>
  </r>
  <r>
    <s v="ORD-10659"/>
    <x v="31"/>
    <s v="Daniel Sanchez"/>
    <x v="1"/>
    <x v="34"/>
    <x v="4"/>
    <n v="5"/>
    <n v="17.16"/>
    <n v="0"/>
    <x v="456"/>
    <n v="62.91"/>
    <n v="22.89"/>
    <n v="0.26678321678321681"/>
    <x v="0"/>
  </r>
  <r>
    <s v="ORD-10194"/>
    <x v="328"/>
    <s v="Sarah Hernandez"/>
    <x v="2"/>
    <x v="28"/>
    <x v="3"/>
    <n v="2"/>
    <n v="24.88"/>
    <n v="0"/>
    <x v="457"/>
    <n v="26.889999999999997"/>
    <n v="22.87"/>
    <n v="0.45960610932475887"/>
    <x v="1"/>
  </r>
  <r>
    <s v="ORD-10153"/>
    <x v="24"/>
    <s v="James Brown"/>
    <x v="3"/>
    <x v="28"/>
    <x v="3"/>
    <n v="3"/>
    <n v="13.1"/>
    <n v="0"/>
    <x v="458"/>
    <n v="16.499999999999996"/>
    <n v="22.8"/>
    <n v="0.58015267175572527"/>
    <x v="0"/>
  </r>
  <r>
    <s v="ORD-10987"/>
    <x v="88"/>
    <s v="Jennifer Ramirez"/>
    <x v="0"/>
    <x v="13"/>
    <x v="2"/>
    <n v="3"/>
    <n v="54.76"/>
    <n v="0"/>
    <x v="459"/>
    <n v="141.55000000000001"/>
    <n v="22.72999999999999"/>
    <n v="0.1383613343072802"/>
    <x v="1"/>
  </r>
  <r>
    <s v="ORD-10825"/>
    <x v="220"/>
    <s v="Sandra Miller"/>
    <x v="4"/>
    <x v="26"/>
    <x v="1"/>
    <n v="2"/>
    <n v="53.1"/>
    <n v="0.15"/>
    <x v="460"/>
    <n v="67.550000000000011"/>
    <n v="22.72"/>
    <n v="0.25168937631549793"/>
    <x v="0"/>
  </r>
  <r>
    <s v="ORD-10292"/>
    <x v="329"/>
    <s v="David Jackson"/>
    <x v="2"/>
    <x v="23"/>
    <x v="3"/>
    <n v="1"/>
    <n v="49.17"/>
    <n v="0.05"/>
    <x v="461"/>
    <n v="24.041499999999999"/>
    <n v="22.67"/>
    <n v="0.4853194609464479"/>
    <x v="0"/>
  </r>
  <r>
    <s v="ORD-10270"/>
    <x v="330"/>
    <s v="Karen Clark"/>
    <x v="1"/>
    <x v="13"/>
    <x v="2"/>
    <n v="1"/>
    <n v="126.86"/>
    <n v="0.1"/>
    <x v="462"/>
    <n v="91.504000000000005"/>
    <n v="22.67"/>
    <n v="0.19855658906581183"/>
    <x v="0"/>
  </r>
  <r>
    <s v="ORD-10229"/>
    <x v="291"/>
    <s v="Sandra Robinson"/>
    <x v="4"/>
    <x v="28"/>
    <x v="3"/>
    <n v="4"/>
    <n v="14.46"/>
    <n v="0.1"/>
    <x v="463"/>
    <n v="29.416000000000004"/>
    <n v="22.64"/>
    <n v="0.43491624404487472"/>
    <x v="1"/>
  </r>
  <r>
    <s v="ORD-10885"/>
    <x v="331"/>
    <s v="Sarah Harris"/>
    <x v="2"/>
    <x v="8"/>
    <x v="2"/>
    <n v="1"/>
    <n v="125.09"/>
    <n v="0"/>
    <x v="464"/>
    <n v="102.49000000000001"/>
    <n v="22.599999999999994"/>
    <n v="0.18066991765928525"/>
    <x v="1"/>
  </r>
  <r>
    <s v="ORD-10001"/>
    <x v="332"/>
    <s v="Betty Miller"/>
    <x v="2"/>
    <x v="43"/>
    <x v="2"/>
    <n v="1"/>
    <n v="133.59"/>
    <n v="0.25"/>
    <x v="465"/>
    <n v="77.642499999999998"/>
    <n v="22.549999999999997"/>
    <n v="0.22506674651296252"/>
    <x v="0"/>
  </r>
  <r>
    <s v="ORD-10511"/>
    <x v="39"/>
    <s v="Susan White"/>
    <x v="2"/>
    <x v="23"/>
    <x v="3"/>
    <n v="1"/>
    <n v="40.299999999999997"/>
    <n v="0.1"/>
    <x v="466"/>
    <n v="13.779999999999998"/>
    <n v="22.49"/>
    <n v="0.6200716845878137"/>
    <x v="0"/>
  </r>
  <r>
    <s v="ORD-10944"/>
    <x v="122"/>
    <s v="Robert Moore"/>
    <x v="0"/>
    <x v="21"/>
    <x v="0"/>
    <n v="1"/>
    <n v="67.5"/>
    <n v="0"/>
    <x v="467"/>
    <n v="45.019999999999996"/>
    <n v="22.480000000000004"/>
    <n v="0.33303703703703708"/>
    <x v="0"/>
  </r>
  <r>
    <s v="ORD-10498"/>
    <x v="248"/>
    <s v="Steven Ramirez"/>
    <x v="1"/>
    <x v="21"/>
    <x v="0"/>
    <n v="1"/>
    <n v="43.17"/>
    <n v="0"/>
    <x v="468"/>
    <n v="20.740000000000002"/>
    <n v="22.43"/>
    <n v="0.51957377808663419"/>
    <x v="0"/>
  </r>
  <r>
    <s v="ORD-10171"/>
    <x v="82"/>
    <s v="Sandra Thompson"/>
    <x v="3"/>
    <x v="35"/>
    <x v="1"/>
    <n v="2"/>
    <n v="55.17"/>
    <n v="0.05"/>
    <x v="469"/>
    <n v="82.413000000000011"/>
    <n v="22.409999999999997"/>
    <n v="0.21378895853009353"/>
    <x v="0"/>
  </r>
  <r>
    <s v="ORD-10921"/>
    <x v="322"/>
    <s v="Richard Miller"/>
    <x v="4"/>
    <x v="32"/>
    <x v="3"/>
    <n v="1"/>
    <n v="46.41"/>
    <n v="0.15"/>
    <x v="470"/>
    <n v="17.058499999999995"/>
    <n v="22.39"/>
    <n v="0.56757544646818014"/>
    <x v="0"/>
  </r>
  <r>
    <s v="ORD-10070"/>
    <x v="233"/>
    <s v="Richard Thomas"/>
    <x v="1"/>
    <x v="28"/>
    <x v="3"/>
    <n v="4"/>
    <n v="10.029999999999999"/>
    <n v="0.1"/>
    <x v="471"/>
    <n v="13.737999999999996"/>
    <n v="22.37"/>
    <n v="0.61953029799490422"/>
    <x v="0"/>
  </r>
  <r>
    <s v="ORD-10404"/>
    <x v="175"/>
    <s v="Mary Anderson"/>
    <x v="3"/>
    <x v="31"/>
    <x v="3"/>
    <n v="2"/>
    <n v="22.24"/>
    <n v="0"/>
    <x v="472"/>
    <n v="22.109999999999996"/>
    <n v="22.37"/>
    <n v="0.50292266187050361"/>
    <x v="0"/>
  </r>
  <r>
    <s v="ORD-10233"/>
    <x v="254"/>
    <s v="Karen Perez"/>
    <x v="2"/>
    <x v="33"/>
    <x v="4"/>
    <n v="3"/>
    <n v="31.22"/>
    <n v="0.1"/>
    <x v="473"/>
    <n v="61.963999999999999"/>
    <n v="22.33"/>
    <n v="0.26490616176714832"/>
    <x v="0"/>
  </r>
  <r>
    <s v="ORD-10703"/>
    <x v="333"/>
    <s v="Andrew Smith"/>
    <x v="0"/>
    <x v="16"/>
    <x v="1"/>
    <n v="1"/>
    <n v="67.72"/>
    <n v="0.05"/>
    <x v="474"/>
    <n v="42.014000000000003"/>
    <n v="22.32"/>
    <n v="0.346939409954301"/>
    <x v="0"/>
  </r>
  <r>
    <s v="ORD-10273"/>
    <x v="241"/>
    <s v="Joseph Thomas"/>
    <x v="0"/>
    <x v="19"/>
    <x v="1"/>
    <n v="1"/>
    <n v="65.650000000000006"/>
    <n v="0.1"/>
    <x v="475"/>
    <n v="36.805000000000007"/>
    <n v="22.28"/>
    <n v="0.37708386223237705"/>
    <x v="1"/>
  </r>
  <r>
    <s v="ORD-10312"/>
    <x v="334"/>
    <s v="Paul Martin"/>
    <x v="0"/>
    <x v="19"/>
    <x v="1"/>
    <n v="1"/>
    <n v="55.6"/>
    <n v="0"/>
    <x v="476"/>
    <n v="33.400000000000006"/>
    <n v="22.199999999999996"/>
    <n v="0.39928057553956825"/>
    <x v="0"/>
  </r>
  <r>
    <s v="ORD-10499"/>
    <x v="335"/>
    <s v="Barbara Hernandez"/>
    <x v="4"/>
    <x v="22"/>
    <x v="3"/>
    <n v="2"/>
    <n v="21.03"/>
    <n v="0.05"/>
    <x v="477"/>
    <n v="17.827000000000002"/>
    <n v="22.13"/>
    <n v="0.55384538378757164"/>
    <x v="0"/>
  </r>
  <r>
    <s v="ORD-10448"/>
    <x v="336"/>
    <s v="Michael Williams"/>
    <x v="0"/>
    <x v="22"/>
    <x v="3"/>
    <n v="1"/>
    <n v="36.67"/>
    <n v="0.05"/>
    <x v="478"/>
    <n v="12.7165"/>
    <n v="22.12"/>
    <n v="0.63496619924504472"/>
    <x v="1"/>
  </r>
  <r>
    <s v="ORD-10283"/>
    <x v="337"/>
    <s v="Michelle Ramirez"/>
    <x v="3"/>
    <x v="46"/>
    <x v="1"/>
    <n v="3"/>
    <n v="37.69"/>
    <n v="0.1"/>
    <x v="479"/>
    <n v="79.662999999999982"/>
    <n v="22.100000000000009"/>
    <n v="0.2171712705010663"/>
    <x v="0"/>
  </r>
  <r>
    <s v="ORD-10465"/>
    <x v="338"/>
    <s v="Karen Smith"/>
    <x v="0"/>
    <x v="15"/>
    <x v="2"/>
    <n v="1"/>
    <n v="111.49"/>
    <n v="0.15"/>
    <x v="480"/>
    <n v="72.716499999999996"/>
    <n v="22.049999999999997"/>
    <n v="0.23267715912268574"/>
    <x v="1"/>
  </r>
  <r>
    <s v="ORD-10738"/>
    <x v="266"/>
    <s v="Andrew Jackson"/>
    <x v="1"/>
    <x v="27"/>
    <x v="0"/>
    <n v="1"/>
    <n v="58.74"/>
    <n v="0"/>
    <x v="481"/>
    <n v="36.81"/>
    <n v="21.93"/>
    <n v="0.37334014300306434"/>
    <x v="1"/>
  </r>
  <r>
    <s v="ORD-10088"/>
    <x v="339"/>
    <s v="Matthew Taylor"/>
    <x v="1"/>
    <x v="45"/>
    <x v="4"/>
    <n v="3"/>
    <n v="46.74"/>
    <n v="0.25"/>
    <x v="482"/>
    <n v="83.284999999999997"/>
    <n v="21.879999999999995"/>
    <n v="0.20805401036466503"/>
    <x v="1"/>
  </r>
  <r>
    <s v="ORD-10261"/>
    <x v="340"/>
    <s v="Richard Jackson"/>
    <x v="0"/>
    <x v="22"/>
    <x v="3"/>
    <n v="1"/>
    <n v="42.76"/>
    <n v="0.1"/>
    <x v="483"/>
    <n v="16.663999999999994"/>
    <n v="21.82"/>
    <n v="0.56698887849495905"/>
    <x v="2"/>
  </r>
  <r>
    <s v="ORD-10710"/>
    <x v="341"/>
    <s v="Joshua Lee"/>
    <x v="2"/>
    <x v="45"/>
    <x v="4"/>
    <n v="3"/>
    <n v="45.4"/>
    <n v="0"/>
    <x v="484"/>
    <n v="114.46999999999998"/>
    <n v="21.730000000000004"/>
    <n v="0.15954478707782677"/>
    <x v="1"/>
  </r>
  <r>
    <s v="ORD-10331"/>
    <x v="55"/>
    <s v="Dorothy Ramirez"/>
    <x v="0"/>
    <x v="44"/>
    <x v="4"/>
    <n v="3"/>
    <n v="37.75"/>
    <n v="0.2"/>
    <x v="485"/>
    <n v="69.039999999999992"/>
    <n v="21.560000000000002"/>
    <n v="0.23796909492273735"/>
    <x v="0"/>
  </r>
  <r>
    <s v="ORD-10079"/>
    <x v="342"/>
    <s v="Nancy Martinez"/>
    <x v="0"/>
    <x v="47"/>
    <x v="4"/>
    <n v="2"/>
    <n v="56.19"/>
    <n v="0.15"/>
    <x v="486"/>
    <n v="73.983000000000004"/>
    <n v="21.539999999999992"/>
    <n v="0.22549543041989881"/>
    <x v="0"/>
  </r>
  <r>
    <s v="ORD-10806"/>
    <x v="343"/>
    <s v="Thomas Taylor"/>
    <x v="2"/>
    <x v="27"/>
    <x v="0"/>
    <n v="1"/>
    <n v="42.04"/>
    <n v="0.05"/>
    <x v="487"/>
    <n v="18.518000000000001"/>
    <n v="21.42"/>
    <n v="0.53633131353598074"/>
    <x v="1"/>
  </r>
  <r>
    <s v="ORD-10431"/>
    <x v="282"/>
    <s v="Susan Thompson"/>
    <x v="4"/>
    <x v="7"/>
    <x v="0"/>
    <n v="1"/>
    <n v="62.84"/>
    <n v="0.2"/>
    <x v="488"/>
    <n v="28.852000000000004"/>
    <n v="21.42"/>
    <n v="0.42608211330362827"/>
    <x v="1"/>
  </r>
  <r>
    <s v="ORD-10170"/>
    <x v="41"/>
    <s v="Nancy Lopez"/>
    <x v="1"/>
    <x v="28"/>
    <x v="3"/>
    <n v="2"/>
    <n v="26.41"/>
    <n v="0.05"/>
    <x v="489"/>
    <n v="28.809000000000001"/>
    <n v="21.37"/>
    <n v="0.4258753661890432"/>
    <x v="1"/>
  </r>
  <r>
    <s v="ORD-10585"/>
    <x v="344"/>
    <s v="Paul Garcia"/>
    <x v="4"/>
    <x v="43"/>
    <x v="2"/>
    <n v="2"/>
    <n v="122.48"/>
    <n v="0.1"/>
    <x v="490"/>
    <n v="199.16399999999999"/>
    <n v="21.300000000000011"/>
    <n v="9.6614413237535432E-2"/>
    <x v="0"/>
  </r>
  <r>
    <s v="ORD-10226"/>
    <x v="227"/>
    <s v="Barbara Brown"/>
    <x v="3"/>
    <x v="14"/>
    <x v="3"/>
    <n v="2"/>
    <n v="28.43"/>
    <n v="0.15"/>
    <x v="491"/>
    <n v="27.121000000000002"/>
    <n v="21.21"/>
    <n v="0.4388487720096832"/>
    <x v="0"/>
  </r>
  <r>
    <s v="ORD-10539"/>
    <x v="314"/>
    <s v="Mark Robinson"/>
    <x v="2"/>
    <x v="1"/>
    <x v="0"/>
    <n v="1"/>
    <n v="46.03"/>
    <n v="0.1"/>
    <x v="492"/>
    <n v="20.236999999999998"/>
    <n v="21.19"/>
    <n v="0.51150216042677488"/>
    <x v="0"/>
  </r>
  <r>
    <s v="ORD-10578"/>
    <x v="181"/>
    <s v="Susan Jackson"/>
    <x v="1"/>
    <x v="8"/>
    <x v="2"/>
    <n v="1"/>
    <n v="94.84"/>
    <n v="0.05"/>
    <x v="493"/>
    <n v="68.957999999999998"/>
    <n v="21.14"/>
    <n v="0.23463339918755136"/>
    <x v="0"/>
  </r>
  <r>
    <s v="ORD-10642"/>
    <x v="345"/>
    <s v="Elizabeth Martin"/>
    <x v="4"/>
    <x v="37"/>
    <x v="2"/>
    <n v="1"/>
    <n v="102.96"/>
    <n v="0.1"/>
    <x v="494"/>
    <n v="71.543999999999983"/>
    <n v="21.120000000000005"/>
    <n v="0.22792022792022801"/>
    <x v="1"/>
  </r>
  <r>
    <s v="ORD-10768"/>
    <x v="346"/>
    <s v="Barbara Clark"/>
    <x v="0"/>
    <x v="37"/>
    <x v="2"/>
    <n v="1"/>
    <n v="126.15"/>
    <n v="0.1"/>
    <x v="495"/>
    <n v="92.454999999999998"/>
    <n v="21.08"/>
    <n v="0.18566961729863038"/>
    <x v="0"/>
  </r>
  <r>
    <s v="ORD-10174"/>
    <x v="347"/>
    <s v="William Williams"/>
    <x v="1"/>
    <x v="12"/>
    <x v="0"/>
    <n v="1"/>
    <n v="45.6"/>
    <n v="0"/>
    <x v="496"/>
    <n v="24.55"/>
    <n v="21.05"/>
    <n v="0.46162280701754388"/>
    <x v="0"/>
  </r>
  <r>
    <s v="ORD-10914"/>
    <x v="45"/>
    <s v="Donald Smith"/>
    <x v="1"/>
    <x v="8"/>
    <x v="2"/>
    <n v="1"/>
    <n v="100.49"/>
    <n v="0.05"/>
    <x v="497"/>
    <n v="74.485499999999988"/>
    <n v="20.980000000000004"/>
    <n v="0.21976525551115331"/>
    <x v="0"/>
  </r>
  <r>
    <s v="ORD-10097"/>
    <x v="348"/>
    <s v="Andrew Taylor"/>
    <x v="1"/>
    <x v="37"/>
    <x v="2"/>
    <n v="2"/>
    <n v="49.19"/>
    <n v="0"/>
    <x v="498"/>
    <n v="77.399999999999991"/>
    <n v="20.980000000000004"/>
    <n v="0.2132547265704412"/>
    <x v="1"/>
  </r>
  <r>
    <s v="ORD-10358"/>
    <x v="349"/>
    <s v="Sarah Anderson"/>
    <x v="0"/>
    <x v="0"/>
    <x v="0"/>
    <n v="2"/>
    <n v="25.33"/>
    <n v="0.1"/>
    <x v="499"/>
    <n v="24.623999999999995"/>
    <n v="20.97"/>
    <n v="0.45992893801816032"/>
    <x v="0"/>
  </r>
  <r>
    <s v="ORD-10862"/>
    <x v="225"/>
    <s v="Michael Martinez"/>
    <x v="3"/>
    <x v="13"/>
    <x v="2"/>
    <n v="1"/>
    <n v="147.01"/>
    <n v="0.15"/>
    <x v="500"/>
    <n v="103.99849999999998"/>
    <n v="20.960000000000008"/>
    <n v="0.16773568824849858"/>
    <x v="0"/>
  </r>
  <r>
    <s v="ORD-10009"/>
    <x v="350"/>
    <s v="Emily Ramirez"/>
    <x v="4"/>
    <x v="27"/>
    <x v="0"/>
    <n v="1"/>
    <n v="45.28"/>
    <n v="0"/>
    <x v="501"/>
    <n v="24.36"/>
    <n v="20.92"/>
    <n v="0.46201413427561838"/>
    <x v="0"/>
  </r>
  <r>
    <s v="ORD-10260"/>
    <x v="351"/>
    <s v="William Martin"/>
    <x v="1"/>
    <x v="43"/>
    <x v="2"/>
    <n v="2"/>
    <n v="52.07"/>
    <n v="0"/>
    <x v="502"/>
    <n v="83.28"/>
    <n v="20.86"/>
    <n v="0.20030727866333781"/>
    <x v="0"/>
  </r>
  <r>
    <s v="ORD-10815"/>
    <x v="352"/>
    <s v="Kenneth Moore"/>
    <x v="3"/>
    <x v="28"/>
    <x v="3"/>
    <n v="1"/>
    <n v="40.83"/>
    <n v="0.1"/>
    <x v="503"/>
    <n v="15.917000000000002"/>
    <n v="20.83"/>
    <n v="0.56684899447573944"/>
    <x v="0"/>
  </r>
  <r>
    <s v="ORD-10763"/>
    <x v="353"/>
    <s v="Nancy White"/>
    <x v="4"/>
    <x v="46"/>
    <x v="1"/>
    <n v="2"/>
    <n v="56.62"/>
    <n v="0.1"/>
    <x v="504"/>
    <n v="81.085999999999999"/>
    <n v="20.83"/>
    <n v="0.20438400251187253"/>
    <x v="1"/>
  </r>
  <r>
    <s v="ORD-10349"/>
    <x v="17"/>
    <s v="Donna Lewis"/>
    <x v="1"/>
    <x v="8"/>
    <x v="2"/>
    <n v="1"/>
    <n v="121.3"/>
    <n v="0"/>
    <x v="505"/>
    <n v="100.50999999999999"/>
    <n v="20.790000000000006"/>
    <n v="0.17139323990107178"/>
    <x v="1"/>
  </r>
  <r>
    <s v="ORD-10796"/>
    <x v="354"/>
    <s v="Lisa Johnson"/>
    <x v="2"/>
    <x v="19"/>
    <x v="1"/>
    <n v="2"/>
    <n v="46.25"/>
    <n v="0.1"/>
    <x v="506"/>
    <n v="62.47"/>
    <n v="20.78"/>
    <n v="0.24960960960960962"/>
    <x v="0"/>
  </r>
  <r>
    <s v="ORD-10892"/>
    <x v="355"/>
    <s v="Robert Taylor"/>
    <x v="4"/>
    <x v="21"/>
    <x v="0"/>
    <n v="1"/>
    <n v="57.81"/>
    <n v="0.05"/>
    <x v="507"/>
    <n v="34.149500000000003"/>
    <n v="20.769999999999996"/>
    <n v="0.37818989612068565"/>
    <x v="0"/>
  </r>
  <r>
    <s v="ORD-10343"/>
    <x v="45"/>
    <s v="Elizabeth Martinez"/>
    <x v="3"/>
    <x v="49"/>
    <x v="4"/>
    <n v="4"/>
    <n v="20.67"/>
    <n v="0.05"/>
    <x v="508"/>
    <n v="57.846000000000004"/>
    <n v="20.700000000000003"/>
    <n v="0.263539836528913"/>
    <x v="0"/>
  </r>
  <r>
    <s v="ORD-10098"/>
    <x v="356"/>
    <s v="Karen Garcia"/>
    <x v="4"/>
    <x v="0"/>
    <x v="0"/>
    <n v="2"/>
    <n v="30.53"/>
    <n v="0.1"/>
    <x v="509"/>
    <n v="34.283999999999999"/>
    <n v="20.67"/>
    <n v="0.37613276558576264"/>
    <x v="2"/>
  </r>
  <r>
    <s v="ORD-10417"/>
    <x v="292"/>
    <s v="Jessica Harris"/>
    <x v="2"/>
    <x v="43"/>
    <x v="2"/>
    <n v="2"/>
    <n v="84.53"/>
    <n v="0.05"/>
    <x v="510"/>
    <n v="139.95699999999999"/>
    <n v="20.650000000000006"/>
    <n v="0.12857471965730016"/>
    <x v="0"/>
  </r>
  <r>
    <s v="ORD-10665"/>
    <x v="357"/>
    <s v="Joseph Clark"/>
    <x v="1"/>
    <x v="22"/>
    <x v="3"/>
    <n v="1"/>
    <n v="42.6"/>
    <n v="0.1"/>
    <x v="511"/>
    <n v="17.760000000000005"/>
    <n v="20.58"/>
    <n v="0.53677621283255073"/>
    <x v="0"/>
  </r>
  <r>
    <s v="ORD-10965"/>
    <x v="358"/>
    <s v="Steven Lopez"/>
    <x v="4"/>
    <x v="36"/>
    <x v="3"/>
    <n v="1"/>
    <n v="38.26"/>
    <n v="0.05"/>
    <x v="512"/>
    <n v="15.807000000000002"/>
    <n v="20.54"/>
    <n v="0.56510853715574871"/>
    <x v="0"/>
  </r>
  <r>
    <s v="ORD-10369"/>
    <x v="359"/>
    <s v="Richard Davis"/>
    <x v="3"/>
    <x v="30"/>
    <x v="2"/>
    <n v="2"/>
    <n v="112.49"/>
    <n v="0"/>
    <x v="513"/>
    <n v="204.54"/>
    <n v="20.439999999999998"/>
    <n v="9.0852520224019906E-2"/>
    <x v="0"/>
  </r>
  <r>
    <s v="ORD-10189"/>
    <x v="360"/>
    <s v="Sarah Jackson"/>
    <x v="0"/>
    <x v="30"/>
    <x v="2"/>
    <n v="2"/>
    <n v="43.95"/>
    <n v="0"/>
    <x v="514"/>
    <n v="67.490000000000009"/>
    <n v="20.409999999999997"/>
    <n v="0.23219567690557447"/>
    <x v="0"/>
  </r>
  <r>
    <s v="ORD-10202"/>
    <x v="20"/>
    <s v="Dorothy Davis"/>
    <x v="2"/>
    <x v="16"/>
    <x v="1"/>
    <n v="1"/>
    <n v="78.67"/>
    <n v="0.1"/>
    <x v="515"/>
    <n v="50.393000000000001"/>
    <n v="20.409999999999997"/>
    <n v="0.28826462155558374"/>
    <x v="0"/>
  </r>
  <r>
    <s v="ORD-10399"/>
    <x v="126"/>
    <s v="Carol Ramirez"/>
    <x v="2"/>
    <x v="23"/>
    <x v="3"/>
    <n v="1"/>
    <n v="38.82"/>
    <n v="0"/>
    <x v="516"/>
    <n v="18.43"/>
    <n v="20.39"/>
    <n v="0.52524471921689853"/>
    <x v="2"/>
  </r>
  <r>
    <s v="ORD-10400"/>
    <x v="223"/>
    <s v="Donald Perez"/>
    <x v="3"/>
    <x v="9"/>
    <x v="2"/>
    <n v="1"/>
    <n v="90.33"/>
    <n v="0"/>
    <x v="517"/>
    <n v="70.02"/>
    <n v="20.310000000000002"/>
    <n v="0.22484224510129527"/>
    <x v="1"/>
  </r>
  <r>
    <s v="ORD-10899"/>
    <x v="156"/>
    <s v="Jennifer Davis"/>
    <x v="3"/>
    <x v="48"/>
    <x v="1"/>
    <n v="2"/>
    <n v="39.549999999999997"/>
    <n v="0.05"/>
    <x v="518"/>
    <n v="54.854999999999997"/>
    <n v="20.29"/>
    <n v="0.27001131146450197"/>
    <x v="0"/>
  </r>
  <r>
    <s v="ORD-10671"/>
    <x v="4"/>
    <s v="Michelle Thompson"/>
    <x v="2"/>
    <x v="2"/>
    <x v="0"/>
    <n v="2"/>
    <n v="44.37"/>
    <n v="0.25"/>
    <x v="519"/>
    <n v="46.274999999999991"/>
    <n v="20.28"/>
    <n v="0.30471038990308774"/>
    <x v="0"/>
  </r>
  <r>
    <s v="ORD-10515"/>
    <x v="361"/>
    <s v="Joshua Jackson"/>
    <x v="2"/>
    <x v="28"/>
    <x v="3"/>
    <n v="1"/>
    <n v="44.94"/>
    <n v="0"/>
    <x v="520"/>
    <n v="24.72"/>
    <n v="20.22"/>
    <n v="0.4499332443257677"/>
    <x v="0"/>
  </r>
  <r>
    <s v="ORD-10061"/>
    <x v="83"/>
    <s v="Carol Lopez"/>
    <x v="3"/>
    <x v="21"/>
    <x v="0"/>
    <n v="1"/>
    <n v="43.57"/>
    <n v="0"/>
    <x v="521"/>
    <n v="23.35"/>
    <n v="20.22"/>
    <n v="0.46408078953408305"/>
    <x v="0"/>
  </r>
  <r>
    <s v="ORD-10746"/>
    <x v="362"/>
    <s v="Lisa Smith"/>
    <x v="4"/>
    <x v="43"/>
    <x v="2"/>
    <n v="2"/>
    <n v="128.4"/>
    <n v="0.1"/>
    <x v="522"/>
    <n v="210.94"/>
    <n v="20.180000000000007"/>
    <n v="8.7313949463482199E-2"/>
    <x v="0"/>
  </r>
  <r>
    <s v="ORD-10898"/>
    <x v="114"/>
    <s v="Anthony Miller"/>
    <x v="2"/>
    <x v="43"/>
    <x v="2"/>
    <n v="1"/>
    <n v="146.01"/>
    <n v="0"/>
    <x v="523"/>
    <n v="125.86999999999999"/>
    <n v="20.14"/>
    <n v="0.13793575782480652"/>
    <x v="0"/>
  </r>
  <r>
    <s v="ORD-10995"/>
    <x v="282"/>
    <s v="Joshua Brown"/>
    <x v="3"/>
    <x v="0"/>
    <x v="0"/>
    <n v="1"/>
    <n v="55.97"/>
    <n v="0.15"/>
    <x v="524"/>
    <n v="27.444500000000001"/>
    <n v="20.13"/>
    <n v="0.42312583421791083"/>
    <x v="0"/>
  </r>
  <r>
    <s v="ORD-10175"/>
    <x v="363"/>
    <s v="Richard Brown"/>
    <x v="4"/>
    <x v="22"/>
    <x v="3"/>
    <n v="2"/>
    <n v="25.7"/>
    <n v="0.05"/>
    <x v="525"/>
    <n v="28.709999999999997"/>
    <n v="20.12"/>
    <n v="0.41204177759574034"/>
    <x v="2"/>
  </r>
  <r>
    <s v="ORD-10603"/>
    <x v="136"/>
    <s v="Ashley Johnson"/>
    <x v="2"/>
    <x v="31"/>
    <x v="3"/>
    <n v="1"/>
    <n v="38.93"/>
    <n v="0.15"/>
    <x v="526"/>
    <n v="12.980499999999999"/>
    <n v="20.11"/>
    <n v="0.6077272933319231"/>
    <x v="0"/>
  </r>
  <r>
    <s v="ORD-10307"/>
    <x v="269"/>
    <s v="Kenneth Johnson"/>
    <x v="4"/>
    <x v="19"/>
    <x v="1"/>
    <n v="1"/>
    <n v="65.95"/>
    <n v="0.1"/>
    <x v="527"/>
    <n v="39.245000000000005"/>
    <n v="20.11"/>
    <n v="0.33880886193244036"/>
    <x v="0"/>
  </r>
  <r>
    <s v="ORD-10881"/>
    <x v="342"/>
    <s v="Sarah Taylor"/>
    <x v="3"/>
    <x v="23"/>
    <x v="3"/>
    <n v="3"/>
    <n v="12.27"/>
    <n v="0"/>
    <x v="528"/>
    <n v="16.770000000000003"/>
    <n v="20.04"/>
    <n v="0.54441727791361039"/>
    <x v="0"/>
  </r>
  <r>
    <s v="ORD-10320"/>
    <x v="36"/>
    <s v="Daniel Jones"/>
    <x v="4"/>
    <x v="25"/>
    <x v="1"/>
    <n v="1"/>
    <n v="76.88"/>
    <n v="0.1"/>
    <x v="529"/>
    <n v="49.171999999999997"/>
    <n v="20.019999999999996"/>
    <n v="0.28933980807029713"/>
    <x v="1"/>
  </r>
  <r>
    <s v="ORD-10132"/>
    <x v="172"/>
    <s v="Betty Lee"/>
    <x v="2"/>
    <x v="36"/>
    <x v="3"/>
    <n v="1"/>
    <n v="38.64"/>
    <n v="0.1"/>
    <x v="530"/>
    <n v="14.846000000000004"/>
    <n v="19.93"/>
    <n v="0.57309638831377951"/>
    <x v="2"/>
  </r>
  <r>
    <s v="ORD-10866"/>
    <x v="95"/>
    <s v="Karen Martinez"/>
    <x v="2"/>
    <x v="10"/>
    <x v="1"/>
    <n v="1"/>
    <n v="51.75"/>
    <n v="0"/>
    <x v="531"/>
    <n v="31.82"/>
    <n v="19.93"/>
    <n v="0.38512077294685992"/>
    <x v="0"/>
  </r>
  <r>
    <s v="ORD-10027"/>
    <x v="364"/>
    <s v="Carol Davis"/>
    <x v="2"/>
    <x v="22"/>
    <x v="3"/>
    <n v="1"/>
    <n v="46.94"/>
    <n v="0.25"/>
    <x v="532"/>
    <n v="15.294999999999998"/>
    <n v="19.91"/>
    <n v="0.56554466695071726"/>
    <x v="1"/>
  </r>
  <r>
    <s v="ORD-10346"/>
    <x v="365"/>
    <s v="Nancy Thompson"/>
    <x v="4"/>
    <x v="18"/>
    <x v="3"/>
    <n v="1"/>
    <n v="41.2"/>
    <n v="0.15"/>
    <x v="533"/>
    <n v="15.170000000000002"/>
    <n v="19.850000000000001"/>
    <n v="0.56681896059394632"/>
    <x v="0"/>
  </r>
  <r>
    <s v="ORD-10715"/>
    <x v="366"/>
    <s v="Lisa Smith"/>
    <x v="4"/>
    <x v="43"/>
    <x v="2"/>
    <n v="2"/>
    <n v="139.47"/>
    <n v="0.15"/>
    <x v="534"/>
    <n v="217.32899999999998"/>
    <n v="19.77000000000001"/>
    <n v="8.3382890691230296E-2"/>
    <x v="0"/>
  </r>
  <r>
    <s v="ORD-10726"/>
    <x v="352"/>
    <s v="Michael Smith"/>
    <x v="0"/>
    <x v="23"/>
    <x v="3"/>
    <n v="2"/>
    <n v="23.05"/>
    <n v="0"/>
    <x v="535"/>
    <n v="26.43"/>
    <n v="19.670000000000002"/>
    <n v="0.42668112798264646"/>
    <x v="2"/>
  </r>
  <r>
    <s v="ORD-10975"/>
    <x v="196"/>
    <s v="Donald Gonzalez"/>
    <x v="0"/>
    <x v="48"/>
    <x v="1"/>
    <n v="1"/>
    <n v="56.6"/>
    <n v="0.1"/>
    <x v="536"/>
    <n v="31.31"/>
    <n v="19.63"/>
    <n v="0.38535531998429523"/>
    <x v="0"/>
  </r>
  <r>
    <s v="ORD-10442"/>
    <x v="367"/>
    <s v="Robert Brown"/>
    <x v="0"/>
    <x v="26"/>
    <x v="1"/>
    <n v="3"/>
    <n v="22.26"/>
    <n v="0.05"/>
    <x v="537"/>
    <n v="43.811000000000007"/>
    <n v="19.629999999999995"/>
    <n v="0.30942135212244437"/>
    <x v="1"/>
  </r>
  <r>
    <s v="ORD-10927"/>
    <x v="332"/>
    <s v="Thomas Davis"/>
    <x v="4"/>
    <x v="46"/>
    <x v="1"/>
    <n v="5"/>
    <n v="16.48"/>
    <n v="0.05"/>
    <x v="538"/>
    <n v="58.67"/>
    <n v="19.61"/>
    <n v="0.25051098620337248"/>
    <x v="1"/>
  </r>
  <r>
    <s v="ORD-10469"/>
    <x v="2"/>
    <s v="Thomas Gonzalez"/>
    <x v="3"/>
    <x v="31"/>
    <x v="3"/>
    <n v="1"/>
    <n v="43.54"/>
    <n v="0"/>
    <x v="539"/>
    <n v="24.02"/>
    <n v="19.52"/>
    <n v="0.44832338079926504"/>
    <x v="0"/>
  </r>
  <r>
    <s v="ORD-10002"/>
    <x v="341"/>
    <s v="Linda Lewis"/>
    <x v="0"/>
    <x v="22"/>
    <x v="3"/>
    <n v="1"/>
    <n v="30.64"/>
    <n v="0"/>
    <x v="540"/>
    <n v="11.16"/>
    <n v="19.48"/>
    <n v="0.63577023498694518"/>
    <x v="1"/>
  </r>
  <r>
    <s v="ORD-10913"/>
    <x v="271"/>
    <s v="Nancy Miller"/>
    <x v="0"/>
    <x v="0"/>
    <x v="0"/>
    <n v="1"/>
    <n v="59.95"/>
    <n v="0"/>
    <x v="541"/>
    <n v="40.540000000000006"/>
    <n v="19.409999999999997"/>
    <n v="0.32376980817347784"/>
    <x v="0"/>
  </r>
  <r>
    <s v="ORD-10420"/>
    <x v="178"/>
    <s v="Joseph Clark"/>
    <x v="1"/>
    <x v="32"/>
    <x v="3"/>
    <n v="1"/>
    <n v="33.229999999999997"/>
    <n v="0"/>
    <x v="542"/>
    <n v="13.829999999999998"/>
    <n v="19.399999999999999"/>
    <n v="0.58380981041227809"/>
    <x v="0"/>
  </r>
  <r>
    <s v="ORD-10673"/>
    <x v="368"/>
    <s v="Lisa Ramirez"/>
    <x v="1"/>
    <x v="0"/>
    <x v="0"/>
    <n v="2"/>
    <n v="19.690000000000001"/>
    <n v="0.05"/>
    <x v="543"/>
    <n v="18.011000000000003"/>
    <n v="19.399999999999999"/>
    <n v="0.51856405869931299"/>
    <x v="0"/>
  </r>
  <r>
    <s v="ORD-10697"/>
    <x v="369"/>
    <s v="Andrew Lewis"/>
    <x v="2"/>
    <x v="45"/>
    <x v="4"/>
    <n v="2"/>
    <n v="49.98"/>
    <n v="0.1"/>
    <x v="544"/>
    <n v="70.603999999999999"/>
    <n v="19.36"/>
    <n v="0.21519718998710596"/>
    <x v="1"/>
  </r>
  <r>
    <s v="ORD-10099"/>
    <x v="258"/>
    <s v="Ashley Davis"/>
    <x v="4"/>
    <x v="35"/>
    <x v="1"/>
    <n v="2"/>
    <n v="28.99"/>
    <n v="0.05"/>
    <x v="545"/>
    <n v="35.760999999999996"/>
    <n v="19.32"/>
    <n v="0.35075615911112729"/>
    <x v="0"/>
  </r>
  <r>
    <s v="ORD-10928"/>
    <x v="370"/>
    <s v="William Perez"/>
    <x v="0"/>
    <x v="36"/>
    <x v="3"/>
    <n v="1"/>
    <n v="46.85"/>
    <n v="0"/>
    <x v="546"/>
    <n v="27.540000000000003"/>
    <n v="19.309999999999999"/>
    <n v="0.41216648879402346"/>
    <x v="2"/>
  </r>
  <r>
    <s v="ORD-10089"/>
    <x v="371"/>
    <s v="Kimberly Martinez"/>
    <x v="4"/>
    <x v="6"/>
    <x v="0"/>
    <n v="1"/>
    <n v="42.57"/>
    <n v="0.1"/>
    <x v="547"/>
    <n v="19.003000000000004"/>
    <n v="19.309999999999999"/>
    <n v="0.50400647299872103"/>
    <x v="0"/>
  </r>
  <r>
    <s v="ORD-10393"/>
    <x v="225"/>
    <s v="Carol Smith"/>
    <x v="0"/>
    <x v="17"/>
    <x v="1"/>
    <n v="2"/>
    <n v="48.89"/>
    <n v="0.15"/>
    <x v="548"/>
    <n v="63.813000000000002"/>
    <n v="19.299999999999997"/>
    <n v="0.23221397374658595"/>
    <x v="2"/>
  </r>
  <r>
    <s v="ORD-10590"/>
    <x v="42"/>
    <s v="Susan Smith"/>
    <x v="4"/>
    <x v="24"/>
    <x v="3"/>
    <n v="1"/>
    <n v="41.62"/>
    <n v="0.1"/>
    <x v="549"/>
    <n v="18.177999999999997"/>
    <n v="19.28"/>
    <n v="0.51470980831865032"/>
    <x v="0"/>
  </r>
  <r>
    <s v="ORD-10822"/>
    <x v="60"/>
    <s v="Dorothy Hernandez"/>
    <x v="2"/>
    <x v="1"/>
    <x v="0"/>
    <n v="2"/>
    <n v="20.9"/>
    <n v="0.05"/>
    <x v="550"/>
    <n v="20.479999999999993"/>
    <n v="19.23"/>
    <n v="0.48426089146310763"/>
    <x v="1"/>
  </r>
  <r>
    <s v="ORD-10074"/>
    <x v="372"/>
    <s v="Emily Smith"/>
    <x v="4"/>
    <x v="39"/>
    <x v="4"/>
    <n v="2"/>
    <n v="36.630000000000003"/>
    <n v="0.05"/>
    <x v="551"/>
    <n v="50.437000000000012"/>
    <n v="19.159999999999997"/>
    <n v="0.27529922266764362"/>
    <x v="0"/>
  </r>
  <r>
    <s v="ORD-10473"/>
    <x v="263"/>
    <s v="Betty Davis"/>
    <x v="4"/>
    <x v="4"/>
    <x v="1"/>
    <n v="1"/>
    <n v="55.66"/>
    <n v="0.1"/>
    <x v="552"/>
    <n v="31.043999999999993"/>
    <n v="19.05"/>
    <n v="0.38028506407953055"/>
    <x v="1"/>
  </r>
  <r>
    <s v="ORD-10200"/>
    <x v="67"/>
    <s v="Michelle Ramirez"/>
    <x v="0"/>
    <x v="44"/>
    <x v="4"/>
    <n v="2"/>
    <n v="37.79"/>
    <n v="0.05"/>
    <x v="553"/>
    <n v="52.841000000000001"/>
    <n v="18.96"/>
    <n v="0.26406317460759599"/>
    <x v="0"/>
  </r>
  <r>
    <s v="ORD-10712"/>
    <x v="333"/>
    <s v="Karen Taylor"/>
    <x v="0"/>
    <x v="47"/>
    <x v="4"/>
    <n v="2"/>
    <n v="37.979999999999997"/>
    <n v="0.1"/>
    <x v="379"/>
    <n v="49.423999999999992"/>
    <n v="18.939999999999998"/>
    <n v="0.2770463986893687"/>
    <x v="0"/>
  </r>
  <r>
    <s v="ORD-10736"/>
    <x v="164"/>
    <s v="James Jackson"/>
    <x v="3"/>
    <x v="29"/>
    <x v="2"/>
    <n v="1"/>
    <n v="147.55000000000001"/>
    <n v="0"/>
    <x v="554"/>
    <n v="128.78"/>
    <n v="18.77000000000001"/>
    <n v="0.12721111487631317"/>
    <x v="0"/>
  </r>
  <r>
    <s v="ORD-10600"/>
    <x v="215"/>
    <s v="Michelle Perez"/>
    <x v="1"/>
    <x v="12"/>
    <x v="0"/>
    <n v="1"/>
    <n v="41.16"/>
    <n v="0"/>
    <x v="555"/>
    <n v="22.399999999999995"/>
    <n v="18.760000000000002"/>
    <n v="0.45578231292517013"/>
    <x v="0"/>
  </r>
  <r>
    <s v="ORD-10708"/>
    <x v="373"/>
    <s v="Paul Taylor"/>
    <x v="0"/>
    <x v="12"/>
    <x v="0"/>
    <n v="1"/>
    <n v="58.99"/>
    <n v="0.15"/>
    <x v="556"/>
    <n v="31.381499999999999"/>
    <n v="18.760000000000002"/>
    <n v="0.37414118045930023"/>
    <x v="1"/>
  </r>
  <r>
    <s v="ORD-10373"/>
    <x v="158"/>
    <s v="Daniel Ramirez"/>
    <x v="2"/>
    <x v="45"/>
    <x v="4"/>
    <n v="4"/>
    <n v="14.87"/>
    <n v="0"/>
    <x v="557"/>
    <n v="40.739999999999995"/>
    <n v="18.740000000000002"/>
    <n v="0.31506388702084737"/>
    <x v="0"/>
  </r>
  <r>
    <s v="ORD-10353"/>
    <x v="374"/>
    <s v="Ashley Wilson"/>
    <x v="3"/>
    <x v="8"/>
    <x v="2"/>
    <n v="1"/>
    <n v="117.26"/>
    <n v="0.15"/>
    <x v="558"/>
    <n v="80.971000000000004"/>
    <n v="18.700000000000003"/>
    <n v="0.18761726078799251"/>
    <x v="1"/>
  </r>
  <r>
    <s v="ORD-10134"/>
    <x v="251"/>
    <s v="Richard Anderson"/>
    <x v="2"/>
    <x v="47"/>
    <x v="4"/>
    <n v="3"/>
    <n v="19.63"/>
    <n v="0.05"/>
    <x v="559"/>
    <n v="37.455500000000001"/>
    <n v="18.490000000000002"/>
    <n v="0.33050021896309806"/>
    <x v="2"/>
  </r>
  <r>
    <s v="ORD-10485"/>
    <x v="375"/>
    <s v="Donald Martinez"/>
    <x v="4"/>
    <x v="42"/>
    <x v="4"/>
    <n v="2"/>
    <n v="37.36"/>
    <n v="0.1"/>
    <x v="560"/>
    <n v="48.75800000000001"/>
    <n v="18.489999999999995"/>
    <n v="0.27495241494170819"/>
    <x v="2"/>
  </r>
  <r>
    <s v="ORD-10435"/>
    <x v="331"/>
    <s v="Jennifer Brown"/>
    <x v="4"/>
    <x v="28"/>
    <x v="3"/>
    <n v="2"/>
    <n v="15.43"/>
    <n v="0.05"/>
    <x v="561"/>
    <n v="10.917000000000002"/>
    <n v="18.399999999999999"/>
    <n v="0.62762219872428959"/>
    <x v="0"/>
  </r>
  <r>
    <s v="ORD-10272"/>
    <x v="119"/>
    <s v="Donald Taylor"/>
    <x v="1"/>
    <x v="14"/>
    <x v="3"/>
    <n v="1"/>
    <n v="45.34"/>
    <n v="0.1"/>
    <x v="562"/>
    <n v="22.406000000000006"/>
    <n v="18.399999999999999"/>
    <n v="0.45091408126255933"/>
    <x v="0"/>
  </r>
  <r>
    <s v="ORD-10073"/>
    <x v="166"/>
    <s v="Susan Jackson"/>
    <x v="4"/>
    <x v="16"/>
    <x v="1"/>
    <n v="2"/>
    <n v="31.46"/>
    <n v="0.05"/>
    <x v="563"/>
    <n v="41.444000000000003"/>
    <n v="18.329999999999998"/>
    <n v="0.3066550674206176"/>
    <x v="0"/>
  </r>
  <r>
    <s v="ORD-10371"/>
    <x v="376"/>
    <s v="Sandra Lee"/>
    <x v="2"/>
    <x v="18"/>
    <x v="3"/>
    <n v="1"/>
    <n v="49.72"/>
    <n v="0.1"/>
    <x v="564"/>
    <n v="26.477999999999998"/>
    <n v="18.27"/>
    <n v="0.40828640386162512"/>
    <x v="0"/>
  </r>
  <r>
    <s v="ORD-10680"/>
    <x v="377"/>
    <s v="Dorothy Martin"/>
    <x v="0"/>
    <x v="31"/>
    <x v="3"/>
    <n v="1"/>
    <n v="47.72"/>
    <n v="0.15"/>
    <x v="565"/>
    <n v="22.301999999999996"/>
    <n v="18.260000000000002"/>
    <n v="0.45017504067846759"/>
    <x v="0"/>
  </r>
  <r>
    <s v="ORD-10727"/>
    <x v="1"/>
    <s v="Joshua Lee"/>
    <x v="4"/>
    <x v="34"/>
    <x v="4"/>
    <n v="2"/>
    <n v="34.270000000000003"/>
    <n v="0"/>
    <x v="566"/>
    <n v="50.300000000000011"/>
    <n v="18.239999999999995"/>
    <n v="0.26612197257076148"/>
    <x v="2"/>
  </r>
  <r>
    <s v="ORD-10623"/>
    <x v="30"/>
    <s v="Emily Martin"/>
    <x v="3"/>
    <x v="23"/>
    <x v="3"/>
    <n v="1"/>
    <n v="34.71"/>
    <n v="0.1"/>
    <x v="567"/>
    <n v="13.019000000000002"/>
    <n v="18.22"/>
    <n v="0.58324530234642591"/>
    <x v="1"/>
  </r>
  <r>
    <s v="ORD-10675"/>
    <x v="260"/>
    <s v="Dorothy Garcia"/>
    <x v="1"/>
    <x v="10"/>
    <x v="1"/>
    <n v="2"/>
    <n v="34.14"/>
    <n v="0.1"/>
    <x v="568"/>
    <n v="43.302"/>
    <n v="18.149999999999999"/>
    <n v="0.29535247022066002"/>
    <x v="0"/>
  </r>
  <r>
    <s v="ORD-10521"/>
    <x v="191"/>
    <s v="Robert Brown"/>
    <x v="4"/>
    <x v="8"/>
    <x v="2"/>
    <n v="1"/>
    <n v="131.80000000000001"/>
    <n v="0.25"/>
    <x v="569"/>
    <n v="80.77000000000001"/>
    <n v="18.079999999999998"/>
    <n v="0.18290338897319167"/>
    <x v="0"/>
  </r>
  <r>
    <s v="ORD-10257"/>
    <x v="378"/>
    <s v="Donald Lewis"/>
    <x v="4"/>
    <x v="39"/>
    <x v="4"/>
    <n v="2"/>
    <n v="57.46"/>
    <n v="0"/>
    <x v="570"/>
    <n v="96.84"/>
    <n v="18.079999999999998"/>
    <n v="0.15732683605986772"/>
    <x v="1"/>
  </r>
  <r>
    <s v="ORD-10224"/>
    <x v="379"/>
    <s v="Joseph Thompson"/>
    <x v="4"/>
    <x v="9"/>
    <x v="2"/>
    <n v="1"/>
    <n v="132.55000000000001"/>
    <n v="0.05"/>
    <x v="571"/>
    <n v="107.89250000000001"/>
    <n v="18.03"/>
    <n v="0.14318330719291628"/>
    <x v="0"/>
  </r>
  <r>
    <s v="ORD-10163"/>
    <x v="211"/>
    <s v="Elizabeth Williams"/>
    <x v="2"/>
    <x v="23"/>
    <x v="3"/>
    <n v="1"/>
    <n v="48.84"/>
    <n v="0.25"/>
    <x v="572"/>
    <n v="18.630000000000003"/>
    <n v="18"/>
    <n v="0.49140049140049136"/>
    <x v="0"/>
  </r>
  <r>
    <s v="ORD-10421"/>
    <x v="380"/>
    <s v="Daniel Garcia"/>
    <x v="3"/>
    <x v="49"/>
    <x v="4"/>
    <n v="1"/>
    <n v="57.96"/>
    <n v="0"/>
    <x v="573"/>
    <n v="40"/>
    <n v="17.96"/>
    <n v="0.30986887508626643"/>
    <x v="1"/>
  </r>
  <r>
    <s v="ORD-10364"/>
    <x v="381"/>
    <s v="Emily Lopez"/>
    <x v="3"/>
    <x v="31"/>
    <x v="3"/>
    <n v="1"/>
    <n v="43.25"/>
    <n v="0.05"/>
    <x v="574"/>
    <n v="23.217499999999998"/>
    <n v="17.87"/>
    <n v="0.43492546394888959"/>
    <x v="1"/>
  </r>
  <r>
    <s v="ORD-10051"/>
    <x v="243"/>
    <s v="Elizabeth Martinez"/>
    <x v="4"/>
    <x v="46"/>
    <x v="1"/>
    <n v="1"/>
    <n v="71.92"/>
    <n v="0.05"/>
    <x v="575"/>
    <n v="50.463999999999999"/>
    <n v="17.86"/>
    <n v="0.26140155728587317"/>
    <x v="1"/>
  </r>
  <r>
    <s v="ORD-10535"/>
    <x v="250"/>
    <s v="Lisa Perez"/>
    <x v="3"/>
    <x v="39"/>
    <x v="4"/>
    <n v="3"/>
    <n v="32.76"/>
    <n v="0"/>
    <x v="285"/>
    <n v="80.430000000000007"/>
    <n v="17.849999999999994"/>
    <n v="0.18162393162393156"/>
    <x v="0"/>
  </r>
  <r>
    <s v="ORD-10836"/>
    <x v="362"/>
    <s v="Sarah Clark"/>
    <x v="4"/>
    <x v="25"/>
    <x v="1"/>
    <n v="2"/>
    <n v="36.21"/>
    <n v="0"/>
    <x v="576"/>
    <n v="54.650000000000006"/>
    <n v="17.769999999999996"/>
    <n v="0.24537420602043628"/>
    <x v="0"/>
  </r>
  <r>
    <s v="ORD-10845"/>
    <x v="382"/>
    <s v="Kenneth Williams"/>
    <x v="1"/>
    <x v="31"/>
    <x v="3"/>
    <n v="1"/>
    <n v="45.25"/>
    <n v="0.1"/>
    <x v="577"/>
    <n v="22.965"/>
    <n v="17.760000000000002"/>
    <n v="0.43609576427255986"/>
    <x v="1"/>
  </r>
  <r>
    <s v="ORD-10082"/>
    <x v="383"/>
    <s v="Steven Harris"/>
    <x v="0"/>
    <x v="38"/>
    <x v="0"/>
    <n v="2"/>
    <n v="26.99"/>
    <n v="0"/>
    <x v="578"/>
    <n v="36.229999999999997"/>
    <n v="17.75"/>
    <n v="0.32882549092256391"/>
    <x v="0"/>
  </r>
  <r>
    <s v="ORD-10936"/>
    <x v="384"/>
    <s v="Richard Sanchez"/>
    <x v="1"/>
    <x v="43"/>
    <x v="2"/>
    <n v="2"/>
    <n v="106.47"/>
    <n v="0.1"/>
    <x v="579"/>
    <n v="173.90599999999998"/>
    <n v="17.740000000000009"/>
    <n v="9.2566502822913135E-2"/>
    <x v="0"/>
  </r>
  <r>
    <s v="ORD-10264"/>
    <x v="385"/>
    <s v="Susan Brown"/>
    <x v="2"/>
    <x v="49"/>
    <x v="4"/>
    <n v="1"/>
    <n v="57.89"/>
    <n v="0.05"/>
    <x v="580"/>
    <n v="37.265500000000003"/>
    <n v="17.729999999999997"/>
    <n v="0.32239001372839593"/>
    <x v="0"/>
  </r>
  <r>
    <s v="ORD-10439"/>
    <x v="25"/>
    <s v="Elizabeth Gonzalez"/>
    <x v="0"/>
    <x v="4"/>
    <x v="1"/>
    <n v="2"/>
    <n v="38.81"/>
    <n v="0.15"/>
    <x v="581"/>
    <n v="48.287000000000006"/>
    <n v="17.689999999999998"/>
    <n v="0.26812374009124385"/>
    <x v="1"/>
  </r>
  <r>
    <s v="ORD-10580"/>
    <x v="281"/>
    <s v="Andrew Hernandez"/>
    <x v="2"/>
    <x v="39"/>
    <x v="4"/>
    <n v="2"/>
    <n v="52.8"/>
    <n v="0.1"/>
    <x v="582"/>
    <n v="77.38"/>
    <n v="17.659999999999997"/>
    <n v="0.1858164983164983"/>
    <x v="1"/>
  </r>
  <r>
    <s v="ORD-10777"/>
    <x v="386"/>
    <s v="James Moore"/>
    <x v="0"/>
    <x v="7"/>
    <x v="0"/>
    <n v="1"/>
    <n v="41.12"/>
    <n v="0.15"/>
    <x v="583"/>
    <n v="17.351999999999997"/>
    <n v="17.600000000000001"/>
    <n v="0.50354772259098202"/>
    <x v="1"/>
  </r>
  <r>
    <s v="ORD-10919"/>
    <x v="96"/>
    <s v="Lisa Clark"/>
    <x v="4"/>
    <x v="46"/>
    <x v="1"/>
    <n v="1"/>
    <n v="75.89"/>
    <n v="0"/>
    <x v="584"/>
    <n v="58.32"/>
    <n v="17.57"/>
    <n v="0.23151930425616024"/>
    <x v="1"/>
  </r>
  <r>
    <s v="ORD-10275"/>
    <x v="253"/>
    <s v="Linda Garcia"/>
    <x v="2"/>
    <x v="32"/>
    <x v="3"/>
    <n v="1"/>
    <n v="28.67"/>
    <n v="0"/>
    <x v="585"/>
    <n v="11.120000000000001"/>
    <n v="17.55"/>
    <n v="0.61213812347401464"/>
    <x v="1"/>
  </r>
  <r>
    <s v="ORD-10329"/>
    <x v="337"/>
    <s v="Thomas Harris"/>
    <x v="1"/>
    <x v="32"/>
    <x v="3"/>
    <n v="1"/>
    <n v="33.659999999999997"/>
    <n v="0"/>
    <x v="586"/>
    <n v="16.119999999999997"/>
    <n v="17.54"/>
    <n v="0.52109328579916814"/>
    <x v="0"/>
  </r>
  <r>
    <s v="ORD-10622"/>
    <x v="127"/>
    <s v="Elizabeth Gonzalez"/>
    <x v="1"/>
    <x v="14"/>
    <x v="3"/>
    <n v="1"/>
    <n v="40.68"/>
    <n v="0"/>
    <x v="587"/>
    <n v="23.14"/>
    <n v="17.54"/>
    <n v="0.43117010816125856"/>
    <x v="0"/>
  </r>
  <r>
    <s v="ORD-10203"/>
    <x v="387"/>
    <s v="Barbara Lopez"/>
    <x v="1"/>
    <x v="29"/>
    <x v="2"/>
    <n v="2"/>
    <n v="71.650000000000006"/>
    <n v="0"/>
    <x v="588"/>
    <n v="125.76000000000002"/>
    <n v="17.539999999999992"/>
    <n v="0.1224005582693649"/>
    <x v="1"/>
  </r>
  <r>
    <s v="ORD-10114"/>
    <x v="99"/>
    <s v="Susan Clark"/>
    <x v="4"/>
    <x v="38"/>
    <x v="0"/>
    <n v="1"/>
    <n v="55.21"/>
    <n v="0.05"/>
    <x v="589"/>
    <n v="34.919499999999999"/>
    <n v="17.53"/>
    <n v="0.33422625573170384"/>
    <x v="0"/>
  </r>
  <r>
    <s v="ORD-10615"/>
    <x v="388"/>
    <s v="Thomas Moore"/>
    <x v="3"/>
    <x v="4"/>
    <x v="1"/>
    <n v="1"/>
    <n v="58.31"/>
    <n v="0.1"/>
    <x v="590"/>
    <n v="34.989000000000004"/>
    <n v="17.489999999999995"/>
    <n v="0.33327616760990103"/>
    <x v="0"/>
  </r>
  <r>
    <s v="ORD-10486"/>
    <x v="248"/>
    <s v="Nancy Williams"/>
    <x v="0"/>
    <x v="45"/>
    <x v="4"/>
    <n v="2"/>
    <n v="36.1"/>
    <n v="0.05"/>
    <x v="591"/>
    <n v="51.100000000000009"/>
    <n v="17.489999999999995"/>
    <n v="0.25499343927686241"/>
    <x v="1"/>
  </r>
  <r>
    <s v="ORD-10241"/>
    <x v="208"/>
    <s v="Donna Davis"/>
    <x v="4"/>
    <x v="34"/>
    <x v="4"/>
    <n v="1"/>
    <n v="53.1"/>
    <n v="0"/>
    <x v="592"/>
    <n v="35.71"/>
    <n v="17.39"/>
    <n v="0.32749529190207155"/>
    <x v="0"/>
  </r>
  <r>
    <s v="ORD-10963"/>
    <x v="61"/>
    <s v="Mark Harris"/>
    <x v="3"/>
    <x v="13"/>
    <x v="2"/>
    <n v="1"/>
    <n v="96.27"/>
    <n v="0.15"/>
    <x v="593"/>
    <n v="64.479500000000002"/>
    <n v="17.349999999999994"/>
    <n v="0.21202622526106105"/>
    <x v="1"/>
  </r>
  <r>
    <s v="ORD-10418"/>
    <x v="173"/>
    <s v="Andrew Thompson"/>
    <x v="4"/>
    <x v="22"/>
    <x v="3"/>
    <n v="1"/>
    <n v="35.85"/>
    <n v="0.15"/>
    <x v="594"/>
    <n v="13.192499999999999"/>
    <n v="17.28"/>
    <n v="0.56706866847157278"/>
    <x v="0"/>
  </r>
  <r>
    <s v="ORD-10044"/>
    <x v="189"/>
    <s v="Michael Perez"/>
    <x v="4"/>
    <x v="42"/>
    <x v="4"/>
    <n v="1"/>
    <n v="52.02"/>
    <n v="0"/>
    <x v="595"/>
    <n v="34.770000000000003"/>
    <n v="17.25"/>
    <n v="0.33160322952710491"/>
    <x v="0"/>
  </r>
  <r>
    <s v="ORD-10923"/>
    <x v="389"/>
    <s v="Andrew Martinez"/>
    <x v="0"/>
    <x v="11"/>
    <x v="2"/>
    <n v="2"/>
    <n v="56.63"/>
    <n v="0.2"/>
    <x v="596"/>
    <n v="73.457999999999998"/>
    <n v="17.150000000000006"/>
    <n v="0.18927688504326334"/>
    <x v="1"/>
  </r>
  <r>
    <s v="ORD-10041"/>
    <x v="390"/>
    <s v="Sandra Lopez"/>
    <x v="2"/>
    <x v="15"/>
    <x v="2"/>
    <n v="2"/>
    <n v="64.62"/>
    <n v="0.05"/>
    <x v="597"/>
    <n v="105.658"/>
    <n v="17.120000000000005"/>
    <n v="0.13943866164948121"/>
    <x v="1"/>
  </r>
  <r>
    <s v="ORD-10872"/>
    <x v="391"/>
    <s v="Joseph Robinson"/>
    <x v="4"/>
    <x v="18"/>
    <x v="3"/>
    <n v="1"/>
    <n v="30.72"/>
    <n v="0.05"/>
    <x v="598"/>
    <n v="12.143999999999998"/>
    <n v="17.04"/>
    <n v="0.58388157894736847"/>
    <x v="1"/>
  </r>
  <r>
    <s v="ORD-10901"/>
    <x v="392"/>
    <s v="Mary Moore"/>
    <x v="3"/>
    <x v="20"/>
    <x v="3"/>
    <n v="1"/>
    <n v="26.72"/>
    <n v="0"/>
    <x v="599"/>
    <n v="9.86"/>
    <n v="16.86"/>
    <n v="0.63098802395209586"/>
    <x v="1"/>
  </r>
  <r>
    <s v="ORD-10403"/>
    <x v="168"/>
    <s v="Kimberly Taylor"/>
    <x v="2"/>
    <x v="14"/>
    <x v="3"/>
    <n v="1"/>
    <n v="31.32"/>
    <n v="0.15"/>
    <x v="600"/>
    <n v="9.8520000000000003"/>
    <n v="16.77"/>
    <n v="0.62993013297272926"/>
    <x v="2"/>
  </r>
  <r>
    <s v="ORD-10164"/>
    <x v="339"/>
    <s v="Richard Martinez"/>
    <x v="0"/>
    <x v="17"/>
    <x v="1"/>
    <n v="3"/>
    <n v="23.35"/>
    <n v="0.05"/>
    <x v="601"/>
    <n v="49.837500000000013"/>
    <n v="16.71"/>
    <n v="0.25109883917502535"/>
    <x v="0"/>
  </r>
  <r>
    <s v="ORD-10457"/>
    <x v="393"/>
    <s v="William Lewis"/>
    <x v="4"/>
    <x v="22"/>
    <x v="3"/>
    <n v="1"/>
    <n v="34.17"/>
    <n v="0"/>
    <x v="602"/>
    <n v="17.470000000000002"/>
    <n v="16.7"/>
    <n v="0.48873280655545798"/>
    <x v="0"/>
  </r>
  <r>
    <s v="ORD-10538"/>
    <x v="394"/>
    <s v="Kevin Brown"/>
    <x v="0"/>
    <x v="8"/>
    <x v="2"/>
    <n v="3"/>
    <n v="55.23"/>
    <n v="0.15"/>
    <x v="603"/>
    <n v="124.1465"/>
    <n v="16.689999999999998"/>
    <n v="0.1185062111029456"/>
    <x v="0"/>
  </r>
  <r>
    <s v="ORD-10278"/>
    <x v="331"/>
    <s v="Michael Thompson"/>
    <x v="4"/>
    <x v="26"/>
    <x v="1"/>
    <n v="1"/>
    <n v="52.33"/>
    <n v="0.05"/>
    <x v="604"/>
    <n v="33.033499999999997"/>
    <n v="16.68"/>
    <n v="0.33552254417814076"/>
    <x v="1"/>
  </r>
  <r>
    <s v="ORD-10071"/>
    <x v="395"/>
    <s v="Daniel Thomas"/>
    <x v="0"/>
    <x v="24"/>
    <x v="3"/>
    <n v="2"/>
    <n v="13.14"/>
    <n v="0"/>
    <x v="605"/>
    <n v="9.6500000000000021"/>
    <n v="16.63"/>
    <n v="0.63280060882800604"/>
    <x v="0"/>
  </r>
  <r>
    <s v="ORD-10722"/>
    <x v="396"/>
    <s v="Lisa Lopez"/>
    <x v="3"/>
    <x v="49"/>
    <x v="4"/>
    <n v="3"/>
    <n v="25.66"/>
    <n v="0.1"/>
    <x v="606"/>
    <n v="52.652000000000015"/>
    <n v="16.629999999999995"/>
    <n v="0.2400334863312259"/>
    <x v="0"/>
  </r>
  <r>
    <s v="ORD-10536"/>
    <x v="163"/>
    <s v="David Harris"/>
    <x v="4"/>
    <x v="12"/>
    <x v="0"/>
    <n v="2"/>
    <n v="24.25"/>
    <n v="0.15"/>
    <x v="607"/>
    <n v="24.665000000000003"/>
    <n v="16.559999999999999"/>
    <n v="0.40169799878714368"/>
    <x v="1"/>
  </r>
  <r>
    <s v="ORD-10853"/>
    <x v="397"/>
    <s v="Betty Rodriguez"/>
    <x v="0"/>
    <x v="22"/>
    <x v="3"/>
    <n v="3"/>
    <n v="11.33"/>
    <n v="0.05"/>
    <x v="608"/>
    <n v="15.750500000000002"/>
    <n v="16.54"/>
    <n v="0.51222495780492705"/>
    <x v="0"/>
  </r>
  <r>
    <s v="ORD-10384"/>
    <x v="398"/>
    <s v="Richard Davis"/>
    <x v="4"/>
    <x v="6"/>
    <x v="0"/>
    <n v="1"/>
    <n v="49.4"/>
    <n v="0.15"/>
    <x v="609"/>
    <n v="25.590000000000003"/>
    <n v="16.399999999999999"/>
    <n v="0.39056918313884254"/>
    <x v="2"/>
  </r>
  <r>
    <s v="ORD-10801"/>
    <x v="196"/>
    <s v="Lisa Robinson"/>
    <x v="1"/>
    <x v="20"/>
    <x v="3"/>
    <n v="2"/>
    <n v="15.66"/>
    <n v="0.1"/>
    <x v="610"/>
    <n v="11.827999999999999"/>
    <n v="16.36"/>
    <n v="0.58038881793671071"/>
    <x v="0"/>
  </r>
  <r>
    <s v="ORD-10333"/>
    <x v="399"/>
    <s v="Jessica Sanchez"/>
    <x v="2"/>
    <x v="24"/>
    <x v="3"/>
    <n v="1"/>
    <n v="27.38"/>
    <n v="0"/>
    <x v="611"/>
    <n v="11.05"/>
    <n v="16.329999999999998"/>
    <n v="0.59642074506939369"/>
    <x v="0"/>
  </r>
  <r>
    <s v="ORD-10338"/>
    <x v="400"/>
    <s v="Christopher Rodriguez"/>
    <x v="4"/>
    <x v="38"/>
    <x v="0"/>
    <n v="1"/>
    <n v="46.46"/>
    <n v="0.15"/>
    <x v="612"/>
    <n v="23.230999999999998"/>
    <n v="16.260000000000002"/>
    <n v="0.41173938365703583"/>
    <x v="0"/>
  </r>
  <r>
    <s v="ORD-10069"/>
    <x v="401"/>
    <s v="Andrew Hernandez"/>
    <x v="1"/>
    <x v="4"/>
    <x v="1"/>
    <n v="1"/>
    <n v="77.239999999999995"/>
    <n v="0"/>
    <x v="613"/>
    <n v="61.059999999999995"/>
    <n v="16.18"/>
    <n v="0.20947695494562404"/>
    <x v="0"/>
  </r>
  <r>
    <s v="ORD-10628"/>
    <x v="352"/>
    <s v="Kimberly Lopez"/>
    <x v="1"/>
    <x v="2"/>
    <x v="0"/>
    <n v="1"/>
    <n v="29.71"/>
    <n v="0"/>
    <x v="614"/>
    <n v="13.560000000000002"/>
    <n v="16.149999999999999"/>
    <n v="0.54358801750252439"/>
    <x v="0"/>
  </r>
  <r>
    <s v="ORD-10317"/>
    <x v="402"/>
    <s v="Nancy Davis"/>
    <x v="1"/>
    <x v="28"/>
    <x v="3"/>
    <n v="1"/>
    <n v="40.47"/>
    <n v="0.1"/>
    <x v="615"/>
    <n v="20.313000000000002"/>
    <n v="16.11"/>
    <n v="0.4423029404497158"/>
    <x v="1"/>
  </r>
  <r>
    <s v="ORD-10454"/>
    <x v="241"/>
    <s v="Carol Garcia"/>
    <x v="4"/>
    <x v="49"/>
    <x v="4"/>
    <n v="3"/>
    <n v="20.239999999999998"/>
    <n v="0.1"/>
    <x v="616"/>
    <n v="38.557999999999993"/>
    <n v="16.090000000000003"/>
    <n v="0.29442980529937057"/>
    <x v="1"/>
  </r>
  <r>
    <s v="ORD-10689"/>
    <x v="403"/>
    <s v="Paul Hernandez"/>
    <x v="1"/>
    <x v="0"/>
    <x v="0"/>
    <n v="1"/>
    <n v="55.15"/>
    <n v="0.2"/>
    <x v="617"/>
    <n v="28.04"/>
    <n v="16.079999999999998"/>
    <n v="0.36446056210335448"/>
    <x v="0"/>
  </r>
  <r>
    <s v="ORD-10875"/>
    <x v="404"/>
    <s v="Robert White"/>
    <x v="3"/>
    <x v="41"/>
    <x v="4"/>
    <n v="2"/>
    <n v="29.26"/>
    <n v="0.05"/>
    <x v="618"/>
    <n v="39.554000000000002"/>
    <n v="16.04"/>
    <n v="0.28852034392200593"/>
    <x v="0"/>
  </r>
  <r>
    <s v="ORD-10774"/>
    <x v="405"/>
    <s v="Robert Jackson"/>
    <x v="3"/>
    <x v="40"/>
    <x v="4"/>
    <n v="2"/>
    <n v="28.96"/>
    <n v="0"/>
    <x v="619"/>
    <n v="41.88"/>
    <n v="16.04"/>
    <n v="0.27693370165745856"/>
    <x v="2"/>
  </r>
  <r>
    <s v="ORD-10844"/>
    <x v="278"/>
    <s v="Matthew Sanchez"/>
    <x v="1"/>
    <x v="22"/>
    <x v="3"/>
    <n v="1"/>
    <n v="25.96"/>
    <n v="0"/>
    <x v="620"/>
    <n v="9.99"/>
    <n v="15.97"/>
    <n v="0.61517719568567031"/>
    <x v="2"/>
  </r>
  <r>
    <s v="ORD-10574"/>
    <x v="266"/>
    <s v="Michelle Rodriguez"/>
    <x v="2"/>
    <x v="46"/>
    <x v="1"/>
    <n v="2"/>
    <n v="30.57"/>
    <n v="0.05"/>
    <x v="621"/>
    <n v="42.132999999999996"/>
    <n v="15.950000000000003"/>
    <n v="0.27460702787390462"/>
    <x v="0"/>
  </r>
  <r>
    <s v="ORD-10856"/>
    <x v="49"/>
    <s v="Betty Sanchez"/>
    <x v="3"/>
    <x v="42"/>
    <x v="4"/>
    <n v="1"/>
    <n v="48.05"/>
    <n v="0.05"/>
    <x v="622"/>
    <n v="29.757499999999993"/>
    <n v="15.89"/>
    <n v="0.34810230571225154"/>
    <x v="1"/>
  </r>
  <r>
    <s v="ORD-10064"/>
    <x v="406"/>
    <s v="Mark Smith"/>
    <x v="0"/>
    <x v="0"/>
    <x v="0"/>
    <n v="2"/>
    <n v="23.98"/>
    <n v="0"/>
    <x v="623"/>
    <n v="32.090000000000003"/>
    <n v="15.869999999999997"/>
    <n v="0.33090075062552121"/>
    <x v="0"/>
  </r>
  <r>
    <s v="ORD-10775"/>
    <x v="407"/>
    <s v="Steven Sanchez"/>
    <x v="4"/>
    <x v="44"/>
    <x v="4"/>
    <n v="1"/>
    <n v="58.35"/>
    <n v="0.2"/>
    <x v="624"/>
    <n v="30.88"/>
    <n v="15.8"/>
    <n v="0.33847472150814056"/>
    <x v="1"/>
  </r>
  <r>
    <s v="ORD-10030"/>
    <x v="97"/>
    <s v="Karen Harris"/>
    <x v="2"/>
    <x v="10"/>
    <x v="1"/>
    <n v="1"/>
    <n v="51.84"/>
    <n v="0"/>
    <x v="625"/>
    <n v="36.090000000000003"/>
    <n v="15.75"/>
    <n v="0.30381944444444442"/>
    <x v="0"/>
  </r>
  <r>
    <s v="ORD-10402"/>
    <x v="63"/>
    <s v="Anthony Harris"/>
    <x v="4"/>
    <x v="37"/>
    <x v="2"/>
    <n v="2"/>
    <n v="77.89"/>
    <n v="0.15"/>
    <x v="626"/>
    <n v="116.72300000000001"/>
    <n v="15.689999999999998"/>
    <n v="0.1184928972230823"/>
    <x v="0"/>
  </r>
  <r>
    <s v="ORD-10028"/>
    <x v="408"/>
    <s v="Jessica Miller"/>
    <x v="3"/>
    <x v="26"/>
    <x v="1"/>
    <n v="1"/>
    <n v="59.59"/>
    <n v="0.2"/>
    <x v="627"/>
    <n v="32.002000000000002"/>
    <n v="15.670000000000002"/>
    <n v="0.32870448061755331"/>
    <x v="1"/>
  </r>
  <r>
    <s v="ORD-10624"/>
    <x v="391"/>
    <s v="Emily Perez"/>
    <x v="1"/>
    <x v="34"/>
    <x v="4"/>
    <n v="2"/>
    <n v="28.81"/>
    <n v="0.05"/>
    <x v="628"/>
    <n v="39.138999999999996"/>
    <n v="15.600000000000001"/>
    <n v="0.2849887648660005"/>
    <x v="1"/>
  </r>
  <r>
    <s v="ORD-10322"/>
    <x v="45"/>
    <s v="Karen Lewis"/>
    <x v="0"/>
    <x v="21"/>
    <x v="0"/>
    <n v="1"/>
    <n v="34.94"/>
    <n v="0.15"/>
    <x v="629"/>
    <n v="14.098999999999998"/>
    <n v="15.6"/>
    <n v="0.52527021111821948"/>
    <x v="0"/>
  </r>
  <r>
    <s v="ORD-10094"/>
    <x v="409"/>
    <s v="Susan Garcia"/>
    <x v="0"/>
    <x v="20"/>
    <x v="3"/>
    <n v="1"/>
    <n v="32.869999999999997"/>
    <n v="0.1"/>
    <x v="630"/>
    <n v="13.992999999999999"/>
    <n v="15.59"/>
    <n v="0.52699185342933441"/>
    <x v="1"/>
  </r>
  <r>
    <s v="ORD-10169"/>
    <x v="410"/>
    <s v="Betty Lewis"/>
    <x v="2"/>
    <x v="13"/>
    <x v="2"/>
    <n v="1"/>
    <n v="86.89"/>
    <n v="0.2"/>
    <x v="631"/>
    <n v="53.951999999999998"/>
    <n v="15.560000000000002"/>
    <n v="0.22384624237541723"/>
    <x v="1"/>
  </r>
  <r>
    <s v="ORD-10802"/>
    <x v="169"/>
    <s v="Richard Clark"/>
    <x v="3"/>
    <x v="16"/>
    <x v="1"/>
    <n v="2"/>
    <n v="20.25"/>
    <n v="0"/>
    <x v="632"/>
    <n v="24.98"/>
    <n v="15.52"/>
    <n v="0.38320987654320987"/>
    <x v="0"/>
  </r>
  <r>
    <s v="ORD-10948"/>
    <x v="411"/>
    <s v="Linda Anderson"/>
    <x v="3"/>
    <x v="13"/>
    <x v="2"/>
    <n v="1"/>
    <n v="146.24"/>
    <n v="0.15"/>
    <x v="633"/>
    <n v="108.854"/>
    <n v="15.450000000000003"/>
    <n v="0.12429205817994596"/>
    <x v="0"/>
  </r>
  <r>
    <s v="ORD-10137"/>
    <x v="357"/>
    <s v="Michael Ramirez"/>
    <x v="3"/>
    <x v="38"/>
    <x v="0"/>
    <n v="1"/>
    <n v="50.57"/>
    <n v="0.05"/>
    <x v="634"/>
    <n v="32.611499999999999"/>
    <n v="15.43"/>
    <n v="0.32118064589989903"/>
    <x v="1"/>
  </r>
  <r>
    <s v="ORD-10991"/>
    <x v="6"/>
    <s v="Matthew Jackson"/>
    <x v="1"/>
    <x v="19"/>
    <x v="1"/>
    <n v="1"/>
    <n v="53.32"/>
    <n v="0"/>
    <x v="635"/>
    <n v="38.08"/>
    <n v="15.240000000000002"/>
    <n v="0.28582145536384101"/>
    <x v="2"/>
  </r>
  <r>
    <s v="ORD-10545"/>
    <x v="412"/>
    <s v="Jennifer Robinson"/>
    <x v="1"/>
    <x v="16"/>
    <x v="1"/>
    <n v="4"/>
    <n v="18.87"/>
    <n v="0"/>
    <x v="636"/>
    <n v="60.27"/>
    <n v="15.21"/>
    <n v="0.20151033386327505"/>
    <x v="0"/>
  </r>
  <r>
    <s v="ORD-10434"/>
    <x v="220"/>
    <s v="Ashley Lee"/>
    <x v="1"/>
    <x v="23"/>
    <x v="3"/>
    <n v="1"/>
    <n v="35"/>
    <n v="0.05"/>
    <x v="637"/>
    <n v="18.060000000000002"/>
    <n v="15.189999999999998"/>
    <n v="0.45684210526315783"/>
    <x v="1"/>
  </r>
  <r>
    <s v="ORD-10687"/>
    <x v="413"/>
    <s v="Andrew Perez"/>
    <x v="1"/>
    <x v="14"/>
    <x v="3"/>
    <n v="1"/>
    <n v="35.4"/>
    <n v="0"/>
    <x v="638"/>
    <n v="20.229999999999997"/>
    <n v="15.170000000000002"/>
    <n v="0.42853107344632774"/>
    <x v="0"/>
  </r>
  <r>
    <s v="ORD-10429"/>
    <x v="414"/>
    <s v="Anthony Anderson"/>
    <x v="3"/>
    <x v="34"/>
    <x v="4"/>
    <n v="3"/>
    <n v="32.340000000000003"/>
    <n v="0.1"/>
    <x v="639"/>
    <n v="72.14800000000001"/>
    <n v="15.170000000000002"/>
    <n v="0.17373279278041182"/>
    <x v="1"/>
  </r>
  <r>
    <s v="ORD-10829"/>
    <x v="415"/>
    <s v="Carol Thomas"/>
    <x v="3"/>
    <x v="30"/>
    <x v="2"/>
    <n v="2"/>
    <n v="77.72"/>
    <n v="0"/>
    <x v="640"/>
    <n v="140.27000000000001"/>
    <n v="15.169999999999987"/>
    <n v="9.7593926917138363E-2"/>
    <x v="1"/>
  </r>
  <r>
    <s v="ORD-10244"/>
    <x v="152"/>
    <s v="Kimberly Martin"/>
    <x v="2"/>
    <x v="10"/>
    <x v="1"/>
    <n v="2"/>
    <n v="28.47"/>
    <n v="0"/>
    <x v="641"/>
    <n v="41.83"/>
    <n v="15.11"/>
    <n v="0.26536705303828589"/>
    <x v="0"/>
  </r>
  <r>
    <s v="ORD-10842"/>
    <x v="416"/>
    <s v="Matthew Wilson"/>
    <x v="1"/>
    <x v="27"/>
    <x v="0"/>
    <n v="1"/>
    <n v="37.76"/>
    <n v="0"/>
    <x v="642"/>
    <n v="22.74"/>
    <n v="15.02"/>
    <n v="0.39777542372881358"/>
    <x v="0"/>
  </r>
  <r>
    <s v="ORD-10381"/>
    <x v="371"/>
    <s v="Donna Moore"/>
    <x v="0"/>
    <x v="31"/>
    <x v="3"/>
    <n v="1"/>
    <n v="35.4"/>
    <n v="0.1"/>
    <x v="643"/>
    <n v="16.86"/>
    <n v="15"/>
    <n v="0.47080979284369118"/>
    <x v="1"/>
  </r>
  <r>
    <s v="ORD-10093"/>
    <x v="417"/>
    <s v="Linda Lee"/>
    <x v="0"/>
    <x v="32"/>
    <x v="3"/>
    <n v="1"/>
    <n v="30.87"/>
    <n v="0"/>
    <x v="644"/>
    <n v="15.9"/>
    <n v="14.97"/>
    <n v="0.48493683187560738"/>
    <x v="0"/>
  </r>
  <r>
    <s v="ORD-10192"/>
    <x v="418"/>
    <s v="Michelle Johnson"/>
    <x v="2"/>
    <x v="19"/>
    <x v="1"/>
    <n v="2"/>
    <n v="24.89"/>
    <n v="0"/>
    <x v="645"/>
    <n v="34.840000000000003"/>
    <n v="14.939999999999998"/>
    <n v="0.30012053033346719"/>
    <x v="0"/>
  </r>
  <r>
    <s v="ORD-10236"/>
    <x v="64"/>
    <s v="Daniel Williams"/>
    <x v="0"/>
    <x v="48"/>
    <x v="1"/>
    <n v="2"/>
    <n v="26.23"/>
    <n v="0.15"/>
    <x v="646"/>
    <n v="29.661000000000001"/>
    <n v="14.93"/>
    <n v="0.33482092798995311"/>
    <x v="1"/>
  </r>
  <r>
    <s v="ORD-10054"/>
    <x v="419"/>
    <s v="Anthony Ramirez"/>
    <x v="3"/>
    <x v="14"/>
    <x v="3"/>
    <n v="1"/>
    <n v="31.46"/>
    <n v="0"/>
    <x v="647"/>
    <n v="16.54"/>
    <n v="14.920000000000002"/>
    <n v="0.47425301970756523"/>
    <x v="1"/>
  </r>
  <r>
    <s v="ORD-10812"/>
    <x v="420"/>
    <s v="Thomas Robinson"/>
    <x v="0"/>
    <x v="31"/>
    <x v="3"/>
    <n v="1"/>
    <n v="48.13"/>
    <n v="0.25"/>
    <x v="648"/>
    <n v="21.217500000000001"/>
    <n v="14.880000000000003"/>
    <n v="0.41221691252856851"/>
    <x v="0"/>
  </r>
  <r>
    <s v="ORD-10550"/>
    <x v="421"/>
    <s v="Mark Garcia"/>
    <x v="1"/>
    <x v="20"/>
    <x v="3"/>
    <n v="1"/>
    <n v="34.950000000000003"/>
    <n v="0.05"/>
    <x v="649"/>
    <n v="18.3825"/>
    <n v="14.82"/>
    <n v="0.44635193133047213"/>
    <x v="1"/>
  </r>
  <r>
    <s v="ORD-10648"/>
    <x v="410"/>
    <s v="Jennifer Harris"/>
    <x v="1"/>
    <x v="34"/>
    <x v="4"/>
    <n v="2"/>
    <n v="45.04"/>
    <n v="0"/>
    <x v="650"/>
    <n v="75.27"/>
    <n v="14.810000000000002"/>
    <n v="0.1644094138543517"/>
    <x v="0"/>
  </r>
  <r>
    <s v="ORD-10213"/>
    <x v="422"/>
    <s v="Donald Wilson"/>
    <x v="3"/>
    <x v="19"/>
    <x v="1"/>
    <n v="1"/>
    <n v="46.48"/>
    <n v="0"/>
    <x v="651"/>
    <n v="31.689999999999998"/>
    <n v="14.79"/>
    <n v="0.31820137693631667"/>
    <x v="0"/>
  </r>
  <r>
    <s v="ORD-10083"/>
    <x v="144"/>
    <s v="Sandra Thomas"/>
    <x v="2"/>
    <x v="25"/>
    <x v="1"/>
    <n v="2"/>
    <n v="24.4"/>
    <n v="0"/>
    <x v="652"/>
    <n v="34.11"/>
    <n v="14.689999999999998"/>
    <n v="0.3010245901639344"/>
    <x v="1"/>
  </r>
  <r>
    <s v="ORD-10932"/>
    <x v="172"/>
    <s v="David Sanchez"/>
    <x v="4"/>
    <x v="5"/>
    <x v="2"/>
    <n v="3"/>
    <n v="34.75"/>
    <n v="0.2"/>
    <x v="653"/>
    <n v="68.740000000000009"/>
    <n v="14.659999999999997"/>
    <n v="0.1757793764988009"/>
    <x v="0"/>
  </r>
  <r>
    <s v="ORD-10396"/>
    <x v="222"/>
    <s v="James Jones"/>
    <x v="1"/>
    <x v="21"/>
    <x v="0"/>
    <n v="1"/>
    <n v="40.14"/>
    <n v="0"/>
    <x v="654"/>
    <n v="25.490000000000002"/>
    <n v="14.649999999999999"/>
    <n v="0.36497259591429992"/>
    <x v="0"/>
  </r>
  <r>
    <s v="ORD-10522"/>
    <x v="120"/>
    <s v="Sarah Miller"/>
    <x v="2"/>
    <x v="1"/>
    <x v="0"/>
    <n v="1"/>
    <n v="44.29"/>
    <n v="0.05"/>
    <x v="655"/>
    <n v="27.445499999999996"/>
    <n v="14.630000000000003"/>
    <n v="0.34770828629487477"/>
    <x v="1"/>
  </r>
  <r>
    <s v="ORD-10208"/>
    <x v="347"/>
    <s v="Mark Moore"/>
    <x v="2"/>
    <x v="30"/>
    <x v="2"/>
    <n v="1"/>
    <n v="121.78"/>
    <n v="0.05"/>
    <x v="656"/>
    <n v="101.161"/>
    <n v="14.530000000000001"/>
    <n v="0.12559317492285485"/>
    <x v="1"/>
  </r>
  <r>
    <s v="ORD-10749"/>
    <x v="423"/>
    <s v="James Ramirez"/>
    <x v="3"/>
    <x v="15"/>
    <x v="2"/>
    <n v="1"/>
    <n v="88.23"/>
    <n v="0.1"/>
    <x v="657"/>
    <n v="64.917000000000016"/>
    <n v="14.489999999999995"/>
    <n v="0.182477615323586"/>
    <x v="1"/>
  </r>
  <r>
    <s v="ORD-10414"/>
    <x v="424"/>
    <s v="Richard Moore"/>
    <x v="0"/>
    <x v="3"/>
    <x v="0"/>
    <n v="2"/>
    <n v="22.08"/>
    <n v="0"/>
    <x v="658"/>
    <n v="29.699999999999996"/>
    <n v="14.46"/>
    <n v="0.32744565217391308"/>
    <x v="0"/>
  </r>
  <r>
    <s v="ORD-10954"/>
    <x v="226"/>
    <s v="Donna Moore"/>
    <x v="1"/>
    <x v="35"/>
    <x v="1"/>
    <n v="2"/>
    <n v="21.08"/>
    <n v="0.1"/>
    <x v="659"/>
    <n v="23.513999999999996"/>
    <n v="14.43"/>
    <n v="0.38029728020240355"/>
    <x v="1"/>
  </r>
  <r>
    <s v="ORD-10419"/>
    <x v="425"/>
    <s v="Kenneth Thompson"/>
    <x v="3"/>
    <x v="39"/>
    <x v="4"/>
    <n v="2"/>
    <n v="46.56"/>
    <n v="0.1"/>
    <x v="660"/>
    <n v="69.39800000000001"/>
    <n v="14.409999999999997"/>
    <n v="0.17194062619320347"/>
    <x v="0"/>
  </r>
  <r>
    <s v="ORD-10488"/>
    <x v="390"/>
    <s v="James Anderson"/>
    <x v="2"/>
    <x v="24"/>
    <x v="3"/>
    <n v="1"/>
    <n v="30.3"/>
    <n v="0.15"/>
    <x v="661"/>
    <n v="11.425000000000002"/>
    <n v="14.33"/>
    <n v="0.55639681615220338"/>
    <x v="1"/>
  </r>
  <r>
    <s v="ORD-10908"/>
    <x v="426"/>
    <s v="Carol Perez"/>
    <x v="1"/>
    <x v="18"/>
    <x v="3"/>
    <n v="1"/>
    <n v="31.59"/>
    <n v="0.15"/>
    <x v="662"/>
    <n v="12.551500000000001"/>
    <n v="14.3"/>
    <n v="0.53255870249334303"/>
    <x v="0"/>
  </r>
  <r>
    <s v="ORD-10060"/>
    <x v="427"/>
    <s v="Kimberly Miller"/>
    <x v="0"/>
    <x v="17"/>
    <x v="1"/>
    <n v="1"/>
    <n v="71.02"/>
    <n v="0.25"/>
    <x v="663"/>
    <n v="38.965000000000003"/>
    <n v="14.299999999999997"/>
    <n v="0.26846897587534024"/>
    <x v="0"/>
  </r>
  <r>
    <s v="ORD-10225"/>
    <x v="428"/>
    <s v="Karen Lee"/>
    <x v="4"/>
    <x v="17"/>
    <x v="1"/>
    <n v="2"/>
    <n v="31.36"/>
    <n v="0"/>
    <x v="664"/>
    <n v="48.43"/>
    <n v="14.29"/>
    <n v="0.22783801020408162"/>
    <x v="1"/>
  </r>
  <r>
    <s v="ORD-10379"/>
    <x v="429"/>
    <s v="Emily Hernandez"/>
    <x v="4"/>
    <x v="31"/>
    <x v="3"/>
    <n v="1"/>
    <n v="26.36"/>
    <n v="0.05"/>
    <x v="665"/>
    <n v="10.771999999999998"/>
    <n v="14.27"/>
    <n v="0.56984266432393582"/>
    <x v="1"/>
  </r>
  <r>
    <s v="ORD-10909"/>
    <x v="430"/>
    <s v="Michael Williams"/>
    <x v="2"/>
    <x v="35"/>
    <x v="1"/>
    <n v="4"/>
    <n v="14.76"/>
    <n v="0.05"/>
    <x v="666"/>
    <n v="41.858000000000004"/>
    <n v="14.229999999999997"/>
    <n v="0.25370845813721288"/>
    <x v="1"/>
  </r>
  <r>
    <s v="ORD-10123"/>
    <x v="431"/>
    <s v="Linda Lee"/>
    <x v="4"/>
    <x v="39"/>
    <x v="4"/>
    <n v="3"/>
    <n v="27.02"/>
    <n v="0.05"/>
    <x v="667"/>
    <n v="62.787000000000006"/>
    <n v="14.219999999999999"/>
    <n v="0.1846585375355487"/>
    <x v="0"/>
  </r>
  <r>
    <s v="ORD-10902"/>
    <x v="432"/>
    <s v="Susan Lopez"/>
    <x v="0"/>
    <x v="2"/>
    <x v="0"/>
    <n v="1"/>
    <n v="44.4"/>
    <n v="0.25"/>
    <x v="668"/>
    <n v="19.089999999999996"/>
    <n v="14.21"/>
    <n v="0.42672672672672679"/>
    <x v="2"/>
  </r>
  <r>
    <s v="ORD-10306"/>
    <x v="433"/>
    <s v="Michelle Robinson"/>
    <x v="2"/>
    <x v="11"/>
    <x v="2"/>
    <n v="2"/>
    <n v="38.1"/>
    <n v="0.1"/>
    <x v="669"/>
    <n v="54.44"/>
    <n v="14.14"/>
    <n v="0.20618256051326919"/>
    <x v="2"/>
  </r>
  <r>
    <s v="ORD-10340"/>
    <x v="309"/>
    <s v="Donna Lee"/>
    <x v="3"/>
    <x v="6"/>
    <x v="0"/>
    <n v="1"/>
    <n v="35.83"/>
    <n v="0.05"/>
    <x v="670"/>
    <n v="19.948499999999999"/>
    <n v="14.09"/>
    <n v="0.41394303509261571"/>
    <x v="0"/>
  </r>
  <r>
    <s v="ORD-10586"/>
    <x v="66"/>
    <s v="Kimberly Williams"/>
    <x v="0"/>
    <x v="26"/>
    <x v="1"/>
    <n v="1"/>
    <n v="41.17"/>
    <n v="0.1"/>
    <x v="671"/>
    <n v="23.013000000000005"/>
    <n v="14.04"/>
    <n v="0.37891668690794261"/>
    <x v="0"/>
  </r>
  <r>
    <s v="ORD-10006"/>
    <x v="370"/>
    <s v="Steven Martinez"/>
    <x v="4"/>
    <x v="17"/>
    <x v="1"/>
    <n v="1"/>
    <n v="52.28"/>
    <n v="0.1"/>
    <x v="672"/>
    <n v="33.021999999999998"/>
    <n v="14.030000000000001"/>
    <n v="0.29818073620675001"/>
    <x v="0"/>
  </r>
  <r>
    <s v="ORD-10085"/>
    <x v="434"/>
    <s v="Mark Thomas"/>
    <x v="3"/>
    <x v="23"/>
    <x v="3"/>
    <n v="2"/>
    <n v="16.14"/>
    <n v="0"/>
    <x v="673"/>
    <n v="18.3"/>
    <n v="13.98"/>
    <n v="0.43308550185873607"/>
    <x v="0"/>
  </r>
  <r>
    <s v="ORD-10494"/>
    <x v="102"/>
    <s v="Jessica Johnson"/>
    <x v="3"/>
    <x v="48"/>
    <x v="1"/>
    <n v="1"/>
    <n v="49.49"/>
    <n v="0"/>
    <x v="674"/>
    <n v="35.510000000000005"/>
    <n v="13.979999999999997"/>
    <n v="0.28248130935542526"/>
    <x v="1"/>
  </r>
  <r>
    <s v="ORD-10922"/>
    <x v="88"/>
    <s v="Paul Clark"/>
    <x v="2"/>
    <x v="16"/>
    <x v="1"/>
    <n v="1"/>
    <n v="41.97"/>
    <n v="0"/>
    <x v="675"/>
    <n v="28.04"/>
    <n v="13.93"/>
    <n v="0.33190374076721468"/>
    <x v="0"/>
  </r>
  <r>
    <s v="ORD-10548"/>
    <x v="435"/>
    <s v="Joshua Martinez"/>
    <x v="3"/>
    <x v="19"/>
    <x v="1"/>
    <n v="1"/>
    <n v="63.69"/>
    <n v="0.2"/>
    <x v="676"/>
    <n v="37.082000000000001"/>
    <n v="13.869999999999997"/>
    <n v="0.27221698853823201"/>
    <x v="0"/>
  </r>
  <r>
    <s v="ORD-10380"/>
    <x v="436"/>
    <s v="Mark Clark"/>
    <x v="0"/>
    <x v="41"/>
    <x v="4"/>
    <n v="4"/>
    <n v="16"/>
    <n v="0"/>
    <x v="677"/>
    <n v="50.14"/>
    <n v="13.86"/>
    <n v="0.21656249999999999"/>
    <x v="1"/>
  </r>
  <r>
    <s v="ORD-10144"/>
    <x v="437"/>
    <s v="Richard Gonzalez"/>
    <x v="2"/>
    <x v="2"/>
    <x v="0"/>
    <n v="2"/>
    <n v="29.84"/>
    <n v="0.25"/>
    <x v="678"/>
    <n v="30.97"/>
    <n v="13.79"/>
    <n v="0.3080875781948168"/>
    <x v="1"/>
  </r>
  <r>
    <s v="ORD-10837"/>
    <x v="438"/>
    <s v="Barbara Martinez"/>
    <x v="4"/>
    <x v="5"/>
    <x v="2"/>
    <n v="1"/>
    <n v="98.41"/>
    <n v="0.15"/>
    <x v="679"/>
    <n v="69.898499999999999"/>
    <n v="13.75"/>
    <n v="0.16437832118926221"/>
    <x v="0"/>
  </r>
  <r>
    <s v="ORD-10250"/>
    <x v="220"/>
    <s v="Jennifer Clark"/>
    <x v="2"/>
    <x v="9"/>
    <x v="2"/>
    <n v="1"/>
    <n v="67.12"/>
    <n v="0.1"/>
    <x v="680"/>
    <n v="46.677999999999997"/>
    <n v="13.730000000000004"/>
    <n v="0.22728777645344994"/>
    <x v="1"/>
  </r>
  <r>
    <s v="ORD-10467"/>
    <x v="439"/>
    <s v="Dorothy Johnson"/>
    <x v="4"/>
    <x v="38"/>
    <x v="0"/>
    <n v="1"/>
    <n v="28.32"/>
    <n v="0.05"/>
    <x v="681"/>
    <n v="13.173999999999999"/>
    <n v="13.73"/>
    <n v="0.51033303597977997"/>
    <x v="2"/>
  </r>
  <r>
    <s v="ORD-10395"/>
    <x v="80"/>
    <s v="Michelle Miller"/>
    <x v="4"/>
    <x v="32"/>
    <x v="3"/>
    <n v="1"/>
    <n v="21.55"/>
    <n v="0"/>
    <x v="682"/>
    <n v="7.84"/>
    <n v="13.71"/>
    <n v="0.63619489559164732"/>
    <x v="1"/>
  </r>
  <r>
    <s v="ORD-10839"/>
    <x v="172"/>
    <s v="Michael Robinson"/>
    <x v="1"/>
    <x v="11"/>
    <x v="2"/>
    <n v="1"/>
    <n v="67.05"/>
    <n v="0"/>
    <x v="683"/>
    <n v="53.36"/>
    <n v="13.689999999999998"/>
    <n v="0.20417598806860549"/>
    <x v="0"/>
  </r>
  <r>
    <s v="ORD-10781"/>
    <x v="440"/>
    <s v="Carol White"/>
    <x v="0"/>
    <x v="24"/>
    <x v="3"/>
    <n v="2"/>
    <n v="16.260000000000002"/>
    <n v="0"/>
    <x v="684"/>
    <n v="18.850000000000001"/>
    <n v="13.670000000000002"/>
    <n v="0.42035670356703569"/>
    <x v="0"/>
  </r>
  <r>
    <s v="ORD-10503"/>
    <x v="271"/>
    <s v="Jessica Harris"/>
    <x v="1"/>
    <x v="12"/>
    <x v="0"/>
    <n v="1"/>
    <n v="37.65"/>
    <n v="0.1"/>
    <x v="685"/>
    <n v="20.384999999999998"/>
    <n v="13.5"/>
    <n v="0.39840637450199207"/>
    <x v="1"/>
  </r>
  <r>
    <s v="ORD-10010"/>
    <x v="288"/>
    <s v="Richard Moore"/>
    <x v="3"/>
    <x v="4"/>
    <x v="1"/>
    <n v="1"/>
    <n v="36.58"/>
    <n v="0.05"/>
    <x v="686"/>
    <n v="21.290999999999997"/>
    <n v="13.46"/>
    <n v="0.38732698339616134"/>
    <x v="0"/>
  </r>
  <r>
    <s v="ORD-10964"/>
    <x v="74"/>
    <s v="Michael Clark"/>
    <x v="4"/>
    <x v="49"/>
    <x v="4"/>
    <n v="2"/>
    <n v="35.26"/>
    <n v="0"/>
    <x v="687"/>
    <n v="57.059999999999995"/>
    <n v="13.46"/>
    <n v="0.19086783891094727"/>
    <x v="0"/>
  </r>
  <r>
    <s v="ORD-10776"/>
    <x v="150"/>
    <s v="Donald Jones"/>
    <x v="2"/>
    <x v="34"/>
    <x v="4"/>
    <n v="3"/>
    <n v="24.14"/>
    <n v="0.1"/>
    <x v="688"/>
    <n v="51.777999999999999"/>
    <n v="13.399999999999999"/>
    <n v="0.2055908435361625"/>
    <x v="0"/>
  </r>
  <r>
    <s v="ORD-10216"/>
    <x v="441"/>
    <s v="Steven Davis"/>
    <x v="2"/>
    <x v="39"/>
    <x v="4"/>
    <n v="1"/>
    <n v="58.8"/>
    <n v="0.05"/>
    <x v="689"/>
    <n v="42.53"/>
    <n v="13.329999999999998"/>
    <n v="0.23863229502327243"/>
    <x v="1"/>
  </r>
  <r>
    <s v="ORD-10619"/>
    <x v="442"/>
    <s v="Sarah Davis"/>
    <x v="1"/>
    <x v="37"/>
    <x v="2"/>
    <n v="3"/>
    <n v="53.52"/>
    <n v="0.25"/>
    <x v="690"/>
    <n v="107.12"/>
    <n v="13.299999999999997"/>
    <n v="0.11044676963959472"/>
    <x v="0"/>
  </r>
  <r>
    <s v="ORD-10658"/>
    <x v="382"/>
    <s v="Karen Clark"/>
    <x v="3"/>
    <x v="39"/>
    <x v="4"/>
    <n v="1"/>
    <n v="46.7"/>
    <n v="0.15"/>
    <x v="691"/>
    <n v="26.435000000000002"/>
    <n v="13.259999999999998"/>
    <n v="0.33404710920770875"/>
    <x v="1"/>
  </r>
  <r>
    <s v="ORD-10309"/>
    <x v="340"/>
    <s v="Barbara Lewis"/>
    <x v="3"/>
    <x v="35"/>
    <x v="1"/>
    <n v="1"/>
    <n v="65.209999999999994"/>
    <n v="0.2"/>
    <x v="692"/>
    <n v="38.967999999999989"/>
    <n v="13.200000000000003"/>
    <n v="0.25302867658334621"/>
    <x v="0"/>
  </r>
  <r>
    <s v="ORD-10918"/>
    <x v="443"/>
    <s v="Richard White"/>
    <x v="4"/>
    <x v="19"/>
    <x v="1"/>
    <n v="2"/>
    <n v="31.72"/>
    <n v="0"/>
    <x v="693"/>
    <n v="50.25"/>
    <n v="13.189999999999998"/>
    <n v="0.20791298865069355"/>
    <x v="0"/>
  </r>
  <r>
    <s v="ORD-10205"/>
    <x v="8"/>
    <s v="Andrew Harris"/>
    <x v="0"/>
    <x v="10"/>
    <x v="1"/>
    <n v="1"/>
    <n v="47.81"/>
    <n v="0.1"/>
    <x v="694"/>
    <n v="29.899000000000001"/>
    <n v="13.130000000000003"/>
    <n v="0.30514304306398016"/>
    <x v="0"/>
  </r>
  <r>
    <s v="ORD-10246"/>
    <x v="444"/>
    <s v="Michelle Miller"/>
    <x v="0"/>
    <x v="42"/>
    <x v="4"/>
    <n v="2"/>
    <n v="37.020000000000003"/>
    <n v="0"/>
    <x v="695"/>
    <n v="60.940000000000005"/>
    <n v="13.100000000000001"/>
    <n v="0.17693138843868181"/>
    <x v="0"/>
  </r>
  <r>
    <s v="ORD-10249"/>
    <x v="200"/>
    <s v="Mary Ramirez"/>
    <x v="2"/>
    <x v="6"/>
    <x v="0"/>
    <n v="1"/>
    <n v="26.13"/>
    <n v="0.05"/>
    <x v="696"/>
    <n v="11.743499999999999"/>
    <n v="13.08"/>
    <n v="0.52692005559248289"/>
    <x v="0"/>
  </r>
  <r>
    <s v="ORD-10984"/>
    <x v="445"/>
    <s v="Susan Taylor"/>
    <x v="2"/>
    <x v="16"/>
    <x v="1"/>
    <n v="1"/>
    <n v="41.62"/>
    <n v="0.1"/>
    <x v="549"/>
    <n v="24.407999999999998"/>
    <n v="13.05"/>
    <n v="0.34839019702066315"/>
    <x v="0"/>
  </r>
  <r>
    <s v="ORD-10198"/>
    <x v="235"/>
    <s v="Christopher Garcia"/>
    <x v="0"/>
    <x v="45"/>
    <x v="4"/>
    <n v="1"/>
    <n v="41.49"/>
    <n v="0"/>
    <x v="697"/>
    <n v="28.46"/>
    <n v="13.030000000000001"/>
    <n v="0.31405157869366113"/>
    <x v="0"/>
  </r>
  <r>
    <s v="ORD-10005"/>
    <x v="65"/>
    <s v="Jessica Clark"/>
    <x v="0"/>
    <x v="15"/>
    <x v="2"/>
    <n v="2"/>
    <n v="63.76"/>
    <n v="0"/>
    <x v="698"/>
    <n v="114.50999999999999"/>
    <n v="13.010000000000005"/>
    <n v="0.10202321204516943"/>
    <x v="2"/>
  </r>
  <r>
    <s v="ORD-10405"/>
    <x v="113"/>
    <s v="Anthony Smith"/>
    <x v="1"/>
    <x v="36"/>
    <x v="3"/>
    <n v="1"/>
    <n v="22.47"/>
    <n v="0.05"/>
    <x v="699"/>
    <n v="8.3664999999999985"/>
    <n v="12.98"/>
    <n v="0.60806221160377583"/>
    <x v="0"/>
  </r>
  <r>
    <s v="ORD-10797"/>
    <x v="446"/>
    <s v="Nancy Taylor"/>
    <x v="4"/>
    <x v="40"/>
    <x v="4"/>
    <n v="4"/>
    <n v="17.04"/>
    <n v="0"/>
    <x v="700"/>
    <n v="55.22"/>
    <n v="12.939999999999998"/>
    <n v="0.18984741784037557"/>
    <x v="1"/>
  </r>
  <r>
    <s v="ORD-10961"/>
    <x v="400"/>
    <s v="Elizabeth Taylor"/>
    <x v="1"/>
    <x v="35"/>
    <x v="1"/>
    <n v="1"/>
    <n v="38.049999999999997"/>
    <n v="0"/>
    <x v="701"/>
    <n v="25.139999999999997"/>
    <n v="12.91"/>
    <n v="0.33929040735873855"/>
    <x v="1"/>
  </r>
  <r>
    <s v="ORD-10778"/>
    <x v="403"/>
    <s v="Dorothy Ramirez"/>
    <x v="4"/>
    <x v="26"/>
    <x v="1"/>
    <n v="1"/>
    <n v="43.99"/>
    <n v="0.05"/>
    <x v="702"/>
    <n v="28.880500000000001"/>
    <n v="12.91"/>
    <n v="0.30892188416027566"/>
    <x v="1"/>
  </r>
  <r>
    <s v="ORD-10865"/>
    <x v="320"/>
    <s v="Paul Lee"/>
    <x v="2"/>
    <x v="45"/>
    <x v="4"/>
    <n v="2"/>
    <n v="28.26"/>
    <n v="0"/>
    <x v="703"/>
    <n v="43.620000000000005"/>
    <n v="12.899999999999999"/>
    <n v="0.2282377919320594"/>
    <x v="0"/>
  </r>
  <r>
    <s v="ORD-10644"/>
    <x v="97"/>
    <s v="Robert Thompson"/>
    <x v="1"/>
    <x v="5"/>
    <x v="2"/>
    <n v="1"/>
    <n v="119.01"/>
    <n v="0.15"/>
    <x v="704"/>
    <n v="88.328500000000005"/>
    <n v="12.829999999999998"/>
    <n v="0.12683066672597951"/>
    <x v="1"/>
  </r>
  <r>
    <s v="ORD-10104"/>
    <x v="247"/>
    <s v="Emily Lee"/>
    <x v="0"/>
    <x v="22"/>
    <x v="3"/>
    <n v="1"/>
    <n v="22.95"/>
    <n v="0"/>
    <x v="705"/>
    <n v="10.139999999999999"/>
    <n v="12.81"/>
    <n v="0.55816993464052289"/>
    <x v="0"/>
  </r>
  <r>
    <s v="ORD-10537"/>
    <x v="330"/>
    <s v="Ashley Williams"/>
    <x v="3"/>
    <x v="17"/>
    <x v="1"/>
    <n v="2"/>
    <n v="17.989999999999998"/>
    <n v="0.1"/>
    <x v="706"/>
    <n v="19.581999999999997"/>
    <n v="12.8"/>
    <n v="0.39528132913346925"/>
    <x v="1"/>
  </r>
  <r>
    <s v="ORD-10188"/>
    <x v="429"/>
    <s v="Daniel Sanchez"/>
    <x v="4"/>
    <x v="45"/>
    <x v="4"/>
    <n v="3"/>
    <n v="13.52"/>
    <n v="0"/>
    <x v="707"/>
    <n v="27.82"/>
    <n v="12.740000000000002"/>
    <n v="0.31410256410256415"/>
    <x v="1"/>
  </r>
  <r>
    <s v="ORD-10447"/>
    <x v="243"/>
    <s v="William Johnson"/>
    <x v="1"/>
    <x v="25"/>
    <x v="1"/>
    <n v="3"/>
    <n v="13.31"/>
    <n v="0.2"/>
    <x v="708"/>
    <n v="19.233999999999998"/>
    <n v="12.71"/>
    <n v="0.39788379664412726"/>
    <x v="2"/>
  </r>
  <r>
    <s v="ORD-10974"/>
    <x v="227"/>
    <s v="Kenneth Miller"/>
    <x v="2"/>
    <x v="10"/>
    <x v="1"/>
    <n v="1"/>
    <n v="63.5"/>
    <n v="0.05"/>
    <x v="709"/>
    <n v="47.625"/>
    <n v="12.700000000000003"/>
    <n v="0.21052631578947373"/>
    <x v="1"/>
  </r>
  <r>
    <s v="ORD-10591"/>
    <x v="447"/>
    <s v="Sandra Jackson"/>
    <x v="2"/>
    <x v="32"/>
    <x v="3"/>
    <n v="1"/>
    <n v="25.92"/>
    <n v="0.1"/>
    <x v="710"/>
    <n v="10.628000000000004"/>
    <n v="12.7"/>
    <n v="0.54441015089163225"/>
    <x v="0"/>
  </r>
  <r>
    <s v="ORD-10398"/>
    <x v="448"/>
    <s v="Mary Anderson"/>
    <x v="2"/>
    <x v="41"/>
    <x v="4"/>
    <n v="1"/>
    <n v="45.87"/>
    <n v="0.15"/>
    <x v="711"/>
    <n v="26.2895"/>
    <n v="12.7"/>
    <n v="0.32572872183536594"/>
    <x v="1"/>
  </r>
  <r>
    <s v="ORD-10238"/>
    <x v="449"/>
    <s v="Donald Sanchez"/>
    <x v="3"/>
    <x v="19"/>
    <x v="1"/>
    <n v="1"/>
    <n v="43.27"/>
    <n v="0.1"/>
    <x v="712"/>
    <n v="26.273000000000003"/>
    <n v="12.670000000000002"/>
    <n v="0.32534730246770921"/>
    <x v="0"/>
  </r>
  <r>
    <s v="ORD-10916"/>
    <x v="450"/>
    <s v="Carol Thompson"/>
    <x v="0"/>
    <x v="4"/>
    <x v="1"/>
    <n v="2"/>
    <n v="24.48"/>
    <n v="0.1"/>
    <x v="713"/>
    <n v="31.393999999999998"/>
    <n v="12.670000000000002"/>
    <n v="0.28753631082062459"/>
    <x v="0"/>
  </r>
  <r>
    <s v="ORD-10570"/>
    <x v="361"/>
    <s v="Lisa Davis"/>
    <x v="4"/>
    <x v="18"/>
    <x v="3"/>
    <n v="1"/>
    <n v="29.24"/>
    <n v="0.05"/>
    <x v="714"/>
    <n v="15.107999999999999"/>
    <n v="12.67"/>
    <n v="0.45611635106919146"/>
    <x v="1"/>
  </r>
  <r>
    <s v="ORD-10120"/>
    <x v="201"/>
    <s v="Jessica Thompson"/>
    <x v="2"/>
    <x v="49"/>
    <x v="4"/>
    <n v="3"/>
    <n v="26.78"/>
    <n v="0"/>
    <x v="715"/>
    <n v="67.680000000000007"/>
    <n v="12.659999999999997"/>
    <n v="0.15758028379387598"/>
    <x v="0"/>
  </r>
  <r>
    <s v="ORD-10821"/>
    <x v="201"/>
    <s v="Mark Williams"/>
    <x v="0"/>
    <x v="18"/>
    <x v="3"/>
    <n v="1"/>
    <n v="30.47"/>
    <n v="0.1"/>
    <x v="716"/>
    <n v="14.772999999999998"/>
    <n v="12.65"/>
    <n v="0.4612916165262736"/>
    <x v="1"/>
  </r>
  <r>
    <s v="ORD-10096"/>
    <x v="130"/>
    <s v="Anthony Lee"/>
    <x v="4"/>
    <x v="45"/>
    <x v="4"/>
    <n v="2"/>
    <n v="36.159999999999997"/>
    <n v="0.05"/>
    <x v="717"/>
    <n v="56.063999999999993"/>
    <n v="12.64"/>
    <n v="0.18397764322310203"/>
    <x v="1"/>
  </r>
  <r>
    <s v="ORD-10827"/>
    <x v="210"/>
    <s v="Joseph Lopez"/>
    <x v="3"/>
    <x v="32"/>
    <x v="3"/>
    <n v="1"/>
    <n v="24.73"/>
    <n v="0.15"/>
    <x v="718"/>
    <n v="8.3905000000000012"/>
    <n v="12.63"/>
    <n v="0.60084203515615708"/>
    <x v="1"/>
  </r>
  <r>
    <s v="ORD-10350"/>
    <x v="236"/>
    <s v="Andrew Perez"/>
    <x v="2"/>
    <x v="19"/>
    <x v="1"/>
    <n v="1"/>
    <n v="49.34"/>
    <n v="0.1"/>
    <x v="719"/>
    <n v="31.916000000000004"/>
    <n v="12.490000000000002"/>
    <n v="0.2812682970769716"/>
    <x v="0"/>
  </r>
  <r>
    <s v="ORD-10748"/>
    <x v="47"/>
    <s v="Mary Lopez"/>
    <x v="4"/>
    <x v="23"/>
    <x v="3"/>
    <n v="3"/>
    <n v="10.01"/>
    <n v="0"/>
    <x v="720"/>
    <n v="17.57"/>
    <n v="12.46"/>
    <n v="0.41491841491841491"/>
    <x v="0"/>
  </r>
  <r>
    <s v="ORD-10196"/>
    <x v="451"/>
    <s v="Kenneth Harris"/>
    <x v="4"/>
    <x v="47"/>
    <x v="4"/>
    <n v="1"/>
    <n v="56.36"/>
    <n v="0.1"/>
    <x v="721"/>
    <n v="38.333999999999996"/>
    <n v="12.39"/>
    <n v="0.24426307073574641"/>
    <x v="0"/>
  </r>
  <r>
    <s v="ORD-10214"/>
    <x v="194"/>
    <s v="Ashley Moore"/>
    <x v="0"/>
    <x v="49"/>
    <x v="4"/>
    <n v="2"/>
    <n v="40.67"/>
    <n v="0.15"/>
    <x v="722"/>
    <n v="56.769000000000013"/>
    <n v="12.369999999999997"/>
    <n v="0.17891493946976375"/>
    <x v="0"/>
  </r>
  <r>
    <s v="ORD-10854"/>
    <x v="452"/>
    <s v="William Wilson"/>
    <x v="3"/>
    <x v="27"/>
    <x v="0"/>
    <n v="1"/>
    <n v="47.82"/>
    <n v="0.2"/>
    <x v="723"/>
    <n v="25.916"/>
    <n v="12.34"/>
    <n v="0.32256378084483478"/>
    <x v="2"/>
  </r>
  <r>
    <s v="ORD-10148"/>
    <x v="217"/>
    <s v="Thomas Smith"/>
    <x v="0"/>
    <x v="31"/>
    <x v="3"/>
    <n v="1"/>
    <n v="36"/>
    <n v="0.15"/>
    <x v="724"/>
    <n v="18.270000000000003"/>
    <n v="12.329999999999998"/>
    <n v="0.40294117647058814"/>
    <x v="0"/>
  </r>
  <r>
    <s v="ORD-10459"/>
    <x v="453"/>
    <s v="Betty Ramirez"/>
    <x v="3"/>
    <x v="42"/>
    <x v="4"/>
    <n v="2"/>
    <n v="30.35"/>
    <n v="0.2"/>
    <x v="725"/>
    <n v="36.270000000000003"/>
    <n v="12.29"/>
    <n v="0.25308896210873144"/>
    <x v="0"/>
  </r>
  <r>
    <s v="ORD-10327"/>
    <x v="440"/>
    <s v="Christopher Williams"/>
    <x v="3"/>
    <x v="41"/>
    <x v="4"/>
    <n v="2"/>
    <n v="33.33"/>
    <n v="0.05"/>
    <x v="726"/>
    <n v="51.046999999999997"/>
    <n v="12.280000000000001"/>
    <n v="0.19391412825493079"/>
    <x v="1"/>
  </r>
  <r>
    <s v="ORD-10256"/>
    <x v="378"/>
    <s v="Susan Moore"/>
    <x v="3"/>
    <x v="30"/>
    <x v="2"/>
    <n v="1"/>
    <n v="141.1"/>
    <n v="0"/>
    <x v="727"/>
    <n v="128.82999999999998"/>
    <n v="12.27000000000001"/>
    <n v="8.6959603118355849E-2"/>
    <x v="2"/>
  </r>
  <r>
    <s v="ORD-10751"/>
    <x v="112"/>
    <s v="Dorothy Jones"/>
    <x v="0"/>
    <x v="45"/>
    <x v="4"/>
    <n v="2"/>
    <n v="29.64"/>
    <n v="0.1"/>
    <x v="728"/>
    <n v="41.132000000000005"/>
    <n v="12.219999999999999"/>
    <n v="0.22904483430799216"/>
    <x v="0"/>
  </r>
  <r>
    <s v="ORD-10873"/>
    <x v="426"/>
    <s v="David Davis"/>
    <x v="3"/>
    <x v="23"/>
    <x v="3"/>
    <n v="1"/>
    <n v="26.28"/>
    <n v="0"/>
    <x v="605"/>
    <n v="14.110000000000001"/>
    <n v="12.17"/>
    <n v="0.46308980213089801"/>
    <x v="1"/>
  </r>
  <r>
    <s v="ORD-10440"/>
    <x v="345"/>
    <s v="Sarah Johnson"/>
    <x v="2"/>
    <x v="47"/>
    <x v="4"/>
    <n v="2"/>
    <n v="38.549999999999997"/>
    <n v="0"/>
    <x v="729"/>
    <n v="64.989999999999995"/>
    <n v="12.11"/>
    <n v="0.15706874189364461"/>
    <x v="0"/>
  </r>
  <r>
    <s v="ORD-10874"/>
    <x v="57"/>
    <s v="Michelle Jackson"/>
    <x v="1"/>
    <x v="17"/>
    <x v="1"/>
    <n v="2"/>
    <n v="26.03"/>
    <n v="0"/>
    <x v="730"/>
    <n v="39.96"/>
    <n v="12.100000000000001"/>
    <n v="0.2324241260084518"/>
    <x v="1"/>
  </r>
  <r>
    <s v="ORD-10765"/>
    <x v="6"/>
    <s v="Jennifer Perez"/>
    <x v="0"/>
    <x v="27"/>
    <x v="0"/>
    <n v="1"/>
    <n v="41.98"/>
    <n v="0.25"/>
    <x v="731"/>
    <n v="19.445"/>
    <n v="12.04"/>
    <n v="0.38240431951723042"/>
    <x v="1"/>
  </r>
  <r>
    <s v="ORD-10501"/>
    <x v="454"/>
    <s v="Michelle Sanchez"/>
    <x v="4"/>
    <x v="44"/>
    <x v="4"/>
    <n v="3"/>
    <n v="19.27"/>
    <n v="0"/>
    <x v="732"/>
    <n v="45.78"/>
    <n v="12.030000000000001"/>
    <n v="0.20809548521017127"/>
    <x v="0"/>
  </r>
  <r>
    <s v="ORD-10791"/>
    <x v="253"/>
    <s v="Joseph Jones"/>
    <x v="3"/>
    <x v="27"/>
    <x v="0"/>
    <n v="1"/>
    <n v="38.19"/>
    <n v="0.25"/>
    <x v="733"/>
    <n v="16.722499999999997"/>
    <n v="11.920000000000002"/>
    <n v="0.4161647900846645"/>
    <x v="0"/>
  </r>
  <r>
    <s v="ORD-10556"/>
    <x v="455"/>
    <s v="Mary Lewis"/>
    <x v="0"/>
    <x v="33"/>
    <x v="4"/>
    <n v="3"/>
    <n v="15.54"/>
    <n v="0"/>
    <x v="734"/>
    <n v="34.709999999999994"/>
    <n v="11.910000000000004"/>
    <n v="0.25546975546975559"/>
    <x v="0"/>
  </r>
  <r>
    <s v="ORD-10962"/>
    <x v="280"/>
    <s v="Karen Johnson"/>
    <x v="3"/>
    <x v="5"/>
    <x v="2"/>
    <n v="1"/>
    <n v="50.52"/>
    <n v="0.05"/>
    <x v="735"/>
    <n v="36.103999999999999"/>
    <n v="11.89"/>
    <n v="0.24773930074592659"/>
    <x v="2"/>
  </r>
  <r>
    <s v="ORD-10221"/>
    <x v="380"/>
    <s v="Karen Williams"/>
    <x v="3"/>
    <x v="26"/>
    <x v="1"/>
    <n v="1"/>
    <n v="36.03"/>
    <n v="0.15"/>
    <x v="736"/>
    <n v="18.775500000000001"/>
    <n v="11.850000000000001"/>
    <n v="0.3869324582455797"/>
    <x v="1"/>
  </r>
  <r>
    <s v="ORD-10204"/>
    <x v="456"/>
    <s v="Sandra Harris"/>
    <x v="3"/>
    <x v="26"/>
    <x v="1"/>
    <n v="1"/>
    <n v="62.54"/>
    <n v="0.25"/>
    <x v="737"/>
    <n v="35.075000000000003"/>
    <n v="11.829999999999998"/>
    <n v="0.25221191770600143"/>
    <x v="0"/>
  </r>
  <r>
    <s v="ORD-10946"/>
    <x v="457"/>
    <s v="Andrew Lopez"/>
    <x v="4"/>
    <x v="9"/>
    <x v="2"/>
    <n v="3"/>
    <n v="61.28"/>
    <n v="0.2"/>
    <x v="738"/>
    <n v="135.25200000000001"/>
    <n v="11.819999999999993"/>
    <n v="8.0368798955613524E-2"/>
    <x v="2"/>
  </r>
  <r>
    <s v="ORD-10168"/>
    <x v="272"/>
    <s v="Matthew Thomas"/>
    <x v="4"/>
    <x v="9"/>
    <x v="2"/>
    <n v="1"/>
    <n v="74.36"/>
    <n v="0.05"/>
    <x v="739"/>
    <n v="58.861999999999995"/>
    <n v="11.780000000000001"/>
    <n v="0.16675632060247447"/>
    <x v="0"/>
  </r>
  <r>
    <s v="ORD-10616"/>
    <x v="128"/>
    <s v="Nancy Lopez"/>
    <x v="2"/>
    <x v="19"/>
    <x v="1"/>
    <n v="2"/>
    <n v="28.15"/>
    <n v="0.1"/>
    <x v="740"/>
    <n v="38.899999999999991"/>
    <n v="11.770000000000003"/>
    <n v="0.23228734951647925"/>
    <x v="0"/>
  </r>
  <r>
    <s v="ORD-10717"/>
    <x v="458"/>
    <s v="Richard Ramirez"/>
    <x v="2"/>
    <x v="15"/>
    <x v="2"/>
    <n v="1"/>
    <n v="77.989999999999995"/>
    <n v="0.05"/>
    <x v="741"/>
    <n v="62.320499999999996"/>
    <n v="11.769999999999996"/>
    <n v="0.15885977284537151"/>
    <x v="0"/>
  </r>
  <r>
    <s v="ORD-10558"/>
    <x v="459"/>
    <s v="Jennifer Johnson"/>
    <x v="2"/>
    <x v="34"/>
    <x v="4"/>
    <n v="2"/>
    <n v="22.86"/>
    <n v="0.1"/>
    <x v="742"/>
    <n v="29.397999999999996"/>
    <n v="11.75"/>
    <n v="0.28555458345484597"/>
    <x v="2"/>
  </r>
  <r>
    <s v="ORD-10859"/>
    <x v="460"/>
    <s v="Kenneth Anderson"/>
    <x v="1"/>
    <x v="48"/>
    <x v="1"/>
    <n v="1"/>
    <n v="31.03"/>
    <n v="0"/>
    <x v="743"/>
    <n v="19.450000000000003"/>
    <n v="11.579999999999998"/>
    <n v="0.37318723815662258"/>
    <x v="1"/>
  </r>
  <r>
    <s v="ORD-10018"/>
    <x v="101"/>
    <s v="Thomas Perez"/>
    <x v="1"/>
    <x v="47"/>
    <x v="4"/>
    <n v="1"/>
    <n v="49.73"/>
    <n v="0.25"/>
    <x v="744"/>
    <n v="25.767499999999998"/>
    <n v="11.530000000000001"/>
    <n v="0.30913600107245798"/>
    <x v="1"/>
  </r>
  <r>
    <s v="ORD-10066"/>
    <x v="461"/>
    <s v="Ashley Martinez"/>
    <x v="3"/>
    <x v="1"/>
    <x v="0"/>
    <n v="1"/>
    <n v="30.67"/>
    <n v="0.15"/>
    <x v="745"/>
    <n v="14.579500000000001"/>
    <n v="11.49"/>
    <n v="0.44074493181687413"/>
    <x v="0"/>
  </r>
  <r>
    <s v="ORD-10212"/>
    <x v="462"/>
    <s v="Linda Johnson"/>
    <x v="4"/>
    <x v="37"/>
    <x v="2"/>
    <n v="1"/>
    <n v="89.98"/>
    <n v="0"/>
    <x v="746"/>
    <n v="78.52000000000001"/>
    <n v="11.459999999999994"/>
    <n v="0.12736163591909305"/>
    <x v="0"/>
  </r>
  <r>
    <s v="ORD-10344"/>
    <x v="463"/>
    <s v="William Sanchez"/>
    <x v="2"/>
    <x v="40"/>
    <x v="4"/>
    <n v="1"/>
    <n v="33.369999999999997"/>
    <n v="0"/>
    <x v="747"/>
    <n v="22.059999999999995"/>
    <n v="11.310000000000002"/>
    <n v="0.33892718010188799"/>
    <x v="1"/>
  </r>
  <r>
    <s v="ORD-10510"/>
    <x v="464"/>
    <s v="Barbara Sanchez"/>
    <x v="4"/>
    <x v="31"/>
    <x v="3"/>
    <n v="1"/>
    <n v="19.62"/>
    <n v="0.1"/>
    <x v="748"/>
    <n v="6.418000000000001"/>
    <n v="11.24"/>
    <n v="0.63653867935213493"/>
    <x v="0"/>
  </r>
  <r>
    <s v="ORD-10684"/>
    <x v="465"/>
    <s v="Lisa Anderson"/>
    <x v="2"/>
    <x v="37"/>
    <x v="2"/>
    <n v="1"/>
    <n v="70.52"/>
    <n v="0.2"/>
    <x v="749"/>
    <n v="45.205999999999996"/>
    <n v="11.21"/>
    <n v="0.19870249574588772"/>
    <x v="1"/>
  </r>
  <r>
    <s v="ORD-10685"/>
    <x v="466"/>
    <s v="Kimberly Clark"/>
    <x v="4"/>
    <x v="36"/>
    <x v="3"/>
    <n v="1"/>
    <n v="19.16"/>
    <n v="0.1"/>
    <x v="750"/>
    <n v="6.0440000000000005"/>
    <n v="11.2"/>
    <n v="0.64950127580607742"/>
    <x v="0"/>
  </r>
  <r>
    <s v="ORD-10318"/>
    <x v="209"/>
    <s v="Betty Moore"/>
    <x v="2"/>
    <x v="28"/>
    <x v="3"/>
    <n v="1"/>
    <n v="29.06"/>
    <n v="0.05"/>
    <x v="751"/>
    <n v="16.407"/>
    <n v="11.2"/>
    <n v="0.40569420799072697"/>
    <x v="0"/>
  </r>
  <r>
    <s v="ORD-10128"/>
    <x v="97"/>
    <s v="Kevin Martin"/>
    <x v="3"/>
    <x v="41"/>
    <x v="4"/>
    <n v="2"/>
    <n v="41.3"/>
    <n v="0.15"/>
    <x v="752"/>
    <n v="59.029999999999994"/>
    <n v="11.18"/>
    <n v="0.15923657598632673"/>
    <x v="1"/>
  </r>
  <r>
    <s v="ORD-10305"/>
    <x v="467"/>
    <s v="Joseph Gonzalez"/>
    <x v="2"/>
    <x v="1"/>
    <x v="0"/>
    <n v="1"/>
    <n v="26.24"/>
    <n v="0.1"/>
    <x v="753"/>
    <n v="12.565999999999999"/>
    <n v="11.05"/>
    <n v="0.46790311653116534"/>
    <x v="1"/>
  </r>
  <r>
    <s v="ORD-10713"/>
    <x v="468"/>
    <s v="Donald Johnson"/>
    <x v="3"/>
    <x v="49"/>
    <x v="4"/>
    <n v="2"/>
    <n v="19.77"/>
    <n v="0.2"/>
    <x v="754"/>
    <n v="20.591999999999999"/>
    <n v="11.04"/>
    <n v="0.34901365705614568"/>
    <x v="2"/>
  </r>
  <r>
    <s v="ORD-10375"/>
    <x v="439"/>
    <s v="Jessica Perez"/>
    <x v="2"/>
    <x v="39"/>
    <x v="4"/>
    <n v="4"/>
    <n v="12.01"/>
    <n v="0"/>
    <x v="755"/>
    <n v="37.019999999999996"/>
    <n v="11.020000000000003"/>
    <n v="0.22939217318900923"/>
    <x v="0"/>
  </r>
  <r>
    <s v="ORD-10792"/>
    <x v="210"/>
    <s v="Elizabeth Rodriguez"/>
    <x v="1"/>
    <x v="46"/>
    <x v="1"/>
    <n v="1"/>
    <n v="43.03"/>
    <n v="0"/>
    <x v="756"/>
    <n v="32.010000000000005"/>
    <n v="11.019999999999996"/>
    <n v="0.25610039507320465"/>
    <x v="0"/>
  </r>
  <r>
    <s v="ORD-10383"/>
    <x v="21"/>
    <s v="Jessica Davis"/>
    <x v="0"/>
    <x v="41"/>
    <x v="4"/>
    <n v="1"/>
    <n v="43.88"/>
    <n v="0"/>
    <x v="757"/>
    <n v="32.900000000000006"/>
    <n v="10.979999999999997"/>
    <n v="0.25022789425706465"/>
    <x v="0"/>
  </r>
  <r>
    <s v="ORD-10651"/>
    <x v="469"/>
    <s v="Dorothy Thompson"/>
    <x v="1"/>
    <x v="35"/>
    <x v="1"/>
    <n v="4"/>
    <n v="14.57"/>
    <n v="0.1"/>
    <x v="758"/>
    <n v="41.501999999999995"/>
    <n v="10.950000000000003"/>
    <n v="0.2087622969572181"/>
    <x v="0"/>
  </r>
  <r>
    <s v="ORD-10952"/>
    <x v="91"/>
    <s v="Nancy Jackson"/>
    <x v="4"/>
    <x v="13"/>
    <x v="2"/>
    <n v="1"/>
    <n v="115.81"/>
    <n v="0.2"/>
    <x v="759"/>
    <n v="81.707999999999998"/>
    <n v="10.939999999999998"/>
    <n v="0.11808134012606854"/>
    <x v="0"/>
  </r>
  <r>
    <s v="ORD-10519"/>
    <x v="462"/>
    <s v="Joseph Harris"/>
    <x v="0"/>
    <x v="34"/>
    <x v="4"/>
    <n v="1"/>
    <n v="39.17"/>
    <n v="0.05"/>
    <x v="760"/>
    <n v="26.301500000000001"/>
    <n v="10.91"/>
    <n v="0.29318893352861347"/>
    <x v="1"/>
  </r>
  <r>
    <s v="ORD-10906"/>
    <x v="415"/>
    <s v="Robert Ramirez"/>
    <x v="1"/>
    <x v="17"/>
    <x v="1"/>
    <n v="2"/>
    <n v="14.51"/>
    <n v="0"/>
    <x v="761"/>
    <n v="18.189999999999998"/>
    <n v="10.830000000000002"/>
    <n v="0.37319090282563755"/>
    <x v="1"/>
  </r>
  <r>
    <s v="ORD-10215"/>
    <x v="470"/>
    <s v="Michelle Thompson"/>
    <x v="2"/>
    <x v="47"/>
    <x v="4"/>
    <n v="1"/>
    <n v="57.55"/>
    <n v="0.15"/>
    <x v="762"/>
    <n v="38.147499999999994"/>
    <n v="10.770000000000003"/>
    <n v="0.22016660704246954"/>
    <x v="0"/>
  </r>
  <r>
    <s v="ORD-10754"/>
    <x v="271"/>
    <s v="Sandra Thomas"/>
    <x v="0"/>
    <x v="19"/>
    <x v="1"/>
    <n v="1"/>
    <n v="38.43"/>
    <n v="0"/>
    <x v="763"/>
    <n v="27.71"/>
    <n v="10.719999999999999"/>
    <n v="0.27894873796513137"/>
    <x v="0"/>
  </r>
  <r>
    <s v="ORD-10530"/>
    <x v="59"/>
    <s v="Barbara Brown"/>
    <x v="0"/>
    <x v="11"/>
    <x v="2"/>
    <n v="2"/>
    <n v="39.04"/>
    <n v="0"/>
    <x v="764"/>
    <n v="67.38"/>
    <n v="10.700000000000003"/>
    <n v="0.13703893442622955"/>
    <x v="0"/>
  </r>
  <r>
    <s v="ORD-10943"/>
    <x v="76"/>
    <s v="David Thompson"/>
    <x v="0"/>
    <x v="9"/>
    <x v="2"/>
    <n v="2"/>
    <n v="29.6"/>
    <n v="0"/>
    <x v="765"/>
    <n v="48.510000000000005"/>
    <n v="10.689999999999998"/>
    <n v="0.18057432432432427"/>
    <x v="0"/>
  </r>
  <r>
    <s v="ORD-10640"/>
    <x v="105"/>
    <s v="Dorothy Lewis"/>
    <x v="2"/>
    <x v="12"/>
    <x v="0"/>
    <n v="1"/>
    <n v="20.92"/>
    <n v="0.05"/>
    <x v="766"/>
    <n v="9.2040000000000024"/>
    <n v="10.67"/>
    <n v="0.53688235886082314"/>
    <x v="0"/>
  </r>
  <r>
    <s v="ORD-10138"/>
    <x v="471"/>
    <s v="Joseph Jones"/>
    <x v="4"/>
    <x v="24"/>
    <x v="3"/>
    <n v="2"/>
    <n v="11.41"/>
    <n v="0.2"/>
    <x v="767"/>
    <n v="7.6059999999999999"/>
    <n v="10.65"/>
    <n v="0.58336985100788785"/>
    <x v="1"/>
  </r>
  <r>
    <s v="ORD-10808"/>
    <x v="317"/>
    <s v="Michelle Miller"/>
    <x v="4"/>
    <x v="37"/>
    <x v="2"/>
    <n v="1"/>
    <n v="51.42"/>
    <n v="0"/>
    <x v="768"/>
    <n v="40.770000000000003"/>
    <n v="10.649999999999999"/>
    <n v="0.20711785297549587"/>
    <x v="0"/>
  </r>
  <r>
    <s v="ORD-10265"/>
    <x v="472"/>
    <s v="Mark Ramirez"/>
    <x v="1"/>
    <x v="42"/>
    <x v="4"/>
    <n v="3"/>
    <n v="12.48"/>
    <n v="0.15"/>
    <x v="769"/>
    <n v="21.173999999999999"/>
    <n v="10.649999999999999"/>
    <n v="0.33465309200603316"/>
    <x v="1"/>
  </r>
  <r>
    <s v="ORD-10287"/>
    <x v="473"/>
    <s v="Kenneth Clark"/>
    <x v="1"/>
    <x v="10"/>
    <x v="1"/>
    <n v="2"/>
    <n v="17.55"/>
    <n v="0.2"/>
    <x v="770"/>
    <n v="17.440000000000001"/>
    <n v="10.64"/>
    <n v="0.37891737891737892"/>
    <x v="0"/>
  </r>
  <r>
    <s v="ORD-10304"/>
    <x v="474"/>
    <s v="James Jackson"/>
    <x v="1"/>
    <x v="34"/>
    <x v="4"/>
    <n v="3"/>
    <n v="23.15"/>
    <n v="0.2"/>
    <x v="771"/>
    <n v="44.929999999999986"/>
    <n v="10.630000000000003"/>
    <n v="0.19132469402447813"/>
    <x v="0"/>
  </r>
  <r>
    <s v="ORD-10497"/>
    <x v="393"/>
    <s v="James Miller"/>
    <x v="0"/>
    <x v="14"/>
    <x v="3"/>
    <n v="2"/>
    <n v="9"/>
    <n v="0"/>
    <x v="772"/>
    <n v="7.3900000000000006"/>
    <n v="10.61"/>
    <n v="0.58944444444444444"/>
    <x v="0"/>
  </r>
  <r>
    <s v="ORD-10126"/>
    <x v="444"/>
    <s v="Richard Thompson"/>
    <x v="4"/>
    <x v="14"/>
    <x v="3"/>
    <n v="1"/>
    <n v="25.17"/>
    <n v="0.15"/>
    <x v="773"/>
    <n v="10.784500000000001"/>
    <n v="10.61"/>
    <n v="0.49592184907335995"/>
    <x v="0"/>
  </r>
  <r>
    <s v="ORD-10631"/>
    <x v="213"/>
    <s v="David Thomas"/>
    <x v="2"/>
    <x v="41"/>
    <x v="4"/>
    <n v="3"/>
    <n v="15.44"/>
    <n v="0"/>
    <x v="774"/>
    <n v="35.72"/>
    <n v="10.600000000000001"/>
    <n v="0.22884283246977549"/>
    <x v="0"/>
  </r>
  <r>
    <s v="ORD-10242"/>
    <x v="242"/>
    <s v="Joshua Williams"/>
    <x v="3"/>
    <x v="34"/>
    <x v="4"/>
    <n v="3"/>
    <n v="22.37"/>
    <n v="0"/>
    <x v="775"/>
    <n v="56.55"/>
    <n v="10.560000000000002"/>
    <n v="0.15735359856951278"/>
    <x v="2"/>
  </r>
  <r>
    <s v="ORD-10401"/>
    <x v="191"/>
    <s v="Steven Jones"/>
    <x v="0"/>
    <x v="49"/>
    <x v="4"/>
    <n v="1"/>
    <n v="32.49"/>
    <n v="0"/>
    <x v="776"/>
    <n v="21.94"/>
    <n v="10.55"/>
    <n v="0.324715297014466"/>
    <x v="2"/>
  </r>
  <r>
    <s v="ORD-10035"/>
    <x v="439"/>
    <s v="Susan Clark"/>
    <x v="3"/>
    <x v="7"/>
    <x v="0"/>
    <n v="1"/>
    <n v="20.170000000000002"/>
    <n v="0"/>
    <x v="777"/>
    <n v="9.6800000000000015"/>
    <n v="10.49"/>
    <n v="0.52007932573128401"/>
    <x v="0"/>
  </r>
  <r>
    <s v="ORD-10926"/>
    <x v="162"/>
    <s v="Daniel Sanchez"/>
    <x v="0"/>
    <x v="34"/>
    <x v="4"/>
    <n v="1"/>
    <n v="56.95"/>
    <n v="0"/>
    <x v="778"/>
    <n v="46.47"/>
    <n v="10.480000000000004"/>
    <n v="0.18402107111501323"/>
    <x v="0"/>
  </r>
  <r>
    <s v="ORD-10308"/>
    <x v="121"/>
    <s v="Elizabeth Ramirez"/>
    <x v="0"/>
    <x v="41"/>
    <x v="4"/>
    <n v="1"/>
    <n v="37.1"/>
    <n v="0.15"/>
    <x v="779"/>
    <n v="21.074999999999999"/>
    <n v="10.46"/>
    <n v="0.33169494212779455"/>
    <x v="2"/>
  </r>
  <r>
    <s v="ORD-10480"/>
    <x v="351"/>
    <s v="Mary Brown"/>
    <x v="1"/>
    <x v="10"/>
    <x v="1"/>
    <n v="2"/>
    <n v="21.3"/>
    <n v="0"/>
    <x v="780"/>
    <n v="32.160000000000004"/>
    <n v="10.439999999999998"/>
    <n v="0.24507042253521122"/>
    <x v="0"/>
  </r>
  <r>
    <s v="ORD-10740"/>
    <x v="475"/>
    <s v="Donald Jones"/>
    <x v="1"/>
    <x v="33"/>
    <x v="4"/>
    <n v="1"/>
    <n v="32.68"/>
    <n v="0.05"/>
    <x v="781"/>
    <n v="20.655999999999999"/>
    <n v="10.39"/>
    <n v="0.33466469110352381"/>
    <x v="0"/>
  </r>
  <r>
    <s v="ORD-10692"/>
    <x v="348"/>
    <s v="Anthony Moore"/>
    <x v="2"/>
    <x v="41"/>
    <x v="4"/>
    <n v="1"/>
    <n v="50.87"/>
    <n v="0.1"/>
    <x v="782"/>
    <n v="35.393000000000001"/>
    <n v="10.39"/>
    <n v="0.22694013061616758"/>
    <x v="0"/>
  </r>
  <r>
    <s v="ORD-10352"/>
    <x v="171"/>
    <s v="Joseph Lee"/>
    <x v="1"/>
    <x v="38"/>
    <x v="0"/>
    <n v="1"/>
    <n v="30.6"/>
    <n v="0.05"/>
    <x v="783"/>
    <n v="18.75"/>
    <n v="10.32"/>
    <n v="0.35500515995872034"/>
    <x v="0"/>
  </r>
  <r>
    <s v="ORD-10858"/>
    <x v="476"/>
    <s v="Elizabeth Davis"/>
    <x v="2"/>
    <x v="16"/>
    <x v="1"/>
    <n v="1"/>
    <n v="40.950000000000003"/>
    <n v="0"/>
    <x v="784"/>
    <n v="30.630000000000003"/>
    <n v="10.32"/>
    <n v="0.25201465201465201"/>
    <x v="0"/>
  </r>
  <r>
    <s v="ORD-10656"/>
    <x v="477"/>
    <s v="Matthew Harris"/>
    <x v="0"/>
    <x v="14"/>
    <x v="3"/>
    <n v="1"/>
    <n v="19.46"/>
    <n v="0"/>
    <x v="785"/>
    <n v="9.16"/>
    <n v="10.3"/>
    <n v="0.52929085303186019"/>
    <x v="0"/>
  </r>
  <r>
    <s v="ORD-10636"/>
    <x v="478"/>
    <s v="Paul Jackson"/>
    <x v="4"/>
    <x v="39"/>
    <x v="4"/>
    <n v="2"/>
    <n v="23.88"/>
    <n v="0"/>
    <x v="786"/>
    <n v="37.519999999999996"/>
    <n v="10.240000000000002"/>
    <n v="0.21440536013400341"/>
    <x v="0"/>
  </r>
  <r>
    <s v="ORD-10799"/>
    <x v="479"/>
    <s v="David Garcia"/>
    <x v="2"/>
    <x v="31"/>
    <x v="3"/>
    <n v="2"/>
    <n v="8.23"/>
    <n v="0"/>
    <x v="787"/>
    <n v="6.24"/>
    <n v="10.220000000000001"/>
    <n v="0.62089914945321989"/>
    <x v="1"/>
  </r>
  <r>
    <s v="ORD-10076"/>
    <x v="207"/>
    <s v="Joshua Smith"/>
    <x v="1"/>
    <x v="35"/>
    <x v="1"/>
    <n v="1"/>
    <n v="27.61"/>
    <n v="0"/>
    <x v="788"/>
    <n v="17.39"/>
    <n v="10.219999999999999"/>
    <n v="0.37015574067366891"/>
    <x v="0"/>
  </r>
  <r>
    <s v="ORD-10468"/>
    <x v="412"/>
    <s v="Linda Garcia"/>
    <x v="3"/>
    <x v="38"/>
    <x v="0"/>
    <n v="1"/>
    <n v="27.35"/>
    <n v="0.05"/>
    <x v="789"/>
    <n v="15.782500000000002"/>
    <n v="10.199999999999999"/>
    <n v="0.39257192340998742"/>
    <x v="0"/>
  </r>
  <r>
    <s v="ORD-10087"/>
    <x v="236"/>
    <s v="Thomas White"/>
    <x v="4"/>
    <x v="23"/>
    <x v="3"/>
    <n v="1"/>
    <n v="29.91"/>
    <n v="0.15"/>
    <x v="790"/>
    <n v="15.233500000000001"/>
    <n v="10.19"/>
    <n v="0.40081027395913227"/>
    <x v="1"/>
  </r>
  <r>
    <s v="ORD-10046"/>
    <x v="267"/>
    <s v="Donna Robinson"/>
    <x v="1"/>
    <x v="17"/>
    <x v="1"/>
    <n v="2"/>
    <n v="27.91"/>
    <n v="0.15"/>
    <x v="791"/>
    <n v="37.337000000000003"/>
    <n v="10.11"/>
    <n v="0.21307985752523867"/>
    <x v="1"/>
  </r>
  <r>
    <s v="ORD-10830"/>
    <x v="139"/>
    <s v="Karen Brown"/>
    <x v="1"/>
    <x v="40"/>
    <x v="4"/>
    <n v="1"/>
    <n v="36.47"/>
    <n v="0"/>
    <x v="792"/>
    <n v="26.409999999999997"/>
    <n v="10.060000000000002"/>
    <n v="0.27584315876062526"/>
    <x v="0"/>
  </r>
  <r>
    <s v="ORD-10166"/>
    <x v="34"/>
    <s v="Kimberly Martin"/>
    <x v="0"/>
    <x v="41"/>
    <x v="4"/>
    <n v="1"/>
    <n v="48.3"/>
    <n v="0.1"/>
    <x v="793"/>
    <n v="33.409999999999997"/>
    <n v="10.060000000000002"/>
    <n v="0.23142397055440539"/>
    <x v="0"/>
  </r>
  <r>
    <s v="ORD-10184"/>
    <x v="134"/>
    <s v="Lisa Lewis"/>
    <x v="4"/>
    <x v="28"/>
    <x v="3"/>
    <n v="1"/>
    <n v="18.100000000000001"/>
    <n v="0.1"/>
    <x v="794"/>
    <n v="6.240000000000002"/>
    <n v="10.050000000000001"/>
    <n v="0.6169429097605893"/>
    <x v="0"/>
  </r>
  <r>
    <s v="ORD-10674"/>
    <x v="480"/>
    <s v="Donna Miller"/>
    <x v="2"/>
    <x v="26"/>
    <x v="1"/>
    <n v="4"/>
    <n v="10.199999999999999"/>
    <n v="0.2"/>
    <x v="795"/>
    <n v="22.66"/>
    <n v="9.98"/>
    <n v="0.30575980392156865"/>
    <x v="0"/>
  </r>
  <r>
    <s v="ORD-10298"/>
    <x v="112"/>
    <s v="Robert Jackson"/>
    <x v="3"/>
    <x v="34"/>
    <x v="4"/>
    <n v="2"/>
    <n v="27.55"/>
    <n v="0.1"/>
    <x v="796"/>
    <n v="39.81"/>
    <n v="9.7800000000000011"/>
    <n v="0.19721718088324261"/>
    <x v="1"/>
  </r>
  <r>
    <s v="ORD-10029"/>
    <x v="282"/>
    <s v="Andrew Brown"/>
    <x v="4"/>
    <x v="27"/>
    <x v="0"/>
    <n v="1"/>
    <n v="31.5"/>
    <n v="0"/>
    <x v="797"/>
    <n v="21.759999999999998"/>
    <n v="9.740000000000002"/>
    <n v="0.30920634920634926"/>
    <x v="1"/>
  </r>
  <r>
    <s v="ORD-10500"/>
    <x v="330"/>
    <s v="Thomas Williams"/>
    <x v="2"/>
    <x v="20"/>
    <x v="3"/>
    <n v="1"/>
    <n v="26.51"/>
    <n v="0.15"/>
    <x v="798"/>
    <n v="12.8035"/>
    <n v="9.73"/>
    <n v="0.43180153992943843"/>
    <x v="1"/>
  </r>
  <r>
    <s v="ORD-10534"/>
    <x v="481"/>
    <s v="Lisa Gonzalez"/>
    <x v="3"/>
    <x v="16"/>
    <x v="1"/>
    <n v="1"/>
    <n v="29.55"/>
    <n v="0.15"/>
    <x v="799"/>
    <n v="15.4275"/>
    <n v="9.69"/>
    <n v="0.38578680203045684"/>
    <x v="0"/>
  </r>
  <r>
    <s v="ORD-10477"/>
    <x v="359"/>
    <s v="Matthew Sanchez"/>
    <x v="0"/>
    <x v="26"/>
    <x v="1"/>
    <n v="1"/>
    <n v="36"/>
    <n v="0.1"/>
    <x v="800"/>
    <n v="22.72"/>
    <n v="9.68"/>
    <n v="0.29876543209876544"/>
    <x v="0"/>
  </r>
  <r>
    <s v="ORD-10385"/>
    <x v="482"/>
    <s v="Sarah Williams"/>
    <x v="2"/>
    <x v="16"/>
    <x v="1"/>
    <n v="3"/>
    <n v="12.67"/>
    <n v="0.1"/>
    <x v="801"/>
    <n v="24.538999999999994"/>
    <n v="9.6700000000000017"/>
    <n v="0.2826741500774651"/>
    <x v="1"/>
  </r>
  <r>
    <s v="ORD-10573"/>
    <x v="327"/>
    <s v="William Anderson"/>
    <x v="3"/>
    <x v="42"/>
    <x v="4"/>
    <n v="1"/>
    <n v="38.03"/>
    <n v="0"/>
    <x v="802"/>
    <n v="28.410000000000004"/>
    <n v="9.6199999999999974"/>
    <n v="0.25295819090191946"/>
    <x v="1"/>
  </r>
  <r>
    <s v="ORD-10654"/>
    <x v="216"/>
    <s v="Robert Thompson"/>
    <x v="3"/>
    <x v="47"/>
    <x v="4"/>
    <n v="1"/>
    <n v="35.08"/>
    <n v="0"/>
    <x v="803"/>
    <n v="25.54"/>
    <n v="9.5399999999999991"/>
    <n v="0.27194982896237169"/>
    <x v="1"/>
  </r>
  <r>
    <s v="ORD-10835"/>
    <x v="203"/>
    <s v="William Anderson"/>
    <x v="2"/>
    <x v="45"/>
    <x v="4"/>
    <n v="1"/>
    <n v="45.7"/>
    <n v="0.05"/>
    <x v="804"/>
    <n v="33.905000000000008"/>
    <n v="9.509999999999998"/>
    <n v="0.21904871588160765"/>
    <x v="0"/>
  </r>
  <r>
    <s v="ORD-10461"/>
    <x v="450"/>
    <s v="Sandra Williams"/>
    <x v="1"/>
    <x v="37"/>
    <x v="2"/>
    <n v="3"/>
    <n v="29.39"/>
    <n v="0.05"/>
    <x v="805"/>
    <n v="74.271500000000003"/>
    <n v="9.4899999999999949"/>
    <n v="0.11329787551560079"/>
    <x v="0"/>
  </r>
  <r>
    <s v="ORD-10290"/>
    <x v="170"/>
    <s v="Michael White"/>
    <x v="4"/>
    <x v="5"/>
    <x v="2"/>
    <n v="1"/>
    <n v="51.95"/>
    <n v="0.05"/>
    <x v="806"/>
    <n v="39.902500000000003"/>
    <n v="9.4500000000000028"/>
    <n v="0.19147966161795252"/>
    <x v="2"/>
  </r>
  <r>
    <s v="ORD-10036"/>
    <x v="483"/>
    <s v="Kenneth Lopez"/>
    <x v="0"/>
    <x v="43"/>
    <x v="2"/>
    <n v="2"/>
    <n v="44.76"/>
    <n v="0.2"/>
    <x v="807"/>
    <n v="62.225999999999999"/>
    <n v="9.39"/>
    <n v="0.13111595174262736"/>
    <x v="2"/>
  </r>
  <r>
    <s v="ORD-10773"/>
    <x v="438"/>
    <s v="Emily Miller"/>
    <x v="3"/>
    <x v="41"/>
    <x v="4"/>
    <n v="1"/>
    <n v="27.27"/>
    <n v="0"/>
    <x v="808"/>
    <n v="17.89"/>
    <n v="9.379999999999999"/>
    <n v="0.34396773010634396"/>
    <x v="0"/>
  </r>
  <r>
    <s v="ORD-10816"/>
    <x v="18"/>
    <s v="Thomas Williams"/>
    <x v="2"/>
    <x v="26"/>
    <x v="1"/>
    <n v="1"/>
    <n v="25.15"/>
    <n v="0.05"/>
    <x v="809"/>
    <n v="14.522499999999999"/>
    <n v="9.3699999999999992"/>
    <n v="0.39217327613267761"/>
    <x v="0"/>
  </r>
  <r>
    <s v="ORD-10850"/>
    <x v="265"/>
    <s v="Betty Martinez"/>
    <x v="2"/>
    <x v="34"/>
    <x v="4"/>
    <n v="1"/>
    <n v="30.13"/>
    <n v="0.1"/>
    <x v="810"/>
    <n v="17.747"/>
    <n v="9.3699999999999974"/>
    <n v="0.34553969834421205"/>
    <x v="0"/>
  </r>
  <r>
    <s v="ORD-10145"/>
    <x v="163"/>
    <s v="Barbara Lee"/>
    <x v="4"/>
    <x v="35"/>
    <x v="1"/>
    <n v="1"/>
    <n v="30.6"/>
    <n v="0.05"/>
    <x v="783"/>
    <n v="19.71"/>
    <n v="9.36"/>
    <n v="0.32198142414860681"/>
    <x v="1"/>
  </r>
  <r>
    <s v="ORD-10219"/>
    <x v="243"/>
    <s v="Robert Brown"/>
    <x v="4"/>
    <x v="39"/>
    <x v="4"/>
    <n v="1"/>
    <n v="32.61"/>
    <n v="0.1"/>
    <x v="811"/>
    <n v="19.989000000000001"/>
    <n v="9.36"/>
    <n v="0.31892057651027289"/>
    <x v="1"/>
  </r>
  <r>
    <s v="ORD-10425"/>
    <x v="55"/>
    <s v="Anthony Gonzalez"/>
    <x v="0"/>
    <x v="39"/>
    <x v="4"/>
    <n v="4"/>
    <n v="10.15"/>
    <n v="0.1"/>
    <x v="812"/>
    <n v="27.18"/>
    <n v="9.36"/>
    <n v="0.25615763546798026"/>
    <x v="1"/>
  </r>
  <r>
    <s v="ORD-10408"/>
    <x v="232"/>
    <s v="Sarah Sanchez"/>
    <x v="3"/>
    <x v="19"/>
    <x v="1"/>
    <n v="2"/>
    <n v="21.41"/>
    <n v="0.05"/>
    <x v="813"/>
    <n v="31.329000000000001"/>
    <n v="9.3500000000000014"/>
    <n v="0.22984832468841418"/>
    <x v="0"/>
  </r>
  <r>
    <s v="ORD-10999"/>
    <x v="484"/>
    <s v="Jennifer Lewis"/>
    <x v="2"/>
    <x v="30"/>
    <x v="2"/>
    <n v="1"/>
    <n v="75.17"/>
    <n v="0.15"/>
    <x v="814"/>
    <n v="54.584499999999998"/>
    <n v="9.3100000000000023"/>
    <n v="0.14570894208421697"/>
    <x v="0"/>
  </r>
  <r>
    <s v="ORD-10359"/>
    <x v="153"/>
    <s v="Linda Harris"/>
    <x v="0"/>
    <x v="7"/>
    <x v="0"/>
    <n v="1"/>
    <n v="21.47"/>
    <n v="0.2"/>
    <x v="815"/>
    <n v="7.9959999999999987"/>
    <n v="9.18"/>
    <n v="0.53446669771774569"/>
    <x v="1"/>
  </r>
  <r>
    <s v="ORD-10259"/>
    <x v="418"/>
    <s v="Ashley Harris"/>
    <x v="3"/>
    <x v="34"/>
    <x v="4"/>
    <n v="2"/>
    <n v="21.08"/>
    <n v="0.05"/>
    <x v="816"/>
    <n v="30.891999999999999"/>
    <n v="9.16"/>
    <n v="0.22870268650754019"/>
    <x v="1"/>
  </r>
  <r>
    <s v="ORD-10576"/>
    <x v="485"/>
    <s v="Andrew Robinson"/>
    <x v="0"/>
    <x v="47"/>
    <x v="4"/>
    <n v="1"/>
    <n v="48.63"/>
    <n v="0.15"/>
    <x v="817"/>
    <n v="32.185500000000005"/>
    <n v="9.1499999999999986"/>
    <n v="0.22135936422687516"/>
    <x v="0"/>
  </r>
  <r>
    <s v="ORD-10560"/>
    <x v="486"/>
    <s v="William Smith"/>
    <x v="0"/>
    <x v="39"/>
    <x v="4"/>
    <n v="1"/>
    <n v="45.68"/>
    <n v="0"/>
    <x v="818"/>
    <n v="36.549999999999997"/>
    <n v="9.1300000000000026"/>
    <n v="0.19986865148861652"/>
    <x v="0"/>
  </r>
  <r>
    <s v="ORD-10723"/>
    <x v="291"/>
    <s v="Elizabeth Ramirez"/>
    <x v="4"/>
    <x v="47"/>
    <x v="4"/>
    <n v="1"/>
    <n v="52.15"/>
    <n v="0.1"/>
    <x v="819"/>
    <n v="37.805"/>
    <n v="9.1300000000000026"/>
    <n v="0.19452434217534892"/>
    <x v="1"/>
  </r>
  <r>
    <s v="ORD-10784"/>
    <x v="136"/>
    <s v="Carol Martinez"/>
    <x v="3"/>
    <x v="20"/>
    <x v="3"/>
    <n v="1"/>
    <n v="19.78"/>
    <n v="0.05"/>
    <x v="820"/>
    <n v="9.7710000000000008"/>
    <n v="9.02"/>
    <n v="0.48001702942898195"/>
    <x v="0"/>
  </r>
  <r>
    <s v="ORD-10544"/>
    <x v="487"/>
    <s v="Donald Garcia"/>
    <x v="1"/>
    <x v="46"/>
    <x v="1"/>
    <n v="1"/>
    <n v="35.33"/>
    <n v="0"/>
    <x v="821"/>
    <n v="26.339999999999996"/>
    <n v="8.990000000000002"/>
    <n v="0.25445796773280505"/>
    <x v="0"/>
  </r>
  <r>
    <s v="ORD-10743"/>
    <x v="68"/>
    <s v="David Garcia"/>
    <x v="4"/>
    <x v="12"/>
    <x v="0"/>
    <n v="1"/>
    <n v="28.41"/>
    <n v="0"/>
    <x v="822"/>
    <n v="19.46"/>
    <n v="8.9499999999999993"/>
    <n v="0.31502991904259059"/>
    <x v="0"/>
  </r>
  <r>
    <s v="ORD-10989"/>
    <x v="488"/>
    <s v="David Sanchez"/>
    <x v="4"/>
    <x v="26"/>
    <x v="1"/>
    <n v="1"/>
    <n v="31.7"/>
    <n v="0.2"/>
    <x v="823"/>
    <n v="16.479999999999997"/>
    <n v="8.8800000000000026"/>
    <n v="0.3501577287066247"/>
    <x v="1"/>
  </r>
  <r>
    <s v="ORD-10509"/>
    <x v="146"/>
    <s v="Betty Lopez"/>
    <x v="3"/>
    <x v="11"/>
    <x v="2"/>
    <n v="1"/>
    <n v="85.98"/>
    <n v="0.1"/>
    <x v="824"/>
    <n v="68.50200000000001"/>
    <n v="8.8799999999999955"/>
    <n v="0.11475536946576717"/>
    <x v="1"/>
  </r>
  <r>
    <s v="ORD-10824"/>
    <x v="201"/>
    <s v="Lisa Gonzalez"/>
    <x v="1"/>
    <x v="35"/>
    <x v="1"/>
    <n v="1"/>
    <n v="41.59"/>
    <n v="0.1"/>
    <x v="825"/>
    <n v="28.571000000000005"/>
    <n v="8.86"/>
    <n v="0.23670219871229725"/>
    <x v="2"/>
  </r>
  <r>
    <s v="ORD-10172"/>
    <x v="273"/>
    <s v="Richard Thompson"/>
    <x v="4"/>
    <x v="33"/>
    <x v="4"/>
    <n v="1"/>
    <n v="39.69"/>
    <n v="0.15"/>
    <x v="826"/>
    <n v="24.916499999999999"/>
    <n v="8.82"/>
    <n v="0.26143790849673204"/>
    <x v="0"/>
  </r>
  <r>
    <s v="ORD-10432"/>
    <x v="81"/>
    <s v="Susan Lopez"/>
    <x v="0"/>
    <x v="47"/>
    <x v="4"/>
    <n v="1"/>
    <n v="56.55"/>
    <n v="0.05"/>
    <x v="827"/>
    <n v="44.912499999999994"/>
    <n v="8.8100000000000023"/>
    <n v="0.16399087905439999"/>
    <x v="0"/>
  </r>
  <r>
    <s v="ORD-10063"/>
    <x v="315"/>
    <s v="Carol Rodriguez"/>
    <x v="4"/>
    <x v="24"/>
    <x v="3"/>
    <n v="2"/>
    <n v="12.96"/>
    <n v="0.2"/>
    <x v="828"/>
    <n v="12.016"/>
    <n v="8.7200000000000006"/>
    <n v="0.42052469135802473"/>
    <x v="0"/>
  </r>
  <r>
    <s v="ORD-10742"/>
    <x v="33"/>
    <s v="Anthony Hernandez"/>
    <x v="2"/>
    <x v="41"/>
    <x v="4"/>
    <n v="2"/>
    <n v="25.2"/>
    <n v="0.1"/>
    <x v="829"/>
    <n v="36.64"/>
    <n v="8.7199999999999989"/>
    <n v="0.19223985890652556"/>
    <x v="0"/>
  </r>
  <r>
    <s v="ORD-10575"/>
    <x v="489"/>
    <s v="Richard White"/>
    <x v="2"/>
    <x v="20"/>
    <x v="3"/>
    <n v="1"/>
    <n v="22.58"/>
    <n v="0.1"/>
    <x v="830"/>
    <n v="11.622"/>
    <n v="8.6999999999999993"/>
    <n v="0.42810746973723057"/>
    <x v="1"/>
  </r>
  <r>
    <s v="ORD-10124"/>
    <x v="157"/>
    <s v="Robert Williams"/>
    <x v="3"/>
    <x v="19"/>
    <x v="1"/>
    <n v="2"/>
    <n v="19.59"/>
    <n v="0.1"/>
    <x v="831"/>
    <n v="26.602"/>
    <n v="8.66"/>
    <n v="0.24559015370653961"/>
    <x v="1"/>
  </r>
  <r>
    <s v="ORD-10336"/>
    <x v="223"/>
    <s v="Jennifer Davis"/>
    <x v="4"/>
    <x v="42"/>
    <x v="4"/>
    <n v="1"/>
    <n v="54.65"/>
    <n v="0.05"/>
    <x v="832"/>
    <n v="43.307499999999997"/>
    <n v="8.61"/>
    <n v="0.16584003467039052"/>
    <x v="0"/>
  </r>
  <r>
    <s v="ORD-10042"/>
    <x v="368"/>
    <s v="Thomas Thomas"/>
    <x v="2"/>
    <x v="41"/>
    <x v="4"/>
    <n v="2"/>
    <n v="15.54"/>
    <n v="0"/>
    <x v="833"/>
    <n v="22.49"/>
    <n v="8.59"/>
    <n v="0.27638352638352637"/>
    <x v="2"/>
  </r>
  <r>
    <s v="ORD-11000"/>
    <x v="490"/>
    <s v="Michael Smith"/>
    <x v="3"/>
    <x v="34"/>
    <x v="4"/>
    <n v="2"/>
    <n v="16.91"/>
    <n v="0.1"/>
    <x v="834"/>
    <n v="21.867999999999999"/>
    <n v="8.57"/>
    <n v="0.28155594979959264"/>
    <x v="0"/>
  </r>
  <r>
    <s v="ORD-10324"/>
    <x v="306"/>
    <s v="Lisa Johnson"/>
    <x v="4"/>
    <x v="33"/>
    <x v="4"/>
    <n v="1"/>
    <n v="52.35"/>
    <n v="0"/>
    <x v="835"/>
    <n v="43.83"/>
    <n v="8.5200000000000031"/>
    <n v="0.16275071633237828"/>
    <x v="0"/>
  </r>
  <r>
    <s v="ORD-10446"/>
    <x v="404"/>
    <s v="Kenneth Perez"/>
    <x v="2"/>
    <x v="48"/>
    <x v="1"/>
    <n v="1"/>
    <n v="28.57"/>
    <n v="0.15"/>
    <x v="836"/>
    <n v="15.764500000000002"/>
    <n v="8.52"/>
    <n v="0.35084107146533794"/>
    <x v="2"/>
  </r>
  <r>
    <s v="ORD-10392"/>
    <x v="420"/>
    <s v="Barbara Robinson"/>
    <x v="3"/>
    <x v="4"/>
    <x v="1"/>
    <n v="1"/>
    <n v="49.92"/>
    <n v="0.15"/>
    <x v="837"/>
    <n v="33.932000000000002"/>
    <n v="8.5"/>
    <n v="0.2003205128205128"/>
    <x v="0"/>
  </r>
  <r>
    <s v="ORD-10361"/>
    <x v="491"/>
    <s v="Kimberly Thomas"/>
    <x v="4"/>
    <x v="42"/>
    <x v="4"/>
    <n v="1"/>
    <n v="44.78"/>
    <n v="0.2"/>
    <x v="838"/>
    <n v="27.323999999999998"/>
    <n v="8.5"/>
    <n v="0.23727110317105851"/>
    <x v="1"/>
  </r>
  <r>
    <s v="ORD-10652"/>
    <x v="252"/>
    <s v="Sandra Harris"/>
    <x v="3"/>
    <x v="5"/>
    <x v="2"/>
    <n v="1"/>
    <n v="45.48"/>
    <n v="0.15"/>
    <x v="839"/>
    <n v="30.248000000000001"/>
    <n v="8.41"/>
    <n v="0.21754876092917377"/>
    <x v="0"/>
  </r>
  <r>
    <s v="ORD-10362"/>
    <x v="131"/>
    <s v="Kenneth Johnson"/>
    <x v="4"/>
    <x v="39"/>
    <x v="4"/>
    <n v="1"/>
    <n v="38.869999999999997"/>
    <n v="0"/>
    <x v="840"/>
    <n v="30.459999999999997"/>
    <n v="8.41"/>
    <n v="0.21636223308464114"/>
    <x v="2"/>
  </r>
  <r>
    <s v="ORD-10142"/>
    <x v="477"/>
    <s v="Daniel Robinson"/>
    <x v="0"/>
    <x v="16"/>
    <x v="1"/>
    <n v="1"/>
    <n v="22.64"/>
    <n v="0"/>
    <x v="841"/>
    <n v="14.25"/>
    <n v="8.39"/>
    <n v="0.37058303886925797"/>
    <x v="0"/>
  </r>
  <r>
    <s v="ORD-10237"/>
    <x v="492"/>
    <s v="Sarah Sanchez"/>
    <x v="2"/>
    <x v="16"/>
    <x v="1"/>
    <n v="1"/>
    <n v="26.19"/>
    <n v="0"/>
    <x v="842"/>
    <n v="17.82"/>
    <n v="8.370000000000001"/>
    <n v="0.31958762886597941"/>
    <x v="2"/>
  </r>
  <r>
    <s v="ORD-10239"/>
    <x v="401"/>
    <s v="Sarah Johnson"/>
    <x v="1"/>
    <x v="12"/>
    <x v="0"/>
    <n v="2"/>
    <n v="16.5"/>
    <n v="0.2"/>
    <x v="843"/>
    <n v="18.03"/>
    <n v="8.3699999999999974"/>
    <n v="0.31704545454545446"/>
    <x v="0"/>
  </r>
  <r>
    <s v="ORD-10048"/>
    <x v="17"/>
    <s v="Thomas White"/>
    <x v="2"/>
    <x v="37"/>
    <x v="2"/>
    <n v="1"/>
    <n v="54.46"/>
    <n v="0.1"/>
    <x v="844"/>
    <n v="40.664000000000001"/>
    <n v="8.3500000000000014"/>
    <n v="0.17035948912555599"/>
    <x v="0"/>
  </r>
  <r>
    <s v="ORD-10843"/>
    <x v="21"/>
    <s v="Carol Wilson"/>
    <x v="3"/>
    <x v="14"/>
    <x v="3"/>
    <n v="2"/>
    <n v="8.43"/>
    <n v="0.2"/>
    <x v="845"/>
    <n v="5.1479999999999997"/>
    <n v="8.34"/>
    <n v="0.6183274021352313"/>
    <x v="2"/>
  </r>
  <r>
    <s v="ORD-10111"/>
    <x v="254"/>
    <s v="Robert Hernandez"/>
    <x v="3"/>
    <x v="48"/>
    <x v="1"/>
    <n v="1"/>
    <n v="30.64"/>
    <n v="0"/>
    <x v="540"/>
    <n v="22.310000000000002"/>
    <n v="8.3299999999999983"/>
    <n v="0.27186684073107042"/>
    <x v="0"/>
  </r>
  <r>
    <s v="ORD-10300"/>
    <x v="378"/>
    <s v="Karen Clark"/>
    <x v="2"/>
    <x v="10"/>
    <x v="1"/>
    <n v="1"/>
    <n v="29.1"/>
    <n v="0"/>
    <x v="846"/>
    <n v="20.78"/>
    <n v="8.32"/>
    <n v="0.28591065292096218"/>
    <x v="0"/>
  </r>
  <r>
    <s v="ORD-10152"/>
    <x v="493"/>
    <s v="Donald Brown"/>
    <x v="0"/>
    <x v="33"/>
    <x v="4"/>
    <n v="2"/>
    <n v="19.55"/>
    <n v="0.2"/>
    <x v="847"/>
    <n v="23.020000000000003"/>
    <n v="8.259999999999998"/>
    <n v="0.26406649616368277"/>
    <x v="1"/>
  </r>
  <r>
    <s v="ORD-10253"/>
    <x v="83"/>
    <s v="Dorothy Thomas"/>
    <x v="1"/>
    <x v="44"/>
    <x v="4"/>
    <n v="1"/>
    <n v="26.49"/>
    <n v="0"/>
    <x v="848"/>
    <n v="18.239999999999998"/>
    <n v="8.25"/>
    <n v="0.3114382785956965"/>
    <x v="0"/>
  </r>
  <r>
    <s v="ORD-10568"/>
    <x v="445"/>
    <s v="Donna Clark"/>
    <x v="0"/>
    <x v="44"/>
    <x v="4"/>
    <n v="1"/>
    <n v="30.02"/>
    <n v="0"/>
    <x v="849"/>
    <n v="21.78"/>
    <n v="8.2399999999999984"/>
    <n v="0.27448367754830111"/>
    <x v="1"/>
  </r>
  <r>
    <s v="ORD-10119"/>
    <x v="494"/>
    <s v="Jennifer Martinez"/>
    <x v="3"/>
    <x v="15"/>
    <x v="2"/>
    <n v="1"/>
    <n v="114.13"/>
    <n v="0.15"/>
    <x v="850"/>
    <n v="88.840499999999992"/>
    <n v="8.1700000000000017"/>
    <n v="8.4217687776065503E-2"/>
    <x v="1"/>
  </r>
  <r>
    <s v="ORD-10789"/>
    <x v="352"/>
    <s v="Christopher Jones"/>
    <x v="3"/>
    <x v="43"/>
    <x v="2"/>
    <n v="1"/>
    <n v="44.85"/>
    <n v="0.1"/>
    <x v="851"/>
    <n v="32.225000000000001"/>
    <n v="8.14"/>
    <n v="0.20165985383376689"/>
    <x v="1"/>
  </r>
  <r>
    <s v="ORD-10780"/>
    <x v="495"/>
    <s v="Jennifer Williams"/>
    <x v="3"/>
    <x v="44"/>
    <x v="4"/>
    <n v="1"/>
    <n v="42.16"/>
    <n v="0"/>
    <x v="852"/>
    <n v="34.019999999999996"/>
    <n v="8.14"/>
    <n v="0.19307400379506645"/>
    <x v="0"/>
  </r>
  <r>
    <s v="ORD-10955"/>
    <x v="322"/>
    <s v="Daniel White"/>
    <x v="3"/>
    <x v="45"/>
    <x v="4"/>
    <n v="1"/>
    <n v="28.45"/>
    <n v="0"/>
    <x v="853"/>
    <n v="20.36"/>
    <n v="8.09"/>
    <n v="0.28435852372583481"/>
    <x v="1"/>
  </r>
  <r>
    <s v="ORD-10297"/>
    <x v="496"/>
    <s v="Elizabeth Johnson"/>
    <x v="0"/>
    <x v="24"/>
    <x v="3"/>
    <n v="2"/>
    <n v="7.73"/>
    <n v="0.15"/>
    <x v="854"/>
    <n v="5.0610000000000017"/>
    <n v="8.08"/>
    <n v="0.61486949242827782"/>
    <x v="1"/>
  </r>
  <r>
    <s v="ORD-10609"/>
    <x v="136"/>
    <s v="Linda Lewis"/>
    <x v="1"/>
    <x v="25"/>
    <x v="1"/>
    <n v="2"/>
    <n v="21.08"/>
    <n v="0.05"/>
    <x v="816"/>
    <n v="31.981999999999999"/>
    <n v="8.07"/>
    <n v="0.20148806551483073"/>
    <x v="0"/>
  </r>
  <r>
    <s v="ORD-10513"/>
    <x v="44"/>
    <s v="Barbara Hernandez"/>
    <x v="0"/>
    <x v="31"/>
    <x v="3"/>
    <n v="1"/>
    <n v="14.47"/>
    <n v="0.05"/>
    <x v="855"/>
    <n v="5.6865000000000006"/>
    <n v="8.06"/>
    <n v="0.5863310660895501"/>
    <x v="1"/>
  </r>
  <r>
    <s v="ORD-10626"/>
    <x v="218"/>
    <s v="Donna Hernandez"/>
    <x v="4"/>
    <x v="20"/>
    <x v="3"/>
    <n v="1"/>
    <n v="24.05"/>
    <n v="0.2"/>
    <x v="856"/>
    <n v="11.220000000000002"/>
    <n v="8.02"/>
    <n v="0.41683991683991678"/>
    <x v="1"/>
  </r>
  <r>
    <s v="ORD-10160"/>
    <x v="497"/>
    <s v="Joshua Harris"/>
    <x v="2"/>
    <x v="36"/>
    <x v="3"/>
    <n v="1"/>
    <n v="13.06"/>
    <n v="0"/>
    <x v="857"/>
    <n v="5.1000000000000005"/>
    <n v="7.96"/>
    <n v="0.60949464012251142"/>
    <x v="0"/>
  </r>
  <r>
    <s v="ORD-10014"/>
    <x v="498"/>
    <s v="Carol Jackson"/>
    <x v="3"/>
    <x v="9"/>
    <x v="2"/>
    <n v="2"/>
    <n v="52.43"/>
    <n v="0.1"/>
    <x v="858"/>
    <n v="86.433999999999997"/>
    <n v="7.9399999999999977"/>
    <n v="8.413334181024433E-2"/>
    <x v="2"/>
  </r>
  <r>
    <s v="ORD-10450"/>
    <x v="389"/>
    <s v="Linda Williams"/>
    <x v="2"/>
    <x v="14"/>
    <x v="3"/>
    <n v="1"/>
    <n v="18.39"/>
    <n v="0.1"/>
    <x v="859"/>
    <n v="8.6210000000000022"/>
    <n v="7.93"/>
    <n v="0.47912512839103372"/>
    <x v="1"/>
  </r>
  <r>
    <s v="ORD-10354"/>
    <x v="177"/>
    <s v="Dorothy Hernandez"/>
    <x v="4"/>
    <x v="47"/>
    <x v="4"/>
    <n v="1"/>
    <n v="31.8"/>
    <n v="0.15"/>
    <x v="860"/>
    <n v="19.100000000000001"/>
    <n v="7.93"/>
    <n v="0.29337772844987048"/>
    <x v="2"/>
  </r>
  <r>
    <s v="ORD-10831"/>
    <x v="435"/>
    <s v="Lisa Moore"/>
    <x v="2"/>
    <x v="44"/>
    <x v="4"/>
    <n v="2"/>
    <n v="21.28"/>
    <n v="0.2"/>
    <x v="861"/>
    <n v="26.118000000000002"/>
    <n v="7.93"/>
    <n v="0.23290648496240599"/>
    <x v="1"/>
  </r>
  <r>
    <s v="ORD-10627"/>
    <x v="436"/>
    <s v="Barbara Harris"/>
    <x v="4"/>
    <x v="34"/>
    <x v="4"/>
    <n v="1"/>
    <n v="49.45"/>
    <n v="0.1"/>
    <x v="862"/>
    <n v="36.695"/>
    <n v="7.8100000000000023"/>
    <n v="0.17548590046062243"/>
    <x v="0"/>
  </r>
  <r>
    <s v="ORD-10553"/>
    <x v="197"/>
    <s v="Jessica White"/>
    <x v="2"/>
    <x v="47"/>
    <x v="4"/>
    <n v="2"/>
    <n v="14.89"/>
    <n v="0.1"/>
    <x v="863"/>
    <n v="19.001999999999999"/>
    <n v="7.8000000000000007"/>
    <n v="0.29102305798074773"/>
    <x v="0"/>
  </r>
  <r>
    <s v="ORD-10667"/>
    <x v="214"/>
    <s v="Sandra Anderson"/>
    <x v="0"/>
    <x v="2"/>
    <x v="0"/>
    <n v="1"/>
    <n v="16.87"/>
    <n v="0.05"/>
    <x v="864"/>
    <n v="8.2965000000000018"/>
    <n v="7.73"/>
    <n v="0.48232614731850371"/>
    <x v="1"/>
  </r>
  <r>
    <s v="ORD-10933"/>
    <x v="422"/>
    <s v="Elizabeth Rodriguez"/>
    <x v="1"/>
    <x v="33"/>
    <x v="4"/>
    <n v="2"/>
    <n v="20.71"/>
    <n v="0.15"/>
    <x v="865"/>
    <n v="27.487000000000002"/>
    <n v="7.7199999999999989"/>
    <n v="0.21927457607862069"/>
    <x v="1"/>
  </r>
  <r>
    <s v="ORD-10301"/>
    <x v="499"/>
    <s v="Joshua Rodriguez"/>
    <x v="3"/>
    <x v="45"/>
    <x v="4"/>
    <n v="1"/>
    <n v="31.45"/>
    <n v="0"/>
    <x v="866"/>
    <n v="23.759999999999998"/>
    <n v="7.6900000000000013"/>
    <n v="0.2445151033386328"/>
    <x v="0"/>
  </r>
  <r>
    <s v="ORD-10025"/>
    <x v="90"/>
    <s v="Mary Lee"/>
    <x v="4"/>
    <x v="39"/>
    <x v="4"/>
    <n v="1"/>
    <n v="52.7"/>
    <n v="0.1"/>
    <x v="360"/>
    <n v="39.74"/>
    <n v="7.6899999999999977"/>
    <n v="0.16213367067257006"/>
    <x v="1"/>
  </r>
  <r>
    <s v="ORD-10571"/>
    <x v="163"/>
    <s v="Kimberly Jackson"/>
    <x v="2"/>
    <x v="44"/>
    <x v="4"/>
    <n v="2"/>
    <n v="17.579999999999998"/>
    <n v="0.2"/>
    <x v="867"/>
    <n v="20.497999999999998"/>
    <n v="7.629999999999999"/>
    <n v="0.27125995449374291"/>
    <x v="0"/>
  </r>
  <r>
    <s v="ORD-10456"/>
    <x v="500"/>
    <s v="James Taylor"/>
    <x v="0"/>
    <x v="43"/>
    <x v="2"/>
    <n v="1"/>
    <n v="37.14"/>
    <n v="0.05"/>
    <x v="868"/>
    <n v="27.663"/>
    <n v="7.620000000000001"/>
    <n v="0.21596802992942779"/>
    <x v="2"/>
  </r>
  <r>
    <s v="ORD-10686"/>
    <x v="220"/>
    <s v="Linda Clark"/>
    <x v="0"/>
    <x v="8"/>
    <x v="2"/>
    <n v="2"/>
    <n v="27.17"/>
    <n v="0.05"/>
    <x v="869"/>
    <n v="44.013000000000005"/>
    <n v="7.6099999999999994"/>
    <n v="0.14741491195784823"/>
    <x v="0"/>
  </r>
  <r>
    <s v="ORD-10643"/>
    <x v="487"/>
    <s v="Joshua Johnson"/>
    <x v="1"/>
    <x v="16"/>
    <x v="1"/>
    <n v="1"/>
    <n v="34.04"/>
    <n v="0"/>
    <x v="870"/>
    <n v="26.549999999999997"/>
    <n v="7.490000000000002"/>
    <n v="0.22003525264394835"/>
    <x v="0"/>
  </r>
  <r>
    <s v="ORD-10360"/>
    <x v="40"/>
    <s v="Daniel Smith"/>
    <x v="1"/>
    <x v="21"/>
    <x v="0"/>
    <n v="1"/>
    <n v="22.47"/>
    <n v="0.1"/>
    <x v="871"/>
    <n v="12.762999999999998"/>
    <n v="7.4600000000000009"/>
    <n v="0.36888691094298576"/>
    <x v="1"/>
  </r>
  <r>
    <s v="ORD-10884"/>
    <x v="14"/>
    <s v="James Robinson"/>
    <x v="2"/>
    <x v="19"/>
    <x v="1"/>
    <n v="2"/>
    <n v="14.11"/>
    <n v="0.1"/>
    <x v="872"/>
    <n v="17.948"/>
    <n v="7.4499999999999993"/>
    <n v="0.29333018347901407"/>
    <x v="1"/>
  </r>
  <r>
    <s v="ORD-10263"/>
    <x v="258"/>
    <s v="Thomas Williams"/>
    <x v="3"/>
    <x v="45"/>
    <x v="4"/>
    <n v="1"/>
    <n v="39.25"/>
    <n v="0.15"/>
    <x v="873"/>
    <n v="25.942499999999995"/>
    <n v="7.4200000000000017"/>
    <n v="0.22240539527913084"/>
    <x v="0"/>
  </r>
  <r>
    <s v="ORD-10342"/>
    <x v="158"/>
    <s v="Betty Anderson"/>
    <x v="2"/>
    <x v="11"/>
    <x v="2"/>
    <n v="2"/>
    <n v="26.91"/>
    <n v="0.2"/>
    <x v="874"/>
    <n v="35.715999999999994"/>
    <n v="7.3400000000000034"/>
    <n v="0.17047565960609448"/>
    <x v="1"/>
  </r>
  <r>
    <s v="ORD-10412"/>
    <x v="421"/>
    <s v="Nancy Harris"/>
    <x v="4"/>
    <x v="22"/>
    <x v="3"/>
    <n v="2"/>
    <n v="8.18"/>
    <n v="0.1"/>
    <x v="875"/>
    <n v="7.3840000000000003"/>
    <n v="7.34"/>
    <n v="0.4985058408041293"/>
    <x v="0"/>
  </r>
  <r>
    <s v="ORD-10664"/>
    <x v="501"/>
    <s v="Linda Robinson"/>
    <x v="1"/>
    <x v="15"/>
    <x v="2"/>
    <n v="1"/>
    <n v="35.56"/>
    <n v="0.05"/>
    <x v="876"/>
    <n v="26.462000000000003"/>
    <n v="7.32"/>
    <n v="0.21668344088567876"/>
    <x v="0"/>
  </r>
  <r>
    <s v="ORD-10766"/>
    <x v="392"/>
    <s v="Susan Robinson"/>
    <x v="0"/>
    <x v="34"/>
    <x v="4"/>
    <n v="2"/>
    <n v="17.5"/>
    <n v="0.15"/>
    <x v="877"/>
    <n v="22.53"/>
    <n v="7.2199999999999989"/>
    <n v="0.24268907563025205"/>
    <x v="0"/>
  </r>
  <r>
    <s v="ORD-10729"/>
    <x v="264"/>
    <s v="Andrew Harris"/>
    <x v="3"/>
    <x v="21"/>
    <x v="0"/>
    <n v="1"/>
    <n v="16.13"/>
    <n v="0"/>
    <x v="878"/>
    <n v="8.9899999999999984"/>
    <n v="7.1400000000000006"/>
    <n v="0.44265344079355246"/>
    <x v="0"/>
  </r>
  <r>
    <s v="ORD-10525"/>
    <x v="502"/>
    <s v="Carol Robinson"/>
    <x v="3"/>
    <x v="18"/>
    <x v="3"/>
    <n v="1"/>
    <n v="14.05"/>
    <n v="0.1"/>
    <x v="879"/>
    <n v="5.5549999999999997"/>
    <n v="7.09"/>
    <n v="0.56069592724396999"/>
    <x v="0"/>
  </r>
  <r>
    <s v="ORD-10819"/>
    <x v="479"/>
    <s v="Thomas Robinson"/>
    <x v="0"/>
    <x v="33"/>
    <x v="4"/>
    <n v="1"/>
    <n v="33.49"/>
    <n v="0.15"/>
    <x v="880"/>
    <n v="21.376500000000004"/>
    <n v="7.09"/>
    <n v="0.24906469007429782"/>
    <x v="0"/>
  </r>
  <r>
    <s v="ORD-10848"/>
    <x v="83"/>
    <s v="Michelle Williams"/>
    <x v="0"/>
    <x v="31"/>
    <x v="3"/>
    <n v="1"/>
    <n v="15.92"/>
    <n v="0.1"/>
    <x v="881"/>
    <n v="7.3679999999999994"/>
    <n v="6.96"/>
    <n v="0.48576214405360135"/>
    <x v="0"/>
  </r>
  <r>
    <s v="ORD-10699"/>
    <x v="75"/>
    <s v="Robert Lewis"/>
    <x v="3"/>
    <x v="34"/>
    <x v="4"/>
    <n v="1"/>
    <n v="42.93"/>
    <n v="0.15"/>
    <x v="882"/>
    <n v="29.540499999999998"/>
    <n v="6.9499999999999993"/>
    <n v="0.19046053082309095"/>
    <x v="1"/>
  </r>
  <r>
    <s v="ORD-10730"/>
    <x v="493"/>
    <s v="Kimberly Garcia"/>
    <x v="2"/>
    <x v="33"/>
    <x v="4"/>
    <n v="3"/>
    <n v="9.4"/>
    <n v="0.05"/>
    <x v="883"/>
    <n v="19.860000000000003"/>
    <n v="6.93"/>
    <n v="0.25867861142217241"/>
    <x v="0"/>
  </r>
  <r>
    <s v="ORD-10072"/>
    <x v="503"/>
    <s v="Betty Wilson"/>
    <x v="1"/>
    <x v="41"/>
    <x v="4"/>
    <n v="1"/>
    <n v="48.97"/>
    <n v="0.1"/>
    <x v="884"/>
    <n v="37.162999999999997"/>
    <n v="6.9100000000000037"/>
    <n v="0.15678533342409193"/>
    <x v="2"/>
  </r>
  <r>
    <s v="ORD-10882"/>
    <x v="138"/>
    <s v="Karen Clark"/>
    <x v="0"/>
    <x v="35"/>
    <x v="1"/>
    <n v="2"/>
    <n v="15.53"/>
    <n v="0.25"/>
    <x v="885"/>
    <n v="16.384999999999998"/>
    <n v="6.91"/>
    <n v="0.29663017814981757"/>
    <x v="0"/>
  </r>
  <r>
    <s v="ORD-10584"/>
    <x v="504"/>
    <s v="Michelle Harris"/>
    <x v="0"/>
    <x v="34"/>
    <x v="4"/>
    <n v="2"/>
    <n v="17.25"/>
    <n v="0.15"/>
    <x v="886"/>
    <n v="22.494999999999997"/>
    <n v="6.8300000000000018"/>
    <n v="0.23290707587382786"/>
    <x v="0"/>
  </r>
  <r>
    <s v="ORD-10143"/>
    <x v="329"/>
    <s v="Linda Martinez"/>
    <x v="0"/>
    <x v="2"/>
    <x v="0"/>
    <n v="1"/>
    <n v="21.2"/>
    <n v="0"/>
    <x v="887"/>
    <n v="14.39"/>
    <n v="6.8099999999999987"/>
    <n v="0.32122641509433958"/>
    <x v="0"/>
  </r>
  <r>
    <s v="ORD-10672"/>
    <x v="325"/>
    <s v="Barbara Hernandez"/>
    <x v="2"/>
    <x v="47"/>
    <x v="4"/>
    <n v="2"/>
    <n v="11.42"/>
    <n v="0"/>
    <x v="888"/>
    <n v="16.059999999999999"/>
    <n v="6.7800000000000011"/>
    <n v="0.29684763572679512"/>
    <x v="1"/>
  </r>
  <r>
    <s v="ORD-10869"/>
    <x v="505"/>
    <s v="Anthony Harris"/>
    <x v="1"/>
    <x v="26"/>
    <x v="1"/>
    <n v="1"/>
    <n v="30.83"/>
    <n v="0.1"/>
    <x v="889"/>
    <n v="20.987000000000002"/>
    <n v="6.759999999999998"/>
    <n v="0.243629941975709"/>
    <x v="0"/>
  </r>
  <r>
    <s v="ORD-10604"/>
    <x v="281"/>
    <s v="Daniel Miller"/>
    <x v="3"/>
    <x v="39"/>
    <x v="4"/>
    <n v="1"/>
    <n v="29.98"/>
    <n v="0.05"/>
    <x v="890"/>
    <n v="21.721000000000004"/>
    <n v="6.759999999999998"/>
    <n v="0.23735121660054062"/>
    <x v="0"/>
  </r>
  <r>
    <s v="ORD-10207"/>
    <x v="181"/>
    <s v="Robert Perez"/>
    <x v="0"/>
    <x v="40"/>
    <x v="4"/>
    <n v="1"/>
    <n v="37.72"/>
    <n v="0.2"/>
    <x v="891"/>
    <n v="23.425999999999998"/>
    <n v="6.75"/>
    <n v="0.22368769883351008"/>
    <x v="0"/>
  </r>
  <r>
    <s v="ORD-10007"/>
    <x v="506"/>
    <s v="Donna Harris"/>
    <x v="3"/>
    <x v="31"/>
    <x v="3"/>
    <n v="1"/>
    <n v="12.42"/>
    <n v="0.05"/>
    <x v="892"/>
    <n v="5.1589999999999998"/>
    <n v="6.64"/>
    <n v="0.56275955589456739"/>
    <x v="2"/>
  </r>
  <r>
    <s v="ORD-10235"/>
    <x v="507"/>
    <s v="Michael Clark"/>
    <x v="0"/>
    <x v="29"/>
    <x v="2"/>
    <n v="1"/>
    <n v="89.84"/>
    <n v="0.25"/>
    <x v="893"/>
    <n v="60.76"/>
    <n v="6.6199999999999974"/>
    <n v="9.8248738498070615E-2"/>
    <x v="0"/>
  </r>
  <r>
    <s v="ORD-10855"/>
    <x v="20"/>
    <s v="Elizabeth Taylor"/>
    <x v="1"/>
    <x v="15"/>
    <x v="2"/>
    <n v="1"/>
    <n v="85.01"/>
    <n v="0.1"/>
    <x v="894"/>
    <n v="69.899000000000001"/>
    <n v="6.6099999999999994"/>
    <n v="8.6395064632918989E-2"/>
    <x v="1"/>
  </r>
  <r>
    <s v="ORD-10394"/>
    <x v="341"/>
    <s v="Emily Moore"/>
    <x v="1"/>
    <x v="10"/>
    <x v="1"/>
    <n v="2"/>
    <n v="16.329999999999998"/>
    <n v="0.1"/>
    <x v="895"/>
    <n v="22.823999999999998"/>
    <n v="6.57"/>
    <n v="0.22351500306184938"/>
    <x v="0"/>
  </r>
  <r>
    <s v="ORD-10719"/>
    <x v="38"/>
    <s v="Ashley Gonzalez"/>
    <x v="1"/>
    <x v="48"/>
    <x v="1"/>
    <n v="1"/>
    <n v="22.22"/>
    <n v="0"/>
    <x v="896"/>
    <n v="15.66"/>
    <n v="6.5599999999999987"/>
    <n v="0.29522952295229521"/>
    <x v="1"/>
  </r>
  <r>
    <s v="ORD-10185"/>
    <x v="225"/>
    <s v="Betty Martinez"/>
    <x v="4"/>
    <x v="34"/>
    <x v="4"/>
    <n v="1"/>
    <n v="26.44"/>
    <n v="0.2"/>
    <x v="897"/>
    <n v="14.612000000000002"/>
    <n v="6.5399999999999991"/>
    <n v="0.30919062027231464"/>
    <x v="0"/>
  </r>
  <r>
    <s v="ORD-10059"/>
    <x v="329"/>
    <s v="Ashley Brown"/>
    <x v="3"/>
    <x v="6"/>
    <x v="0"/>
    <n v="1"/>
    <n v="24.11"/>
    <n v="0.2"/>
    <x v="898"/>
    <n v="12.788"/>
    <n v="6.5"/>
    <n v="0.33699709664039817"/>
    <x v="0"/>
  </r>
  <r>
    <s v="ORD-10182"/>
    <x v="508"/>
    <s v="Michelle Thomas"/>
    <x v="4"/>
    <x v="45"/>
    <x v="4"/>
    <n v="1"/>
    <n v="32.9"/>
    <n v="0.2"/>
    <x v="899"/>
    <n v="19.82"/>
    <n v="6.5"/>
    <n v="0.24696048632218845"/>
    <x v="0"/>
  </r>
  <r>
    <s v="ORD-10057"/>
    <x v="18"/>
    <s v="Donna Ramirez"/>
    <x v="3"/>
    <x v="19"/>
    <x v="1"/>
    <n v="1"/>
    <n v="33.56"/>
    <n v="0.25"/>
    <x v="900"/>
    <n v="18.690000000000001"/>
    <n v="6.48"/>
    <n v="0.25744934445768775"/>
    <x v="0"/>
  </r>
  <r>
    <s v="ORD-10106"/>
    <x v="272"/>
    <s v="Barbara Lewis"/>
    <x v="1"/>
    <x v="6"/>
    <x v="0"/>
    <n v="1"/>
    <n v="20.79"/>
    <n v="0.2"/>
    <x v="901"/>
    <n v="10.161999999999999"/>
    <n v="6.4699999999999989"/>
    <n v="0.38900913900913897"/>
    <x v="2"/>
  </r>
  <r>
    <s v="ORD-10058"/>
    <x v="38"/>
    <s v="Linda Perez"/>
    <x v="4"/>
    <x v="24"/>
    <x v="3"/>
    <n v="2"/>
    <n v="8.81"/>
    <n v="0.1"/>
    <x v="902"/>
    <n v="9.4380000000000006"/>
    <n v="6.42"/>
    <n v="0.4048429814604616"/>
    <x v="1"/>
  </r>
  <r>
    <s v="ORD-10267"/>
    <x v="93"/>
    <s v="Anthony Harris"/>
    <x v="3"/>
    <x v="3"/>
    <x v="0"/>
    <n v="1"/>
    <n v="15.46"/>
    <n v="0.1"/>
    <x v="903"/>
    <n v="7.5240000000000018"/>
    <n v="6.39"/>
    <n v="0.4592496765847347"/>
    <x v="0"/>
  </r>
  <r>
    <s v="ORD-10022"/>
    <x v="211"/>
    <s v="William Gonzalez"/>
    <x v="4"/>
    <x v="47"/>
    <x v="4"/>
    <n v="1"/>
    <n v="19.97"/>
    <n v="0"/>
    <x v="904"/>
    <n v="13.719999999999999"/>
    <n v="6.25"/>
    <n v="0.31296945418127192"/>
    <x v="2"/>
  </r>
  <r>
    <s v="ORD-10159"/>
    <x v="48"/>
    <s v="Jessica Ramirez"/>
    <x v="3"/>
    <x v="41"/>
    <x v="4"/>
    <n v="1"/>
    <n v="30.37"/>
    <n v="0.1"/>
    <x v="905"/>
    <n v="21.083000000000002"/>
    <n v="6.25"/>
    <n v="0.22866132513811144"/>
    <x v="0"/>
  </r>
  <r>
    <s v="ORD-10880"/>
    <x v="509"/>
    <s v="Daniel Lee"/>
    <x v="3"/>
    <x v="19"/>
    <x v="1"/>
    <n v="2"/>
    <n v="18.32"/>
    <n v="0.25"/>
    <x v="906"/>
    <n v="21.240000000000002"/>
    <n v="6.2399999999999984"/>
    <n v="0.22707423580786021"/>
    <x v="1"/>
  </r>
  <r>
    <s v="ORD-10857"/>
    <x v="510"/>
    <s v="Kenneth White"/>
    <x v="4"/>
    <x v="10"/>
    <x v="1"/>
    <n v="1"/>
    <n v="16.079999999999998"/>
    <n v="0"/>
    <x v="907"/>
    <n v="9.8699999999999974"/>
    <n v="6.2100000000000009"/>
    <n v="0.38619402985074636"/>
    <x v="0"/>
  </r>
  <r>
    <s v="ORD-10634"/>
    <x v="32"/>
    <s v="Michael Williams"/>
    <x v="3"/>
    <x v="47"/>
    <x v="4"/>
    <n v="1"/>
    <n v="18.27"/>
    <n v="0"/>
    <x v="908"/>
    <n v="12.14"/>
    <n v="6.129999999999999"/>
    <n v="0.33552271483305962"/>
    <x v="1"/>
  </r>
  <r>
    <s v="ORD-10676"/>
    <x v="511"/>
    <s v="Donna Garcia"/>
    <x v="1"/>
    <x v="18"/>
    <x v="3"/>
    <n v="1"/>
    <n v="12.42"/>
    <n v="0"/>
    <x v="909"/>
    <n v="6.38"/>
    <n v="6.04"/>
    <n v="0.48631239935587761"/>
    <x v="0"/>
  </r>
  <r>
    <s v="ORD-10243"/>
    <x v="334"/>
    <s v="Lisa Wilson"/>
    <x v="3"/>
    <x v="16"/>
    <x v="1"/>
    <n v="1"/>
    <n v="21.18"/>
    <n v="0.25"/>
    <x v="910"/>
    <n v="9.875"/>
    <n v="6.01"/>
    <n v="0.37834435001573813"/>
    <x v="1"/>
  </r>
  <r>
    <s v="ORD-10129"/>
    <x v="330"/>
    <s v="Emily Williams"/>
    <x v="0"/>
    <x v="34"/>
    <x v="4"/>
    <n v="2"/>
    <n v="11.27"/>
    <n v="0"/>
    <x v="911"/>
    <n v="16.57"/>
    <n v="5.9699999999999989"/>
    <n v="0.2648624667258207"/>
    <x v="0"/>
  </r>
  <r>
    <s v="ORD-10826"/>
    <x v="301"/>
    <s v="William Miller"/>
    <x v="0"/>
    <x v="44"/>
    <x v="4"/>
    <n v="1"/>
    <n v="31.11"/>
    <n v="0"/>
    <x v="912"/>
    <n v="25.16"/>
    <n v="5.9499999999999993"/>
    <n v="0.19125683060109289"/>
    <x v="1"/>
  </r>
  <r>
    <s v="ORD-10368"/>
    <x v="512"/>
    <s v="Joshua Clark"/>
    <x v="0"/>
    <x v="39"/>
    <x v="4"/>
    <n v="1"/>
    <n v="23.11"/>
    <n v="0.15"/>
    <x v="913"/>
    <n v="13.7235"/>
    <n v="5.92"/>
    <n v="0.30137195509965131"/>
    <x v="0"/>
  </r>
  <r>
    <s v="ORD-10646"/>
    <x v="459"/>
    <s v="Anthony Taylor"/>
    <x v="4"/>
    <x v="43"/>
    <x v="2"/>
    <n v="2"/>
    <n v="21.71"/>
    <n v="0.2"/>
    <x v="914"/>
    <n v="28.826000000000004"/>
    <n v="5.91"/>
    <n v="0.1701404882542607"/>
    <x v="0"/>
  </r>
  <r>
    <s v="ORD-10567"/>
    <x v="513"/>
    <s v="Lisa Brown"/>
    <x v="0"/>
    <x v="36"/>
    <x v="3"/>
    <n v="1"/>
    <n v="15.62"/>
    <n v="0.1"/>
    <x v="915"/>
    <n v="8.1780000000000008"/>
    <n v="5.879999999999999"/>
    <n v="0.41826717883055903"/>
    <x v="1"/>
  </r>
  <r>
    <s v="ORD-10234"/>
    <x v="6"/>
    <s v="Robert Lee"/>
    <x v="1"/>
    <x v="15"/>
    <x v="2"/>
    <n v="1"/>
    <n v="23.97"/>
    <n v="0"/>
    <x v="916"/>
    <n v="18.13"/>
    <n v="5.84"/>
    <n v="0.24363788068418857"/>
    <x v="0"/>
  </r>
  <r>
    <s v="ORD-10452"/>
    <x v="205"/>
    <s v="Kenneth Sanchez"/>
    <x v="3"/>
    <x v="13"/>
    <x v="2"/>
    <n v="1"/>
    <n v="32.770000000000003"/>
    <n v="0"/>
    <x v="917"/>
    <n v="27.000000000000004"/>
    <n v="5.77"/>
    <n v="0.17607567897467194"/>
    <x v="2"/>
  </r>
  <r>
    <s v="ORD-10271"/>
    <x v="129"/>
    <s v="Kevin Martinez"/>
    <x v="2"/>
    <x v="40"/>
    <x v="4"/>
    <n v="1"/>
    <n v="37.97"/>
    <n v="0.1"/>
    <x v="918"/>
    <n v="28.403000000000002"/>
    <n v="5.77"/>
    <n v="0.1688467503584701"/>
    <x v="2"/>
  </r>
  <r>
    <s v="ORD-10015"/>
    <x v="225"/>
    <s v="Thomas Moore"/>
    <x v="1"/>
    <x v="43"/>
    <x v="2"/>
    <n v="2"/>
    <n v="29.03"/>
    <n v="0"/>
    <x v="919"/>
    <n v="52.35"/>
    <n v="5.7100000000000009"/>
    <n v="9.8346538064071662E-2"/>
    <x v="0"/>
  </r>
  <r>
    <s v="ORD-10240"/>
    <x v="514"/>
    <s v="James Harris"/>
    <x v="1"/>
    <x v="48"/>
    <x v="1"/>
    <n v="1"/>
    <n v="15.82"/>
    <n v="0.05"/>
    <x v="920"/>
    <n v="9.3189999999999991"/>
    <n v="5.7100000000000009"/>
    <n v="0.3799321312129883"/>
    <x v="0"/>
  </r>
  <r>
    <s v="ORD-10416"/>
    <x v="325"/>
    <s v="James Anderson"/>
    <x v="2"/>
    <x v="9"/>
    <x v="2"/>
    <n v="1"/>
    <n v="67.91"/>
    <n v="0.05"/>
    <x v="921"/>
    <n v="58.834499999999998"/>
    <n v="5.68"/>
    <n v="8.8042223066132422E-2"/>
    <x v="0"/>
  </r>
  <r>
    <s v="ORD-10191"/>
    <x v="164"/>
    <s v="Joshua Brown"/>
    <x v="3"/>
    <x v="47"/>
    <x v="4"/>
    <n v="1"/>
    <n v="29.58"/>
    <n v="0.1"/>
    <x v="600"/>
    <n v="21.001999999999999"/>
    <n v="5.620000000000001"/>
    <n v="0.21110359852753366"/>
    <x v="0"/>
  </r>
  <r>
    <s v="ORD-10397"/>
    <x v="515"/>
    <s v="Kevin Lee"/>
    <x v="0"/>
    <x v="8"/>
    <x v="2"/>
    <n v="3"/>
    <n v="25.01"/>
    <n v="0.1"/>
    <x v="922"/>
    <n v="61.907000000000004"/>
    <n v="5.6199999999999974"/>
    <n v="8.3225968871710534E-2"/>
    <x v="0"/>
  </r>
  <r>
    <s v="ORD-10210"/>
    <x v="444"/>
    <s v="Anthony Lopez"/>
    <x v="2"/>
    <x v="10"/>
    <x v="1"/>
    <n v="1"/>
    <n v="15.84"/>
    <n v="0"/>
    <x v="923"/>
    <n v="10.23"/>
    <n v="5.6099999999999994"/>
    <n v="0.35416666666666663"/>
    <x v="0"/>
  </r>
  <r>
    <s v="ORD-10520"/>
    <x v="340"/>
    <s v="William Hernandez"/>
    <x v="1"/>
    <x v="34"/>
    <x v="4"/>
    <n v="2"/>
    <n v="16.43"/>
    <n v="0"/>
    <x v="924"/>
    <n v="27.33"/>
    <n v="5.5300000000000011"/>
    <n v="0.16828971393791847"/>
    <x v="2"/>
  </r>
  <r>
    <s v="ORD-10125"/>
    <x v="516"/>
    <s v="Robert Smith"/>
    <x v="0"/>
    <x v="30"/>
    <x v="2"/>
    <n v="2"/>
    <n v="22.59"/>
    <n v="0.1"/>
    <x v="925"/>
    <n v="35.161999999999999"/>
    <n v="5.5"/>
    <n v="0.13526142344203435"/>
    <x v="1"/>
  </r>
  <r>
    <s v="ORD-10441"/>
    <x v="150"/>
    <s v="Matthew Lopez"/>
    <x v="3"/>
    <x v="44"/>
    <x v="4"/>
    <n v="2"/>
    <n v="15.05"/>
    <n v="0"/>
    <x v="926"/>
    <n v="24.73"/>
    <n v="5.370000000000001"/>
    <n v="0.17840531561461798"/>
    <x v="2"/>
  </r>
  <r>
    <s v="ORD-10572"/>
    <x v="510"/>
    <s v="Christopher Thompson"/>
    <x v="1"/>
    <x v="24"/>
    <x v="3"/>
    <n v="1"/>
    <n v="9.92"/>
    <n v="0"/>
    <x v="927"/>
    <n v="4.57"/>
    <n v="5.35"/>
    <n v="0.53931451612903225"/>
    <x v="1"/>
  </r>
  <r>
    <s v="ORD-10939"/>
    <x v="282"/>
    <s v="Paul Rodriguez"/>
    <x v="3"/>
    <x v="39"/>
    <x v="4"/>
    <n v="2"/>
    <n v="9.2200000000000006"/>
    <n v="0.05"/>
    <x v="928"/>
    <n v="12.198"/>
    <n v="5.32"/>
    <n v="0.3036876355748373"/>
    <x v="1"/>
  </r>
  <r>
    <s v="ORD-10247"/>
    <x v="502"/>
    <s v="Matthew Brown"/>
    <x v="2"/>
    <x v="44"/>
    <x v="4"/>
    <n v="1"/>
    <n v="22.9"/>
    <n v="0"/>
    <x v="929"/>
    <n v="17.599999999999998"/>
    <n v="5.3000000000000007"/>
    <n v="0.23144104803493454"/>
    <x v="1"/>
  </r>
  <r>
    <s v="ORD-10293"/>
    <x v="517"/>
    <s v="William Martin"/>
    <x v="0"/>
    <x v="39"/>
    <x v="4"/>
    <n v="2"/>
    <n v="13.83"/>
    <n v="0.05"/>
    <x v="930"/>
    <n v="20.977"/>
    <n v="5.3000000000000007"/>
    <n v="0.20169730182288695"/>
    <x v="0"/>
  </r>
  <r>
    <s v="ORD-10647"/>
    <x v="43"/>
    <s v="Andrew Wilson"/>
    <x v="3"/>
    <x v="8"/>
    <x v="2"/>
    <n v="1"/>
    <n v="37.9"/>
    <n v="0"/>
    <x v="931"/>
    <n v="32.619999999999997"/>
    <n v="5.2800000000000011"/>
    <n v="0.13931398416886548"/>
    <x v="1"/>
  </r>
  <r>
    <s v="ORD-10245"/>
    <x v="518"/>
    <s v="Elizabeth Jackson"/>
    <x v="4"/>
    <x v="9"/>
    <x v="2"/>
    <n v="2"/>
    <n v="24.86"/>
    <n v="0.1"/>
    <x v="564"/>
    <n v="39.577999999999996"/>
    <n v="5.1700000000000017"/>
    <n v="0.1155358898721731"/>
    <x v="0"/>
  </r>
  <r>
    <s v="ORD-10820"/>
    <x v="106"/>
    <s v="Richard Lopez"/>
    <x v="1"/>
    <x v="16"/>
    <x v="1"/>
    <n v="1"/>
    <n v="15.21"/>
    <n v="0.1"/>
    <x v="932"/>
    <n v="8.5190000000000001"/>
    <n v="5.17"/>
    <n v="0.37767550588063409"/>
    <x v="1"/>
  </r>
  <r>
    <s v="ORD-10033"/>
    <x v="454"/>
    <s v="Thomas Clark"/>
    <x v="0"/>
    <x v="39"/>
    <x v="4"/>
    <n v="2"/>
    <n v="16.010000000000002"/>
    <n v="0"/>
    <x v="933"/>
    <n v="26.900000000000002"/>
    <n v="5.120000000000001"/>
    <n v="0.15990006246096192"/>
    <x v="1"/>
  </r>
  <r>
    <s v="ORD-10805"/>
    <x v="131"/>
    <s v="Mark Harris"/>
    <x v="0"/>
    <x v="16"/>
    <x v="1"/>
    <n v="1"/>
    <n v="26.83"/>
    <n v="0.1"/>
    <x v="934"/>
    <n v="19.166999999999998"/>
    <n v="4.9800000000000004"/>
    <n v="0.20623679960243513"/>
    <x v="1"/>
  </r>
  <r>
    <s v="ORD-10905"/>
    <x v="519"/>
    <s v="Anthony Anderson"/>
    <x v="0"/>
    <x v="11"/>
    <x v="2"/>
    <n v="1"/>
    <n v="56.73"/>
    <n v="0"/>
    <x v="935"/>
    <n v="51.75"/>
    <n v="4.9799999999999969"/>
    <n v="8.7784241142252722E-2"/>
    <x v="0"/>
  </r>
  <r>
    <s v="ORD-10102"/>
    <x v="430"/>
    <s v="Andrew Gonzalez"/>
    <x v="3"/>
    <x v="41"/>
    <x v="4"/>
    <n v="1"/>
    <n v="16.12"/>
    <n v="0"/>
    <x v="936"/>
    <n v="11.16"/>
    <n v="4.9600000000000009"/>
    <n v="0.30769230769230771"/>
    <x v="0"/>
  </r>
  <r>
    <s v="ORD-10889"/>
    <x v="172"/>
    <s v="Michael Brown"/>
    <x v="0"/>
    <x v="32"/>
    <x v="3"/>
    <n v="1"/>
    <n v="10.56"/>
    <n v="0.1"/>
    <x v="937"/>
    <n v="4.6540000000000017"/>
    <n v="4.8499999999999996"/>
    <n v="0.51031144781144766"/>
    <x v="0"/>
  </r>
  <r>
    <s v="ORD-10291"/>
    <x v="217"/>
    <s v="Emily Martin"/>
    <x v="1"/>
    <x v="5"/>
    <x v="2"/>
    <n v="1"/>
    <n v="32.4"/>
    <n v="0"/>
    <x v="800"/>
    <n v="27.58"/>
    <n v="4.82"/>
    <n v="0.14876543209876544"/>
    <x v="1"/>
  </r>
  <r>
    <s v="ORD-10611"/>
    <x v="68"/>
    <s v="James Garcia"/>
    <x v="1"/>
    <x v="35"/>
    <x v="1"/>
    <n v="1"/>
    <n v="15.51"/>
    <n v="0.2"/>
    <x v="938"/>
    <n v="7.6179999999999994"/>
    <n v="4.79"/>
    <n v="0.38604126370083819"/>
    <x v="2"/>
  </r>
  <r>
    <s v="ORD-10886"/>
    <x v="87"/>
    <s v="Robert Harris"/>
    <x v="2"/>
    <x v="32"/>
    <x v="3"/>
    <n v="1"/>
    <n v="12.31"/>
    <n v="0.1"/>
    <x v="939"/>
    <n v="6.3990000000000009"/>
    <n v="4.68"/>
    <n v="0.42242079610073108"/>
    <x v="2"/>
  </r>
  <r>
    <s v="ORD-10478"/>
    <x v="281"/>
    <s v="Michael Miller"/>
    <x v="4"/>
    <x v="44"/>
    <x v="4"/>
    <n v="1"/>
    <n v="24.47"/>
    <n v="0.2"/>
    <x v="940"/>
    <n v="14.956"/>
    <n v="4.620000000000001"/>
    <n v="0.23600326930935844"/>
    <x v="0"/>
  </r>
  <r>
    <s v="ORD-10915"/>
    <x v="520"/>
    <s v="Jessica Robinson"/>
    <x v="3"/>
    <x v="15"/>
    <x v="2"/>
    <n v="1"/>
    <n v="27.08"/>
    <n v="0.1"/>
    <x v="941"/>
    <n v="19.792000000000002"/>
    <n v="4.5799999999999983"/>
    <n v="0.18792056458230749"/>
    <x v="1"/>
  </r>
  <r>
    <s v="ORD-10625"/>
    <x v="521"/>
    <s v="Anthony Johnson"/>
    <x v="0"/>
    <x v="28"/>
    <x v="3"/>
    <n v="1"/>
    <n v="8.17"/>
    <n v="0"/>
    <x v="942"/>
    <n v="3.5999999999999996"/>
    <n v="4.57"/>
    <n v="0.55936352509179932"/>
    <x v="0"/>
  </r>
  <r>
    <s v="ORD-10973"/>
    <x v="522"/>
    <s v="Matthew Lewis"/>
    <x v="1"/>
    <x v="31"/>
    <x v="3"/>
    <n v="1"/>
    <n v="12.75"/>
    <n v="0.15"/>
    <x v="943"/>
    <n v="6.2775000000000007"/>
    <n v="4.5599999999999996"/>
    <n v="0.42076124567474044"/>
    <x v="0"/>
  </r>
  <r>
    <s v="ORD-10579"/>
    <x v="523"/>
    <s v="Lisa Ramirez"/>
    <x v="0"/>
    <x v="39"/>
    <x v="4"/>
    <n v="3"/>
    <n v="10.66"/>
    <n v="0.1"/>
    <x v="944"/>
    <n v="24.341999999999999"/>
    <n v="4.4400000000000013"/>
    <n v="0.15426308109234943"/>
    <x v="0"/>
  </r>
  <r>
    <s v="ORD-10389"/>
    <x v="524"/>
    <s v="Mark Brown"/>
    <x v="4"/>
    <x v="49"/>
    <x v="4"/>
    <n v="1"/>
    <n v="26.83"/>
    <n v="0.05"/>
    <x v="945"/>
    <n v="21.088499999999996"/>
    <n v="4.4000000000000021"/>
    <n v="0.17262687094179738"/>
    <x v="2"/>
  </r>
  <r>
    <s v="ORD-10140"/>
    <x v="509"/>
    <s v="Robert Clark"/>
    <x v="4"/>
    <x v="4"/>
    <x v="1"/>
    <n v="1"/>
    <n v="21.57"/>
    <n v="0.1"/>
    <x v="946"/>
    <n v="15.063000000000001"/>
    <n v="4.3499999999999996"/>
    <n v="0.2240766496677484"/>
    <x v="1"/>
  </r>
  <r>
    <s v="ORD-10193"/>
    <x v="283"/>
    <s v="Steven Ramirez"/>
    <x v="4"/>
    <x v="40"/>
    <x v="4"/>
    <n v="1"/>
    <n v="15.93"/>
    <n v="0"/>
    <x v="947"/>
    <n v="11.69"/>
    <n v="4.24"/>
    <n v="0.26616446955430006"/>
    <x v="1"/>
  </r>
  <r>
    <s v="ORD-10711"/>
    <x v="525"/>
    <s v="Sandra Hernandez"/>
    <x v="4"/>
    <x v="30"/>
    <x v="2"/>
    <n v="1"/>
    <n v="25.46"/>
    <n v="0.2"/>
    <x v="948"/>
    <n v="16.178000000000001"/>
    <n v="4.1900000000000013"/>
    <n v="0.20571484681853894"/>
    <x v="0"/>
  </r>
  <r>
    <s v="ORD-10557"/>
    <x v="26"/>
    <s v="Thomas Moore"/>
    <x v="4"/>
    <x v="20"/>
    <x v="3"/>
    <n v="1"/>
    <n v="7.53"/>
    <n v="0.1"/>
    <x v="949"/>
    <n v="2.6370000000000005"/>
    <n v="4.1399999999999997"/>
    <n v="0.61088977423638768"/>
    <x v="0"/>
  </r>
  <r>
    <s v="ORD-10863"/>
    <x v="325"/>
    <s v="Sandra Perez"/>
    <x v="0"/>
    <x v="46"/>
    <x v="1"/>
    <n v="1"/>
    <n v="19.309999999999999"/>
    <n v="0.25"/>
    <x v="950"/>
    <n v="10.402499999999998"/>
    <n v="4.08"/>
    <n v="0.28171931641636461"/>
    <x v="0"/>
  </r>
  <r>
    <s v="ORD-10679"/>
    <x v="319"/>
    <s v="Sarah Johnson"/>
    <x v="2"/>
    <x v="13"/>
    <x v="2"/>
    <n v="1"/>
    <n v="24.59"/>
    <n v="0"/>
    <x v="951"/>
    <n v="20.52"/>
    <n v="4.07"/>
    <n v="0.16551443676291178"/>
    <x v="2"/>
  </r>
  <r>
    <s v="ORD-10737"/>
    <x v="526"/>
    <s v="Joseph Thompson"/>
    <x v="0"/>
    <x v="5"/>
    <x v="2"/>
    <n v="1"/>
    <n v="29.41"/>
    <n v="0.05"/>
    <x v="952"/>
    <n v="23.929499999999997"/>
    <n v="4.0100000000000016"/>
    <n v="0.14352440093774055"/>
    <x v="1"/>
  </r>
  <r>
    <s v="ORD-10698"/>
    <x v="290"/>
    <s v="Andrew Wilson"/>
    <x v="0"/>
    <x v="36"/>
    <x v="3"/>
    <n v="1"/>
    <n v="9.5"/>
    <n v="0"/>
    <x v="953"/>
    <n v="5.49"/>
    <n v="4.01"/>
    <n v="0.42210526315789471"/>
    <x v="0"/>
  </r>
  <r>
    <s v="ORD-10788"/>
    <x v="44"/>
    <s v="Joseph Smith"/>
    <x v="3"/>
    <x v="44"/>
    <x v="4"/>
    <n v="1"/>
    <n v="19.149999999999999"/>
    <n v="0"/>
    <x v="954"/>
    <n v="15.189999999999998"/>
    <n v="3.9600000000000009"/>
    <n v="0.20678851174934731"/>
    <x v="0"/>
  </r>
  <r>
    <s v="ORD-10904"/>
    <x v="412"/>
    <s v="Mary Brown"/>
    <x v="2"/>
    <x v="36"/>
    <x v="3"/>
    <n v="1"/>
    <n v="8.67"/>
    <n v="0"/>
    <x v="955"/>
    <n v="4.76"/>
    <n v="3.91"/>
    <n v="0.45098039215686275"/>
    <x v="0"/>
  </r>
  <r>
    <s v="ORD-10084"/>
    <x v="202"/>
    <s v="Karen Miller"/>
    <x v="4"/>
    <x v="14"/>
    <x v="3"/>
    <n v="1"/>
    <n v="7.63"/>
    <n v="0.1"/>
    <x v="956"/>
    <n v="2.9969999999999999"/>
    <n v="3.87"/>
    <n v="0.56356487549148104"/>
    <x v="1"/>
  </r>
  <r>
    <s v="ORD-10315"/>
    <x v="527"/>
    <s v="Joseph Jackson"/>
    <x v="3"/>
    <x v="47"/>
    <x v="4"/>
    <n v="1"/>
    <n v="13.69"/>
    <n v="0.15"/>
    <x v="957"/>
    <n v="7.7765000000000004"/>
    <n v="3.8599999999999994"/>
    <n v="0.33171486271645251"/>
    <x v="1"/>
  </r>
  <r>
    <s v="ORD-10608"/>
    <x v="528"/>
    <s v="Joshua Johnson"/>
    <x v="1"/>
    <x v="49"/>
    <x v="4"/>
    <n v="1"/>
    <n v="21.59"/>
    <n v="0"/>
    <x v="958"/>
    <n v="17.829999999999998"/>
    <n v="3.7600000000000016"/>
    <n v="0.17415470125057905"/>
    <x v="0"/>
  </r>
  <r>
    <s v="ORD-10980"/>
    <x v="238"/>
    <s v="Elizabeth Rodriguez"/>
    <x v="1"/>
    <x v="19"/>
    <x v="1"/>
    <n v="1"/>
    <n v="12.26"/>
    <n v="0.2"/>
    <x v="959"/>
    <n v="6.2679999999999998"/>
    <n v="3.54"/>
    <n v="0.36092985318107668"/>
    <x v="0"/>
  </r>
  <r>
    <s v="ORD-10475"/>
    <x v="455"/>
    <s v="Jennifer Johnson"/>
    <x v="3"/>
    <x v="47"/>
    <x v="4"/>
    <n v="1"/>
    <n v="19.97"/>
    <n v="0"/>
    <x v="904"/>
    <n v="16.43"/>
    <n v="3.5399999999999991"/>
    <n v="0.17726589884827237"/>
    <x v="0"/>
  </r>
  <r>
    <s v="ORD-10823"/>
    <x v="529"/>
    <s v="Christopher Clark"/>
    <x v="0"/>
    <x v="19"/>
    <x v="1"/>
    <n v="1"/>
    <n v="17.149999999999999"/>
    <n v="0.15"/>
    <x v="960"/>
    <n v="11.127499999999998"/>
    <n v="3.4500000000000011"/>
    <n v="0.23666609500943245"/>
    <x v="1"/>
  </r>
  <r>
    <s v="ORD-10934"/>
    <x v="125"/>
    <s v="Susan Thomas"/>
    <x v="3"/>
    <x v="23"/>
    <x v="3"/>
    <n v="1"/>
    <n v="7.57"/>
    <n v="0.15"/>
    <x v="961"/>
    <n v="2.9944999999999999"/>
    <n v="3.44"/>
    <n v="0.53461807444245857"/>
    <x v="1"/>
  </r>
  <r>
    <s v="ORD-10807"/>
    <x v="452"/>
    <s v="Daniel Williams"/>
    <x v="0"/>
    <x v="40"/>
    <x v="4"/>
    <n v="1"/>
    <n v="10.93"/>
    <n v="0.1"/>
    <x v="962"/>
    <n v="6.4569999999999999"/>
    <n v="3.38"/>
    <n v="0.34360069126766291"/>
    <x v="1"/>
  </r>
  <r>
    <s v="ORD-10546"/>
    <x v="530"/>
    <s v="Thomas Clark"/>
    <x v="3"/>
    <x v="48"/>
    <x v="1"/>
    <n v="1"/>
    <n v="12.14"/>
    <n v="0.15"/>
    <x v="963"/>
    <n v="6.9990000000000006"/>
    <n v="3.3200000000000003"/>
    <n v="0.32173660238395191"/>
    <x v="1"/>
  </r>
  <r>
    <s v="ORD-10917"/>
    <x v="486"/>
    <s v="Sandra Perez"/>
    <x v="3"/>
    <x v="48"/>
    <x v="1"/>
    <n v="1"/>
    <n v="18.829999999999998"/>
    <n v="0.15"/>
    <x v="964"/>
    <n v="12.685499999999998"/>
    <n v="3.3200000000000003"/>
    <n v="0.20742869638561748"/>
    <x v="1"/>
  </r>
  <r>
    <s v="ORD-10968"/>
    <x v="470"/>
    <s v="Ashley Robinson"/>
    <x v="4"/>
    <x v="31"/>
    <x v="3"/>
    <n v="1"/>
    <n v="10.09"/>
    <n v="0.25"/>
    <x v="965"/>
    <n v="4.2575000000000003"/>
    <n v="3.3099999999999996"/>
    <n v="0.43739676247109344"/>
    <x v="1"/>
  </r>
  <r>
    <s v="ORD-10449"/>
    <x v="437"/>
    <s v="Sarah Garcia"/>
    <x v="0"/>
    <x v="49"/>
    <x v="4"/>
    <n v="1"/>
    <n v="19.78"/>
    <n v="0"/>
    <x v="966"/>
    <n v="16.510000000000002"/>
    <n v="3.2699999999999996"/>
    <n v="0.16531850353892819"/>
    <x v="1"/>
  </r>
  <r>
    <s v="ORD-10531"/>
    <x v="51"/>
    <s v="Mary Jackson"/>
    <x v="4"/>
    <x v="4"/>
    <x v="1"/>
    <n v="1"/>
    <n v="16.28"/>
    <n v="0.2"/>
    <x v="967"/>
    <n v="9.8140000000000001"/>
    <n v="3.2100000000000009"/>
    <n v="0.24646805896805901"/>
    <x v="1"/>
  </r>
  <r>
    <s v="ORD-10618"/>
    <x v="309"/>
    <s v="Betty Jones"/>
    <x v="0"/>
    <x v="42"/>
    <x v="4"/>
    <n v="1"/>
    <n v="11.71"/>
    <n v="0.05"/>
    <x v="968"/>
    <n v="8.0245000000000015"/>
    <n v="3.0999999999999996"/>
    <n v="0.27866420962739891"/>
    <x v="2"/>
  </r>
  <r>
    <s v="ORD-10800"/>
    <x v="159"/>
    <s v="Linda Rodriguez"/>
    <x v="3"/>
    <x v="30"/>
    <x v="2"/>
    <n v="1"/>
    <n v="27.06"/>
    <n v="0.15"/>
    <x v="969"/>
    <n v="20.040999999999997"/>
    <n v="2.9600000000000009"/>
    <n v="0.12869005695404553"/>
    <x v="0"/>
  </r>
  <r>
    <s v="ORD-10978"/>
    <x v="380"/>
    <s v="Jennifer Harris"/>
    <x v="0"/>
    <x v="44"/>
    <x v="4"/>
    <n v="1"/>
    <n v="10.45"/>
    <n v="0.05"/>
    <x v="970"/>
    <n v="7.0274999999999981"/>
    <n v="2.9000000000000004"/>
    <n v="0.29211785444472432"/>
    <x v="0"/>
  </r>
  <r>
    <s v="ORD-10981"/>
    <x v="531"/>
    <s v="Jennifer Taylor"/>
    <x v="2"/>
    <x v="15"/>
    <x v="2"/>
    <n v="1"/>
    <n v="31.51"/>
    <n v="0.2"/>
    <x v="971"/>
    <n v="22.318000000000001"/>
    <n v="2.8900000000000006"/>
    <n v="0.11464614408124406"/>
    <x v="0"/>
  </r>
  <r>
    <s v="ORD-10302"/>
    <x v="532"/>
    <s v="Andrew Harris"/>
    <x v="2"/>
    <x v="29"/>
    <x v="2"/>
    <n v="1"/>
    <n v="32.61"/>
    <n v="0"/>
    <x v="972"/>
    <n v="29.74"/>
    <n v="2.870000000000001"/>
    <n v="8.8009812940815738E-2"/>
    <x v="0"/>
  </r>
  <r>
    <s v="ORD-10474"/>
    <x v="513"/>
    <s v="Richard Ramirez"/>
    <x v="0"/>
    <x v="10"/>
    <x v="1"/>
    <n v="1"/>
    <n v="11.18"/>
    <n v="0.05"/>
    <x v="973"/>
    <n v="7.8210000000000006"/>
    <n v="2.8"/>
    <n v="0.26362866020148756"/>
    <x v="0"/>
  </r>
  <r>
    <s v="ORD-10653"/>
    <x v="453"/>
    <s v="Dorothy Jackson"/>
    <x v="4"/>
    <x v="47"/>
    <x v="4"/>
    <n v="1"/>
    <n v="15.81"/>
    <n v="0"/>
    <x v="974"/>
    <n v="13.02"/>
    <n v="2.7900000000000009"/>
    <n v="0.17647058823529416"/>
    <x v="0"/>
  </r>
  <r>
    <s v="ORD-10377"/>
    <x v="325"/>
    <s v="Michelle Brown"/>
    <x v="1"/>
    <x v="18"/>
    <x v="3"/>
    <n v="1"/>
    <n v="7.17"/>
    <n v="0.05"/>
    <x v="975"/>
    <n v="4.0214999999999996"/>
    <n v="2.79"/>
    <n v="0.4096014093811936"/>
    <x v="1"/>
  </r>
  <r>
    <s v="ORD-10688"/>
    <x v="533"/>
    <s v="Joseph Lewis"/>
    <x v="2"/>
    <x v="47"/>
    <x v="4"/>
    <n v="1"/>
    <n v="16.11"/>
    <n v="0.1"/>
    <x v="976"/>
    <n v="11.728999999999999"/>
    <n v="2.7699999999999996"/>
    <n v="0.19104765845920407"/>
    <x v="1"/>
  </r>
  <r>
    <s v="ORD-10621"/>
    <x v="534"/>
    <s v="Carol Smith"/>
    <x v="0"/>
    <x v="43"/>
    <x v="2"/>
    <n v="1"/>
    <n v="28.5"/>
    <n v="0.05"/>
    <x v="977"/>
    <n v="24.314999999999998"/>
    <n v="2.7600000000000016"/>
    <n v="0.10193905817174521"/>
    <x v="0"/>
  </r>
  <r>
    <s v="ORD-10180"/>
    <x v="27"/>
    <s v="Sandra Perez"/>
    <x v="4"/>
    <x v="39"/>
    <x v="4"/>
    <n v="1"/>
    <n v="15.42"/>
    <n v="0.2"/>
    <x v="978"/>
    <n v="9.5960000000000001"/>
    <n v="2.74"/>
    <n v="0.22211413748378731"/>
    <x v="0"/>
  </r>
  <r>
    <s v="ORD-10199"/>
    <x v="349"/>
    <s v="Kevin Lee"/>
    <x v="0"/>
    <x v="33"/>
    <x v="4"/>
    <n v="1"/>
    <n v="14.46"/>
    <n v="0"/>
    <x v="979"/>
    <n v="11.73"/>
    <n v="2.7300000000000004"/>
    <n v="0.18879668049792533"/>
    <x v="1"/>
  </r>
  <r>
    <s v="ORD-10714"/>
    <x v="192"/>
    <s v="Linda Davis"/>
    <x v="3"/>
    <x v="47"/>
    <x v="4"/>
    <n v="1"/>
    <n v="16.489999999999998"/>
    <n v="0"/>
    <x v="980"/>
    <n v="13.839999999999998"/>
    <n v="2.6500000000000004"/>
    <n v="0.16070345664038815"/>
    <x v="1"/>
  </r>
  <r>
    <s v="ORD-10966"/>
    <x v="336"/>
    <s v="Matthew White"/>
    <x v="0"/>
    <x v="49"/>
    <x v="4"/>
    <n v="1"/>
    <n v="8.75"/>
    <n v="0"/>
    <x v="981"/>
    <n v="6.26"/>
    <n v="2.4900000000000002"/>
    <n v="0.28457142857142859"/>
    <x v="0"/>
  </r>
  <r>
    <s v="ORD-10493"/>
    <x v="29"/>
    <s v="Richard Brown"/>
    <x v="0"/>
    <x v="33"/>
    <x v="4"/>
    <n v="1"/>
    <n v="11.77"/>
    <n v="0"/>
    <x v="982"/>
    <n v="9.2899999999999991"/>
    <n v="2.4800000000000004"/>
    <n v="0.21070518266779953"/>
    <x v="1"/>
  </r>
  <r>
    <s v="ORD-10549"/>
    <x v="37"/>
    <s v="Matthew Martinez"/>
    <x v="1"/>
    <x v="26"/>
    <x v="1"/>
    <n v="1"/>
    <n v="10.18"/>
    <n v="0"/>
    <x v="983"/>
    <n v="7.8599999999999994"/>
    <n v="2.3200000000000003"/>
    <n v="0.22789783889980358"/>
    <x v="0"/>
  </r>
  <r>
    <s v="ORD-10209"/>
    <x v="383"/>
    <s v="Linda Hernandez"/>
    <x v="4"/>
    <x v="37"/>
    <x v="2"/>
    <n v="1"/>
    <n v="25.83"/>
    <n v="0"/>
    <x v="984"/>
    <n v="23.56"/>
    <n v="2.2699999999999996"/>
    <n v="8.7882307394502507E-2"/>
    <x v="1"/>
  </r>
  <r>
    <s v="ORD-10382"/>
    <x v="471"/>
    <s v="Christopher Lee"/>
    <x v="4"/>
    <x v="34"/>
    <x v="4"/>
    <n v="1"/>
    <n v="8.6199999999999992"/>
    <n v="0.05"/>
    <x v="985"/>
    <n v="6.2690000000000001"/>
    <n v="1.92"/>
    <n v="0.23446086213212847"/>
    <x v="1"/>
  </r>
  <r>
    <s v="ORD-10526"/>
    <x v="535"/>
    <s v="Dorothy Lopez"/>
    <x v="2"/>
    <x v="49"/>
    <x v="4"/>
    <n v="1"/>
    <n v="10.93"/>
    <n v="0.15"/>
    <x v="986"/>
    <n v="7.4604999999999997"/>
    <n v="1.83"/>
    <n v="0.196975404983585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39116-8ECB-48AC-B878-EC9515F43F1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X1:AX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Profit " fld="18" baseField="0" baseItem="0" numFmtId="165"/>
  </dataFields>
  <formats count="1"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09A8A-9C96-4CA9-BB50-FAD42468F762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D1:BD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Profit " fld="22" subtotal="average" baseField="0" baseItem="0" numFmtId="2"/>
  </dataFields>
  <formats count="4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6A3B6-2257-48EE-9965-041B7B7CF4C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Z1:AZ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Gross Profit Margin % " fld="20" baseField="0" baseItem="0" numFmtId="10"/>
  </dataFields>
  <formats count="4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3C2AE-FB6C-4621-9BB5-FCBCEA16D30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:M12" firstHeaderRow="1" firstDataRow="1" firstDataCol="1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axis="axisRow" showAll="0" measureFilter="1" sortType="ascending">
      <items count="51">
        <item x="12"/>
        <item x="16"/>
        <item x="11"/>
        <item x="31"/>
        <item x="0"/>
        <item x="27"/>
        <item x="25"/>
        <item x="21"/>
        <item x="4"/>
        <item x="49"/>
        <item x="1"/>
        <item x="46"/>
        <item x="35"/>
        <item x="41"/>
        <item x="22"/>
        <item x="23"/>
        <item x="20"/>
        <item x="47"/>
        <item x="44"/>
        <item x="32"/>
        <item x="39"/>
        <item x="15"/>
        <item x="19"/>
        <item x="5"/>
        <item x="36"/>
        <item x="37"/>
        <item x="14"/>
        <item x="28"/>
        <item x="10"/>
        <item x="3"/>
        <item x="43"/>
        <item x="7"/>
        <item x="34"/>
        <item x="2"/>
        <item x="26"/>
        <item x="18"/>
        <item x="9"/>
        <item x="48"/>
        <item x="24"/>
        <item x="42"/>
        <item x="30"/>
        <item x="40"/>
        <item x="17"/>
        <item x="29"/>
        <item x="45"/>
        <item x="8"/>
        <item x="13"/>
        <item x="38"/>
        <item x="3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5" showAll="0"/>
    <pivotField numFmtId="9" showAll="0"/>
    <pivotField dataField="1"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 v="4"/>
    </i>
    <i>
      <x v="40"/>
    </i>
    <i>
      <x v="46"/>
    </i>
    <i>
      <x v="33"/>
    </i>
    <i>
      <x v="30"/>
    </i>
    <i>
      <x v="21"/>
    </i>
    <i>
      <x v="43"/>
    </i>
    <i>
      <x v="36"/>
    </i>
    <i>
      <x v="25"/>
    </i>
    <i>
      <x v="45"/>
    </i>
    <i t="grand">
      <x/>
    </i>
  </rowItems>
  <colItems count="1">
    <i/>
  </colItems>
  <dataFields count="1">
    <dataField name="Sum of Revenue" fld="9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3F9B-5902-4AE0-902F-D0B3D28A6EB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ategory">
  <location ref="AR1:AT7" firstHeaderRow="0" firstDataRow="1" firstDataCol="1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axis="axisRow" showAll="0">
      <items count="51">
        <item x="12"/>
        <item x="16"/>
        <item x="11"/>
        <item x="31"/>
        <item x="0"/>
        <item x="27"/>
        <item x="25"/>
        <item x="21"/>
        <item x="4"/>
        <item x="49"/>
        <item x="1"/>
        <item x="46"/>
        <item x="35"/>
        <item x="41"/>
        <item x="22"/>
        <item x="23"/>
        <item x="20"/>
        <item x="47"/>
        <item x="44"/>
        <item x="32"/>
        <item x="39"/>
        <item x="15"/>
        <item x="19"/>
        <item x="5"/>
        <item x="36"/>
        <item x="37"/>
        <item x="14"/>
        <item x="28"/>
        <item x="10"/>
        <item x="3"/>
        <item x="43"/>
        <item x="7"/>
        <item x="34"/>
        <item x="2"/>
        <item x="26"/>
        <item x="18"/>
        <item x="9"/>
        <item x="48"/>
        <item x="24"/>
        <item x="42"/>
        <item x="30"/>
        <item x="40"/>
        <item x="17"/>
        <item x="29"/>
        <item x="45"/>
        <item x="8"/>
        <item x="13"/>
        <item x="38"/>
        <item x="33"/>
        <item x="6"/>
        <item t="default"/>
      </items>
    </pivotField>
    <pivotField axis="axisRow" showAll="0" sortType="ascending">
      <items count="6">
        <item sd="0" x="3"/>
        <item sd="0" x="0"/>
        <item sd="0" x="2"/>
        <item sd="0" x="1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numFmtId="9" showAll="0"/>
    <pivotField dataField="1" numFmtId="165" showAll="0"/>
    <pivotField numFmtId="165" showAll="0"/>
    <pivotField numFmtId="165" showAll="0"/>
    <pivotField dataField="1"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5"/>
    <field x="4"/>
  </rowFields>
  <rowItems count="6">
    <i>
      <x/>
    </i>
    <i>
      <x v="4"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" fld="9" baseField="5" baseItem="0" numFmtId="165"/>
    <dataField name="Profit Margin  " fld="12" subtotal="average" baseField="5" baseItem="0" numFmtId="1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039B5-6837-419D-9FBA-D28B7182F4E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1:F7" firstHeaderRow="1" firstDataRow="2" firstDataCol="1"/>
  <pivotFields count="25">
    <pivotField showAll="0"/>
    <pivotField axis="axisRow"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numFmtId="1" showAll="0"/>
    <pivotField numFmtId="165" showAll="0"/>
    <pivotField numFmtId="9" showAll="0"/>
    <pivotField numFmtId="165" showAll="0"/>
    <pivotField numFmtId="165" showAll="0"/>
    <pivotField dataField="1" numFmtId="165" showAll="0"/>
    <pivotField numFmtId="10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sd="0" x="1"/>
        <item sd="0" x="2"/>
        <item sd="0"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5"/>
    <field x="14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 v="1"/>
    </i>
    <i>
      <x v="2"/>
    </i>
    <i t="grand">
      <x/>
    </i>
  </colItems>
  <dataFields count="1">
    <dataField name="Sum of Profit" fld="11" baseField="0" baseItem="0" numFmtId="165"/>
  </dataFields>
  <chartFormats count="4">
    <chartFormat chart="0" format="3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0126C-DE22-4E27-A677-1E74E802FF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U1:V7" firstHeaderRow="1" firstDataRow="1" firstDataCol="1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axis="axisRow" showAll="0" sortType="a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dataField="1" numFmtId="165"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">
    <i>
      <x v="4"/>
    </i>
    <i>
      <x v="3"/>
    </i>
    <i>
      <x v="1"/>
    </i>
    <i>
      <x/>
    </i>
    <i>
      <x v="2"/>
    </i>
    <i t="grand">
      <x/>
    </i>
  </rowItems>
  <colItems count="1">
    <i/>
  </colItems>
  <dataFields count="1">
    <dataField name="Profit " fld="11" baseField="3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0F050-3DAB-4745-B90A-DFA473A671D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B1:BB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Orders " fld="21" baseField="0" baseItem="0" numFmtId="167"/>
  </dataFields>
  <formats count="4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DB90C-F5BA-408F-B9D0-04E14BA3411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1:BF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Total Expenses " fld="2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EB078-8C9D-4D7C-B9DF-F3D7DB60E3C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V1:AV2" firstHeaderRow="1" firstDataRow="1" firstDataCol="0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Revenue " fld="17" baseField="0" baseItem="0" numFmtId="165"/>
  </dataFields>
  <formats count="1"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CAE5B-86EB-4294-AEFC-03753DE6D67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J1:AM7" firstHeaderRow="1" firstDataRow="2" firstDataCol="1"/>
  <pivotFields count="25">
    <pivotField showAll="0"/>
    <pivotField axis="axisRow"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numFmtId="1" showAll="0"/>
    <pivotField numFmtId="165" showAll="0"/>
    <pivotField numFmtId="9" showAll="0"/>
    <pivotField dataField="1" numFmtId="165" showAll="0"/>
    <pivotField numFmtId="165" showAll="0"/>
    <pivotField numFmtId="165" showAll="0"/>
    <pivotField numFmtId="10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15"/>
    <field x="14"/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 v="1"/>
    </i>
    <i>
      <x v="2"/>
    </i>
    <i t="grand">
      <x/>
    </i>
  </colItems>
  <dataFields count="1">
    <dataField name="Sum of Revenue" fld="9" baseField="0" baseItem="0" numFmtId="165"/>
  </dataFields>
  <chartFormats count="6">
    <chartFormat chart="0" format="2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5" count="1" selected="0">
            <x v="2"/>
          </reference>
          <reference field="16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5" count="1" selected="0">
            <x v="3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8582-ABCF-40A3-87DC-1D727464B5C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hip Mode">
  <location ref="AB1:AC5" firstHeaderRow="1" firstDataRow="1" firstDataCol="1"/>
  <pivotFields count="25">
    <pivotField showAll="0"/>
    <pivotField numFmtId="164" showAll="0">
      <items count="537">
        <item x="185"/>
        <item x="412"/>
        <item x="314"/>
        <item x="523"/>
        <item x="237"/>
        <item x="189"/>
        <item x="146"/>
        <item x="113"/>
        <item x="85"/>
        <item x="161"/>
        <item x="147"/>
        <item x="65"/>
        <item x="228"/>
        <item x="91"/>
        <item x="298"/>
        <item x="401"/>
        <item x="344"/>
        <item x="50"/>
        <item x="258"/>
        <item x="451"/>
        <item x="281"/>
        <item x="241"/>
        <item x="426"/>
        <item x="491"/>
        <item x="197"/>
        <item x="347"/>
        <item x="84"/>
        <item x="217"/>
        <item x="284"/>
        <item x="327"/>
        <item x="462"/>
        <item x="468"/>
        <item x="301"/>
        <item x="175"/>
        <item x="478"/>
        <item x="513"/>
        <item x="505"/>
        <item x="139"/>
        <item x="12"/>
        <item x="220"/>
        <item x="221"/>
        <item x="180"/>
        <item x="362"/>
        <item x="455"/>
        <item x="348"/>
        <item x="251"/>
        <item x="461"/>
        <item x="516"/>
        <item x="444"/>
        <item x="158"/>
        <item x="253"/>
        <item x="100"/>
        <item x="184"/>
        <item x="24"/>
        <item x="130"/>
        <item x="42"/>
        <item x="312"/>
        <item x="431"/>
        <item x="485"/>
        <item x="219"/>
        <item x="374"/>
        <item x="437"/>
        <item x="532"/>
        <item x="369"/>
        <item x="493"/>
        <item x="203"/>
        <item x="46"/>
        <item x="215"/>
        <item x="481"/>
        <item x="110"/>
        <item x="482"/>
        <item x="23"/>
        <item x="320"/>
        <item x="389"/>
        <item x="457"/>
        <item x="430"/>
        <item x="173"/>
        <item x="200"/>
        <item x="177"/>
        <item x="168"/>
        <item x="367"/>
        <item x="106"/>
        <item x="164"/>
        <item x="311"/>
        <item x="425"/>
        <item x="330"/>
        <item x="210"/>
        <item x="440"/>
        <item x="104"/>
        <item x="174"/>
        <item x="133"/>
        <item x="447"/>
        <item x="492"/>
        <item x="335"/>
        <item x="319"/>
        <item x="509"/>
        <item x="0"/>
        <item x="339"/>
        <item x="148"/>
        <item x="114"/>
        <item x="155"/>
        <item x="316"/>
        <item x="518"/>
        <item x="286"/>
        <item x="307"/>
        <item x="140"/>
        <item x="345"/>
        <item x="448"/>
        <item x="449"/>
        <item x="293"/>
        <item x="206"/>
        <item x="269"/>
        <item x="122"/>
        <item x="167"/>
        <item x="191"/>
        <item x="69"/>
        <item x="208"/>
        <item x="268"/>
        <item x="105"/>
        <item x="396"/>
        <item x="96"/>
        <item x="506"/>
        <item x="377"/>
        <item x="11"/>
        <item x="119"/>
        <item x="406"/>
        <item x="400"/>
        <item x="4"/>
        <item x="456"/>
        <item x="352"/>
        <item x="224"/>
        <item x="45"/>
        <item x="338"/>
        <item x="243"/>
        <item x="332"/>
        <item x="484"/>
        <item x="55"/>
        <item x="275"/>
        <item x="198"/>
        <item x="227"/>
        <item x="33"/>
        <item x="68"/>
        <item x="504"/>
        <item x="273"/>
        <item x="385"/>
        <item x="78"/>
        <item x="291"/>
        <item x="125"/>
        <item x="309"/>
        <item x="333"/>
        <item x="25"/>
        <item x="123"/>
        <item x="128"/>
        <item x="342"/>
        <item x="533"/>
        <item x="458"/>
        <item x="7"/>
        <item x="439"/>
        <item x="308"/>
        <item x="88"/>
        <item x="452"/>
        <item x="35"/>
        <item x="263"/>
        <item x="495"/>
        <item x="388"/>
        <item x="151"/>
        <item x="299"/>
        <item x="375"/>
        <item x="127"/>
        <item x="379"/>
        <item x="303"/>
        <item x="419"/>
        <item x="234"/>
        <item x="496"/>
        <item x="476"/>
        <item x="353"/>
        <item x="212"/>
        <item x="182"/>
        <item x="390"/>
        <item x="300"/>
        <item x="142"/>
        <item x="310"/>
        <item x="39"/>
        <item x="411"/>
        <item x="120"/>
        <item x="131"/>
        <item x="254"/>
        <item x="97"/>
        <item x="240"/>
        <item x="460"/>
        <item x="535"/>
        <item x="418"/>
        <item x="137"/>
        <item x="77"/>
        <item x="420"/>
        <item x="82"/>
        <item x="413"/>
        <item x="81"/>
        <item x="41"/>
        <item x="278"/>
        <item x="304"/>
        <item x="521"/>
        <item x="438"/>
        <item x="250"/>
        <item x="410"/>
        <item x="343"/>
        <item x="358"/>
        <item x="194"/>
        <item x="453"/>
        <item x="261"/>
        <item x="326"/>
        <item x="395"/>
        <item x="213"/>
        <item x="262"/>
        <item x="454"/>
        <item x="313"/>
        <item x="190"/>
        <item x="422"/>
        <item x="233"/>
        <item x="30"/>
        <item x="355"/>
        <item x="487"/>
        <item x="371"/>
        <item x="204"/>
        <item x="329"/>
        <item x="474"/>
        <item x="22"/>
        <item x="101"/>
        <item x="166"/>
        <item x="67"/>
        <item x="3"/>
        <item x="116"/>
        <item x="398"/>
        <item x="74"/>
        <item x="226"/>
        <item x="73"/>
        <item x="285"/>
        <item x="160"/>
        <item x="381"/>
        <item x="528"/>
        <item x="87"/>
        <item x="5"/>
        <item x="264"/>
        <item x="225"/>
        <item x="282"/>
        <item x="195"/>
        <item x="153"/>
        <item x="143"/>
        <item x="483"/>
        <item x="170"/>
        <item x="31"/>
        <item x="6"/>
        <item x="60"/>
        <item x="80"/>
        <item x="480"/>
        <item x="271"/>
        <item x="76"/>
        <item x="382"/>
        <item x="517"/>
        <item x="223"/>
        <item x="404"/>
        <item x="288"/>
        <item x="435"/>
        <item x="108"/>
        <item x="272"/>
        <item x="529"/>
        <item x="357"/>
        <item x="138"/>
        <item x="29"/>
        <item x="394"/>
        <item x="350"/>
        <item x="245"/>
        <item x="171"/>
        <item x="64"/>
        <item x="150"/>
        <item x="488"/>
        <item x="17"/>
        <item x="296"/>
        <item x="154"/>
        <item x="409"/>
        <item x="364"/>
        <item x="469"/>
        <item x="103"/>
        <item x="66"/>
        <item x="115"/>
        <item x="89"/>
        <item x="441"/>
        <item x="193"/>
        <item x="402"/>
        <item x="111"/>
        <item x="331"/>
        <item x="13"/>
        <item x="179"/>
        <item x="376"/>
        <item x="135"/>
        <item x="434"/>
        <item x="62"/>
        <item x="270"/>
        <item x="149"/>
        <item x="165"/>
        <item x="267"/>
        <item x="280"/>
        <item x="70"/>
        <item x="393"/>
        <item x="1"/>
        <item x="334"/>
        <item x="306"/>
        <item x="436"/>
        <item x="40"/>
        <item x="511"/>
        <item x="473"/>
        <item x="92"/>
        <item x="159"/>
        <item x="432"/>
        <item x="360"/>
        <item x="433"/>
        <item x="354"/>
        <item x="277"/>
        <item x="75"/>
        <item x="351"/>
        <item x="372"/>
        <item x="52"/>
        <item x="443"/>
        <item x="98"/>
        <item x="494"/>
        <item x="530"/>
        <item x="211"/>
        <item x="341"/>
        <item x="499"/>
        <item x="503"/>
        <item x="134"/>
        <item x="169"/>
        <item x="534"/>
        <item x="356"/>
        <item x="28"/>
        <item x="259"/>
        <item x="132"/>
        <item x="450"/>
        <item x="520"/>
        <item x="363"/>
        <item x="112"/>
        <item x="446"/>
        <item x="244"/>
        <item x="214"/>
        <item x="126"/>
        <item x="36"/>
        <item x="99"/>
        <item x="218"/>
        <item x="162"/>
        <item x="442"/>
        <item x="144"/>
        <item x="276"/>
        <item x="129"/>
        <item x="525"/>
        <item x="522"/>
        <item x="248"/>
        <item x="102"/>
        <item x="380"/>
        <item x="53"/>
        <item x="526"/>
        <item x="20"/>
        <item x="479"/>
        <item x="44"/>
        <item x="427"/>
        <item x="63"/>
        <item x="242"/>
        <item x="232"/>
        <item x="489"/>
        <item x="255"/>
        <item x="163"/>
        <item x="156"/>
        <item x="201"/>
        <item x="386"/>
        <item x="297"/>
        <item x="324"/>
        <item x="302"/>
        <item x="384"/>
        <item x="109"/>
        <item x="18"/>
        <item x="507"/>
        <item x="209"/>
        <item x="322"/>
        <item x="315"/>
        <item x="328"/>
        <item x="294"/>
        <item x="279"/>
        <item x="445"/>
        <item x="117"/>
        <item x="340"/>
        <item x="407"/>
        <item x="366"/>
        <item x="9"/>
        <item x="416"/>
        <item x="289"/>
        <item x="56"/>
        <item x="141"/>
        <item x="32"/>
        <item x="249"/>
        <item x="399"/>
        <item x="192"/>
        <item x="14"/>
        <item x="472"/>
        <item x="183"/>
        <item x="51"/>
        <item x="490"/>
        <item x="417"/>
        <item x="477"/>
        <item x="512"/>
        <item x="58"/>
        <item x="196"/>
        <item x="54"/>
        <item x="145"/>
        <item x="247"/>
        <item x="43"/>
        <item x="265"/>
        <item x="317"/>
        <item x="178"/>
        <item x="524"/>
        <item x="323"/>
        <item x="387"/>
        <item x="508"/>
        <item x="349"/>
        <item x="49"/>
        <item x="235"/>
        <item x="246"/>
        <item x="423"/>
        <item x="370"/>
        <item x="59"/>
        <item x="337"/>
        <item x="391"/>
        <item x="403"/>
        <item x="8"/>
        <item x="428"/>
        <item x="415"/>
        <item x="321"/>
        <item x="470"/>
        <item x="421"/>
        <item x="471"/>
        <item x="392"/>
        <item x="252"/>
        <item x="346"/>
        <item x="501"/>
        <item x="290"/>
        <item x="121"/>
        <item x="466"/>
        <item x="256"/>
        <item x="181"/>
        <item x="61"/>
        <item x="107"/>
        <item x="465"/>
        <item x="72"/>
        <item x="500"/>
        <item x="205"/>
        <item x="519"/>
        <item x="2"/>
        <item x="283"/>
        <item x="405"/>
        <item x="199"/>
        <item x="429"/>
        <item x="257"/>
        <item x="414"/>
        <item x="19"/>
        <item x="187"/>
        <item x="47"/>
        <item x="514"/>
        <item x="186"/>
        <item x="463"/>
        <item x="515"/>
        <item x="231"/>
        <item x="318"/>
        <item x="459"/>
        <item x="359"/>
        <item x="37"/>
        <item x="383"/>
        <item x="510"/>
        <item x="90"/>
        <item x="38"/>
        <item x="531"/>
        <item x="274"/>
        <item x="15"/>
        <item x="27"/>
        <item x="176"/>
        <item x="94"/>
        <item x="124"/>
        <item x="464"/>
        <item x="57"/>
        <item x="10"/>
        <item x="79"/>
        <item x="239"/>
        <item x="475"/>
        <item x="424"/>
        <item x="502"/>
        <item x="188"/>
        <item x="26"/>
        <item x="365"/>
        <item x="497"/>
        <item x="467"/>
        <item x="216"/>
        <item x="21"/>
        <item x="48"/>
        <item x="86"/>
        <item x="136"/>
        <item x="207"/>
        <item x="486"/>
        <item x="238"/>
        <item x="287"/>
        <item x="152"/>
        <item x="230"/>
        <item x="295"/>
        <item x="222"/>
        <item x="83"/>
        <item x="266"/>
        <item x="373"/>
        <item x="118"/>
        <item x="368"/>
        <item x="260"/>
        <item x="361"/>
        <item x="336"/>
        <item x="157"/>
        <item x="172"/>
        <item x="229"/>
        <item x="34"/>
        <item x="95"/>
        <item x="202"/>
        <item x="325"/>
        <item x="16"/>
        <item x="292"/>
        <item x="527"/>
        <item x="71"/>
        <item x="378"/>
        <item x="305"/>
        <item x="93"/>
        <item x="397"/>
        <item x="498"/>
        <item x="236"/>
        <item x="408"/>
        <item t="default"/>
      </items>
    </pivotField>
    <pivotField showAll="0"/>
    <pivotField showAll="0"/>
    <pivotField showAll="0"/>
    <pivotField showAll="0"/>
    <pivotField dataField="1" numFmtId="1" showAll="0"/>
    <pivotField numFmtId="165" showAll="0"/>
    <pivotField numFmtId="9" showAll="0"/>
    <pivotField numFmtId="165" showAll="0"/>
    <pivotField numFmtId="165" showAll="0"/>
    <pivotField numFmtId="165" showAll="0"/>
    <pivotField numFmtId="10" showAll="0"/>
    <pivotField axis="axisRow" showAll="0">
      <items count="4"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 numFmtId="1"/>
  </dataFields>
  <formats count="1">
    <format dxfId="35">
      <pivotArea grandRow="1" outline="0" collapsedLevelsAreSubtotals="1" fieldPosition="0"/>
    </format>
  </formats>
  <chartFormats count="4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4D5C9-FC86-42A6-B37A-E8024189A7A4}" name="Table2" displayName="Table2" ref="A1:L1001" totalsRowShown="0" headerRowDxfId="20">
  <autoFilter ref="A1:L1001" xr:uid="{3724D5C9-FC86-42A6-B37A-E8024189A7A4}"/>
  <sortState xmlns:xlrd2="http://schemas.microsoft.com/office/spreadsheetml/2017/richdata2" ref="A2:L1001">
    <sortCondition ref="F1:F1001"/>
  </sortState>
  <tableColumns count="12">
    <tableColumn id="1" xr3:uid="{C5AC4B95-B7F1-48C3-8DEE-A774472CF39C}" name="Order ID"/>
    <tableColumn id="2" xr3:uid="{7D0A2161-6B28-48A2-9416-34085B34C104}" name="Order Date" dataDxfId="19"/>
    <tableColumn id="3" xr3:uid="{AFA5E60F-7323-4BD5-98C4-EA124415E59F}" name="Customer Name"/>
    <tableColumn id="4" xr3:uid="{2397B27D-1906-4A4A-875C-8EF16ABD76F1}" name="Region"/>
    <tableColumn id="5" xr3:uid="{B0945ED8-5D9D-4F15-9D31-6B3F39E2A326}" name="Product Name"/>
    <tableColumn id="6" xr3:uid="{4BB76E47-3838-486A-AE8B-22918B7A9610}" name="Category"/>
    <tableColumn id="7" xr3:uid="{814154E7-9C0C-4776-A406-F9B3ACC842C4}" name="Quantity" dataDxfId="18"/>
    <tableColumn id="8" xr3:uid="{4DFD71D5-E4E3-46DE-8B5A-A93B2FE44636}" name="Unit Price" dataDxfId="17"/>
    <tableColumn id="9" xr3:uid="{810430CF-A4A1-4162-B747-3000F3ECA3E7}" name="Discount %" dataDxfId="16"/>
    <tableColumn id="10" xr3:uid="{BFF77279-E25E-49CB-AF37-932BF55D9744}" name="Total Revenue" dataDxfId="15"/>
    <tableColumn id="11" xr3:uid="{5D28B8FC-7937-48F5-B433-FF6BD94C6910}" name="Profit" dataDxfId="14"/>
    <tableColumn id="12" xr3:uid="{0E65C12D-2826-4AA5-A4F0-D124658A2C99}" name="Ship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F80F3-4EDB-4690-A6D1-44C2C079D1C5}" name="Table23" displayName="Table23" ref="A1:N1001" totalsRowShown="0" headerRowDxfId="13">
  <sortState xmlns:xlrd2="http://schemas.microsoft.com/office/spreadsheetml/2017/richdata2" ref="A2:N1001">
    <sortCondition descending="1" ref="L1:L1001"/>
  </sortState>
  <tableColumns count="14">
    <tableColumn id="1" xr3:uid="{6F8380BC-FD81-4C84-93B4-E2371C52C353}" name="Order ID" dataDxfId="12"/>
    <tableColumn id="2" xr3:uid="{7909DCB0-258D-4D4A-B97E-22C2A48D6B52}" name="Order Date" dataDxfId="11"/>
    <tableColumn id="3" xr3:uid="{FDC6368A-B588-4EFF-A94F-A953FEAAA6B0}" name="Customer Name" dataDxfId="10"/>
    <tableColumn id="4" xr3:uid="{B37BDE19-54D0-4076-9553-5C134AA52027}" name="Region" dataDxfId="9"/>
    <tableColumn id="5" xr3:uid="{0D540060-8326-4A15-9FEF-090DE668D140}" name="Product Name" dataDxfId="8"/>
    <tableColumn id="6" xr3:uid="{1C9B48D3-91F2-443B-B21B-55BD2BEF66BE}" name="Category" dataDxfId="7"/>
    <tableColumn id="7" xr3:uid="{1AC4A97E-004D-4408-83C8-02CD36FE289F}" name="Quantity" dataDxfId="6"/>
    <tableColumn id="8" xr3:uid="{F8DD1F12-0164-45E0-925E-F8887EDDAE1E}" name="Unit Price" dataDxfId="5"/>
    <tableColumn id="15" xr3:uid="{727361ED-E6B1-4EDD-891F-BAD17E6E5BD0}" name="Dscount" dataDxfId="4"/>
    <tableColumn id="16" xr3:uid="{20392CA1-628D-46E9-9257-9C7168616EC1}" name="Revenue" dataDxfId="3">
      <calculatedColumnFormula>(Table23[[#This Row],[Quantity]]*Table23[[#This Row],[Unit Price]])-(Table23[[#This Row],[Unit Price]]*Table23[[#This Row],[Dscount]])*Table23[[#This Row],[Quantity]]</calculatedColumnFormula>
    </tableColumn>
    <tableColumn id="18" xr3:uid="{D5C1768E-4627-4E90-A9B1-9F69C1F69E52}" name="Total Cost" dataDxfId="2"/>
    <tableColumn id="9" xr3:uid="{EADC09E0-C4AC-4F83-A3F1-E350AFB355CE}" name="Profit" dataDxfId="1">
      <calculatedColumnFormula>Table23[[#This Row],[Revenue]]-Table23[[#This Row],[Total Cost]]</calculatedColumnFormula>
    </tableColumn>
    <tableColumn id="10" xr3:uid="{4EF56BC2-402B-47C9-985D-4BD5D6C32F27}" name="Profit Margin" dataDxfId="0">
      <calculatedColumnFormula>(Table23[[#This Row],[Profit]]/Table23[[#This Row],[Revenue]])</calculatedColumnFormula>
    </tableColumn>
    <tableColumn id="12" xr3:uid="{16EEA2D0-DB8B-47DC-B9DF-A00DB5E87C3F}" name="Ship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A06D-E732-49FE-ACEB-D578BED69FB8}">
  <dimension ref="A1:L1001"/>
  <sheetViews>
    <sheetView showGridLines="0" workbookViewId="0">
      <selection activeCell="T24" sqref="T24"/>
    </sheetView>
  </sheetViews>
  <sheetFormatPr defaultRowHeight="15" x14ac:dyDescent="0.25"/>
  <cols>
    <col min="1" max="1" width="14.28515625" customWidth="1"/>
    <col min="2" max="2" width="13.7109375" customWidth="1"/>
    <col min="3" max="3" width="23.85546875" customWidth="1"/>
    <col min="4" max="4" width="10.85546875" customWidth="1"/>
    <col min="5" max="5" width="18" customWidth="1"/>
    <col min="12" max="12" width="12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1" t="s">
        <v>11</v>
      </c>
    </row>
    <row r="2" spans="1:12" x14ac:dyDescent="0.25">
      <c r="A2" t="s">
        <v>12</v>
      </c>
      <c r="B2" s="6">
        <v>46007</v>
      </c>
      <c r="C2" t="s">
        <v>13</v>
      </c>
      <c r="D2" t="s">
        <v>14</v>
      </c>
      <c r="E2" t="s">
        <v>15</v>
      </c>
      <c r="F2" t="s">
        <v>16</v>
      </c>
      <c r="G2" s="7">
        <v>1</v>
      </c>
      <c r="H2" s="8">
        <v>7.17</v>
      </c>
      <c r="I2" s="9">
        <v>5</v>
      </c>
      <c r="J2" s="8">
        <v>6.81</v>
      </c>
      <c r="K2" s="8">
        <v>2.79</v>
      </c>
      <c r="L2" t="s">
        <v>17</v>
      </c>
    </row>
    <row r="3" spans="1:12" x14ac:dyDescent="0.25">
      <c r="A3" t="s">
        <v>18</v>
      </c>
      <c r="B3" s="6">
        <v>45891</v>
      </c>
      <c r="C3" t="s">
        <v>19</v>
      </c>
      <c r="D3" t="s">
        <v>20</v>
      </c>
      <c r="E3" t="s">
        <v>21</v>
      </c>
      <c r="F3" t="s">
        <v>16</v>
      </c>
      <c r="G3" s="7">
        <v>1</v>
      </c>
      <c r="H3" s="8">
        <v>10.09</v>
      </c>
      <c r="I3" s="9">
        <v>25</v>
      </c>
      <c r="J3" s="8">
        <v>7.57</v>
      </c>
      <c r="K3" s="8">
        <v>3.31</v>
      </c>
      <c r="L3" t="s">
        <v>17</v>
      </c>
    </row>
    <row r="4" spans="1:12" x14ac:dyDescent="0.25">
      <c r="A4" t="s">
        <v>22</v>
      </c>
      <c r="B4" s="6">
        <v>45499</v>
      </c>
      <c r="C4" t="s">
        <v>23</v>
      </c>
      <c r="D4" t="s">
        <v>24</v>
      </c>
      <c r="E4" t="s">
        <v>25</v>
      </c>
      <c r="F4" t="s">
        <v>16</v>
      </c>
      <c r="G4" s="7">
        <v>1</v>
      </c>
      <c r="H4" s="8">
        <v>7.57</v>
      </c>
      <c r="I4" s="9">
        <v>15</v>
      </c>
      <c r="J4" s="8">
        <v>6.43</v>
      </c>
      <c r="K4" s="8">
        <v>3.44</v>
      </c>
      <c r="L4" t="s">
        <v>17</v>
      </c>
    </row>
    <row r="5" spans="1:12" x14ac:dyDescent="0.25">
      <c r="A5" t="s">
        <v>26</v>
      </c>
      <c r="B5" s="6">
        <v>46006</v>
      </c>
      <c r="C5" t="s">
        <v>27</v>
      </c>
      <c r="D5" t="s">
        <v>20</v>
      </c>
      <c r="E5" t="s">
        <v>28</v>
      </c>
      <c r="F5" t="s">
        <v>16</v>
      </c>
      <c r="G5" s="7">
        <v>1</v>
      </c>
      <c r="H5" s="8">
        <v>7.63</v>
      </c>
      <c r="I5" s="9">
        <v>10</v>
      </c>
      <c r="J5" s="8">
        <v>6.87</v>
      </c>
      <c r="K5" s="8">
        <v>3.87</v>
      </c>
      <c r="L5" t="s">
        <v>17</v>
      </c>
    </row>
    <row r="6" spans="1:12" x14ac:dyDescent="0.25">
      <c r="A6" t="s">
        <v>29</v>
      </c>
      <c r="B6" s="6">
        <v>45293</v>
      </c>
      <c r="C6" t="s">
        <v>30</v>
      </c>
      <c r="D6" t="s">
        <v>31</v>
      </c>
      <c r="E6" t="s">
        <v>32</v>
      </c>
      <c r="F6" t="s">
        <v>16</v>
      </c>
      <c r="G6" s="7">
        <v>1</v>
      </c>
      <c r="H6" s="8">
        <v>8.67</v>
      </c>
      <c r="I6" s="9">
        <v>0</v>
      </c>
      <c r="J6" s="8">
        <v>8.67</v>
      </c>
      <c r="K6" s="8">
        <v>3.91</v>
      </c>
      <c r="L6" t="s">
        <v>33</v>
      </c>
    </row>
    <row r="7" spans="1:12" x14ac:dyDescent="0.25">
      <c r="A7" t="s">
        <v>34</v>
      </c>
      <c r="B7" s="6">
        <v>45902</v>
      </c>
      <c r="C7" t="s">
        <v>35</v>
      </c>
      <c r="D7" t="s">
        <v>36</v>
      </c>
      <c r="E7" t="s">
        <v>32</v>
      </c>
      <c r="F7" t="s">
        <v>16</v>
      </c>
      <c r="G7" s="7">
        <v>1</v>
      </c>
      <c r="H7" s="8">
        <v>9.5</v>
      </c>
      <c r="I7" s="9">
        <v>0</v>
      </c>
      <c r="J7" s="8">
        <v>9.5</v>
      </c>
      <c r="K7" s="8">
        <v>4.01</v>
      </c>
      <c r="L7" t="s">
        <v>33</v>
      </c>
    </row>
    <row r="8" spans="1:12" x14ac:dyDescent="0.25">
      <c r="A8" t="s">
        <v>37</v>
      </c>
      <c r="B8" s="6">
        <v>45964</v>
      </c>
      <c r="C8" t="s">
        <v>38</v>
      </c>
      <c r="D8" t="s">
        <v>20</v>
      </c>
      <c r="E8" t="s">
        <v>39</v>
      </c>
      <c r="F8" t="s">
        <v>16</v>
      </c>
      <c r="G8" s="7">
        <v>1</v>
      </c>
      <c r="H8" s="8">
        <v>7.53</v>
      </c>
      <c r="I8" s="9">
        <v>10</v>
      </c>
      <c r="J8" s="8">
        <v>6.78</v>
      </c>
      <c r="K8" s="8">
        <v>4.1399999999999997</v>
      </c>
      <c r="L8" t="s">
        <v>33</v>
      </c>
    </row>
    <row r="9" spans="1:12" x14ac:dyDescent="0.25">
      <c r="A9" t="s">
        <v>40</v>
      </c>
      <c r="B9" s="6">
        <v>45765</v>
      </c>
      <c r="C9" t="s">
        <v>41</v>
      </c>
      <c r="D9" t="s">
        <v>14</v>
      </c>
      <c r="E9" t="s">
        <v>21</v>
      </c>
      <c r="F9" t="s">
        <v>16</v>
      </c>
      <c r="G9" s="7">
        <v>1</v>
      </c>
      <c r="H9" s="8">
        <v>12.75</v>
      </c>
      <c r="I9" s="9">
        <v>15</v>
      </c>
      <c r="J9" s="8">
        <v>10.84</v>
      </c>
      <c r="K9" s="8">
        <v>4.5599999999999996</v>
      </c>
      <c r="L9" t="s">
        <v>33</v>
      </c>
    </row>
    <row r="10" spans="1:12" x14ac:dyDescent="0.25">
      <c r="A10" t="s">
        <v>42</v>
      </c>
      <c r="B10" s="6">
        <v>45568</v>
      </c>
      <c r="C10" t="s">
        <v>43</v>
      </c>
      <c r="D10" t="s">
        <v>36</v>
      </c>
      <c r="E10" t="s">
        <v>44</v>
      </c>
      <c r="F10" t="s">
        <v>16</v>
      </c>
      <c r="G10" s="7">
        <v>1</v>
      </c>
      <c r="H10" s="8">
        <v>8.17</v>
      </c>
      <c r="I10" s="9">
        <v>0</v>
      </c>
      <c r="J10" s="8">
        <v>8.17</v>
      </c>
      <c r="K10" s="8">
        <v>4.57</v>
      </c>
      <c r="L10" t="s">
        <v>33</v>
      </c>
    </row>
    <row r="11" spans="1:12" x14ac:dyDescent="0.25">
      <c r="A11" t="s">
        <v>45</v>
      </c>
      <c r="B11" s="6">
        <v>45616</v>
      </c>
      <c r="C11" t="s">
        <v>46</v>
      </c>
      <c r="D11" t="s">
        <v>31</v>
      </c>
      <c r="E11" t="s">
        <v>47</v>
      </c>
      <c r="F11" t="s">
        <v>16</v>
      </c>
      <c r="G11" s="7">
        <v>1</v>
      </c>
      <c r="H11" s="8">
        <v>12.31</v>
      </c>
      <c r="I11" s="9">
        <v>10</v>
      </c>
      <c r="J11" s="8">
        <v>11.08</v>
      </c>
      <c r="K11" s="8">
        <v>4.68</v>
      </c>
      <c r="L11" t="s">
        <v>48</v>
      </c>
    </row>
    <row r="12" spans="1:12" x14ac:dyDescent="0.25">
      <c r="A12" t="s">
        <v>49</v>
      </c>
      <c r="B12" s="6">
        <v>46000</v>
      </c>
      <c r="C12" t="s">
        <v>50</v>
      </c>
      <c r="D12" t="s">
        <v>36</v>
      </c>
      <c r="E12" t="s">
        <v>47</v>
      </c>
      <c r="F12" t="s">
        <v>16</v>
      </c>
      <c r="G12" s="7">
        <v>1</v>
      </c>
      <c r="H12" s="8">
        <v>10.56</v>
      </c>
      <c r="I12" s="9">
        <v>10</v>
      </c>
      <c r="J12" s="8">
        <v>9.5</v>
      </c>
      <c r="K12" s="8">
        <v>4.8499999999999996</v>
      </c>
      <c r="L12" t="s">
        <v>33</v>
      </c>
    </row>
    <row r="13" spans="1:12" x14ac:dyDescent="0.25">
      <c r="A13" t="s">
        <v>51</v>
      </c>
      <c r="B13" s="6">
        <v>45943</v>
      </c>
      <c r="C13" t="s">
        <v>52</v>
      </c>
      <c r="D13" t="s">
        <v>14</v>
      </c>
      <c r="E13" t="s">
        <v>53</v>
      </c>
      <c r="F13" t="s">
        <v>16</v>
      </c>
      <c r="G13" s="7">
        <v>1</v>
      </c>
      <c r="H13" s="8">
        <v>9.92</v>
      </c>
      <c r="I13" s="9">
        <v>0</v>
      </c>
      <c r="J13" s="8">
        <v>9.92</v>
      </c>
      <c r="K13" s="8">
        <v>5.35</v>
      </c>
      <c r="L13" t="s">
        <v>17</v>
      </c>
    </row>
    <row r="14" spans="1:12" x14ac:dyDescent="0.25">
      <c r="A14" t="s">
        <v>54</v>
      </c>
      <c r="B14" s="6">
        <v>45340</v>
      </c>
      <c r="C14" t="s">
        <v>55</v>
      </c>
      <c r="D14" t="s">
        <v>36</v>
      </c>
      <c r="E14" t="s">
        <v>32</v>
      </c>
      <c r="F14" t="s">
        <v>16</v>
      </c>
      <c r="G14" s="7">
        <v>1</v>
      </c>
      <c r="H14" s="8">
        <v>15.62</v>
      </c>
      <c r="I14" s="9">
        <v>10</v>
      </c>
      <c r="J14" s="8">
        <v>14.06</v>
      </c>
      <c r="K14" s="8">
        <v>5.88</v>
      </c>
      <c r="L14" t="s">
        <v>17</v>
      </c>
    </row>
    <row r="15" spans="1:12" x14ac:dyDescent="0.25">
      <c r="A15" t="s">
        <v>56</v>
      </c>
      <c r="B15" s="6">
        <v>45705</v>
      </c>
      <c r="C15" t="s">
        <v>57</v>
      </c>
      <c r="D15" t="s">
        <v>14</v>
      </c>
      <c r="E15" t="s">
        <v>15</v>
      </c>
      <c r="F15" t="s">
        <v>16</v>
      </c>
      <c r="G15" s="7">
        <v>1</v>
      </c>
      <c r="H15" s="8">
        <v>12.42</v>
      </c>
      <c r="I15" s="9">
        <v>0</v>
      </c>
      <c r="J15" s="8">
        <v>12.42</v>
      </c>
      <c r="K15" s="8">
        <v>6.04</v>
      </c>
      <c r="L15" t="s">
        <v>33</v>
      </c>
    </row>
    <row r="16" spans="1:12" x14ac:dyDescent="0.25">
      <c r="A16" t="s">
        <v>58</v>
      </c>
      <c r="B16" s="6">
        <v>45945</v>
      </c>
      <c r="C16" t="s">
        <v>59</v>
      </c>
      <c r="D16" t="s">
        <v>20</v>
      </c>
      <c r="E16" t="s">
        <v>53</v>
      </c>
      <c r="F16" t="s">
        <v>16</v>
      </c>
      <c r="G16" s="7">
        <v>2</v>
      </c>
      <c r="H16" s="8">
        <v>8.81</v>
      </c>
      <c r="I16" s="9">
        <v>10</v>
      </c>
      <c r="J16" s="8">
        <v>15.86</v>
      </c>
      <c r="K16" s="8">
        <v>6.42</v>
      </c>
      <c r="L16" t="s">
        <v>17</v>
      </c>
    </row>
    <row r="17" spans="1:12" x14ac:dyDescent="0.25">
      <c r="A17" t="s">
        <v>60</v>
      </c>
      <c r="B17" s="6">
        <v>45457</v>
      </c>
      <c r="C17" t="s">
        <v>61</v>
      </c>
      <c r="D17" t="s">
        <v>24</v>
      </c>
      <c r="E17" t="s">
        <v>21</v>
      </c>
      <c r="F17" t="s">
        <v>16</v>
      </c>
      <c r="G17" s="7">
        <v>1</v>
      </c>
      <c r="H17" s="8">
        <v>12.42</v>
      </c>
      <c r="I17" s="9">
        <v>5</v>
      </c>
      <c r="J17" s="8">
        <v>11.8</v>
      </c>
      <c r="K17" s="8">
        <v>6.64</v>
      </c>
      <c r="L17" t="s">
        <v>48</v>
      </c>
    </row>
    <row r="18" spans="1:12" x14ac:dyDescent="0.25">
      <c r="A18" t="s">
        <v>62</v>
      </c>
      <c r="B18" s="6">
        <v>45987</v>
      </c>
      <c r="C18" t="s">
        <v>63</v>
      </c>
      <c r="D18" t="s">
        <v>36</v>
      </c>
      <c r="E18" t="s">
        <v>21</v>
      </c>
      <c r="F18" t="s">
        <v>16</v>
      </c>
      <c r="G18" s="7">
        <v>1</v>
      </c>
      <c r="H18" s="8">
        <v>15.92</v>
      </c>
      <c r="I18" s="9">
        <v>10</v>
      </c>
      <c r="J18" s="8">
        <v>14.33</v>
      </c>
      <c r="K18" s="8">
        <v>6.96</v>
      </c>
      <c r="L18" t="s">
        <v>33</v>
      </c>
    </row>
    <row r="19" spans="1:12" x14ac:dyDescent="0.25">
      <c r="A19" t="s">
        <v>64</v>
      </c>
      <c r="B19" s="6">
        <v>45962</v>
      </c>
      <c r="C19" t="s">
        <v>65</v>
      </c>
      <c r="D19" t="s">
        <v>24</v>
      </c>
      <c r="E19" t="s">
        <v>15</v>
      </c>
      <c r="F19" t="s">
        <v>16</v>
      </c>
      <c r="G19" s="7">
        <v>1</v>
      </c>
      <c r="H19" s="8">
        <v>14.05</v>
      </c>
      <c r="I19" s="9">
        <v>10</v>
      </c>
      <c r="J19" s="8">
        <v>12.65</v>
      </c>
      <c r="K19" s="8">
        <v>7.09</v>
      </c>
      <c r="L19" t="s">
        <v>33</v>
      </c>
    </row>
    <row r="20" spans="1:12" x14ac:dyDescent="0.25">
      <c r="A20" t="s">
        <v>66</v>
      </c>
      <c r="B20" s="6">
        <v>45892</v>
      </c>
      <c r="C20" t="s">
        <v>67</v>
      </c>
      <c r="D20" t="s">
        <v>20</v>
      </c>
      <c r="E20" t="s">
        <v>68</v>
      </c>
      <c r="F20" t="s">
        <v>16</v>
      </c>
      <c r="G20" s="7">
        <v>2</v>
      </c>
      <c r="H20" s="8">
        <v>8.18</v>
      </c>
      <c r="I20" s="9">
        <v>10</v>
      </c>
      <c r="J20" s="8">
        <v>14.72</v>
      </c>
      <c r="K20" s="8">
        <v>7.34</v>
      </c>
      <c r="L20" t="s">
        <v>33</v>
      </c>
    </row>
    <row r="21" spans="1:12" x14ac:dyDescent="0.25">
      <c r="A21" t="s">
        <v>69</v>
      </c>
      <c r="B21" s="6">
        <v>45390</v>
      </c>
      <c r="C21" t="s">
        <v>70</v>
      </c>
      <c r="D21" t="s">
        <v>31</v>
      </c>
      <c r="E21" t="s">
        <v>28</v>
      </c>
      <c r="F21" t="s">
        <v>16</v>
      </c>
      <c r="G21" s="7">
        <v>1</v>
      </c>
      <c r="H21" s="8">
        <v>18.39</v>
      </c>
      <c r="I21" s="9">
        <v>10</v>
      </c>
      <c r="J21" s="8">
        <v>16.55</v>
      </c>
      <c r="K21" s="8">
        <v>7.93</v>
      </c>
      <c r="L21" t="s">
        <v>17</v>
      </c>
    </row>
    <row r="22" spans="1:12" x14ac:dyDescent="0.25">
      <c r="A22" t="s">
        <v>71</v>
      </c>
      <c r="B22" s="6">
        <v>45966</v>
      </c>
      <c r="C22" t="s">
        <v>72</v>
      </c>
      <c r="D22" t="s">
        <v>31</v>
      </c>
      <c r="E22" t="s">
        <v>32</v>
      </c>
      <c r="F22" t="s">
        <v>16</v>
      </c>
      <c r="G22" s="7">
        <v>1</v>
      </c>
      <c r="H22" s="8">
        <v>13.06</v>
      </c>
      <c r="I22" s="9">
        <v>0</v>
      </c>
      <c r="J22" s="8">
        <v>13.06</v>
      </c>
      <c r="K22" s="8">
        <v>7.96</v>
      </c>
      <c r="L22" t="s">
        <v>33</v>
      </c>
    </row>
    <row r="23" spans="1:12" x14ac:dyDescent="0.25">
      <c r="A23" t="s">
        <v>73</v>
      </c>
      <c r="B23" s="6">
        <v>45756</v>
      </c>
      <c r="C23" t="s">
        <v>74</v>
      </c>
      <c r="D23" t="s">
        <v>20</v>
      </c>
      <c r="E23" t="s">
        <v>39</v>
      </c>
      <c r="F23" t="s">
        <v>16</v>
      </c>
      <c r="G23" s="7">
        <v>1</v>
      </c>
      <c r="H23" s="8">
        <v>24.05</v>
      </c>
      <c r="I23" s="9">
        <v>20</v>
      </c>
      <c r="J23" s="8">
        <v>19.239999999999998</v>
      </c>
      <c r="K23" s="8">
        <v>8.02</v>
      </c>
      <c r="L23" t="s">
        <v>17</v>
      </c>
    </row>
    <row r="24" spans="1:12" x14ac:dyDescent="0.25">
      <c r="A24" t="s">
        <v>75</v>
      </c>
      <c r="B24" s="6">
        <v>45777</v>
      </c>
      <c r="C24" t="s">
        <v>76</v>
      </c>
      <c r="D24" t="s">
        <v>36</v>
      </c>
      <c r="E24" t="s">
        <v>21</v>
      </c>
      <c r="F24" t="s">
        <v>16</v>
      </c>
      <c r="G24" s="7">
        <v>1</v>
      </c>
      <c r="H24" s="8">
        <v>14.47</v>
      </c>
      <c r="I24" s="9">
        <v>5</v>
      </c>
      <c r="J24" s="8">
        <v>13.75</v>
      </c>
      <c r="K24" s="8">
        <v>8.06</v>
      </c>
      <c r="L24" t="s">
        <v>17</v>
      </c>
    </row>
    <row r="25" spans="1:12" x14ac:dyDescent="0.25">
      <c r="A25" t="s">
        <v>77</v>
      </c>
      <c r="B25" s="6">
        <v>45534</v>
      </c>
      <c r="C25" t="s">
        <v>78</v>
      </c>
      <c r="D25" t="s">
        <v>36</v>
      </c>
      <c r="E25" t="s">
        <v>53</v>
      </c>
      <c r="F25" t="s">
        <v>16</v>
      </c>
      <c r="G25" s="7">
        <v>2</v>
      </c>
      <c r="H25" s="8">
        <v>7.73</v>
      </c>
      <c r="I25" s="9">
        <v>15</v>
      </c>
      <c r="J25" s="8">
        <v>13.14</v>
      </c>
      <c r="K25" s="8">
        <v>8.08</v>
      </c>
      <c r="L25" t="s">
        <v>17</v>
      </c>
    </row>
    <row r="26" spans="1:12" x14ac:dyDescent="0.25">
      <c r="A26" t="s">
        <v>79</v>
      </c>
      <c r="B26" s="6">
        <v>45969</v>
      </c>
      <c r="C26" t="s">
        <v>80</v>
      </c>
      <c r="D26" t="s">
        <v>24</v>
      </c>
      <c r="E26" t="s">
        <v>28</v>
      </c>
      <c r="F26" t="s">
        <v>16</v>
      </c>
      <c r="G26" s="7">
        <v>2</v>
      </c>
      <c r="H26" s="8">
        <v>8.43</v>
      </c>
      <c r="I26" s="9">
        <v>20</v>
      </c>
      <c r="J26" s="8">
        <v>13.49</v>
      </c>
      <c r="K26" s="8">
        <v>8.34</v>
      </c>
      <c r="L26" t="s">
        <v>48</v>
      </c>
    </row>
    <row r="27" spans="1:12" x14ac:dyDescent="0.25">
      <c r="A27" t="s">
        <v>81</v>
      </c>
      <c r="B27" s="6">
        <v>45787</v>
      </c>
      <c r="C27" t="s">
        <v>82</v>
      </c>
      <c r="D27" t="s">
        <v>31</v>
      </c>
      <c r="E27" t="s">
        <v>39</v>
      </c>
      <c r="F27" t="s">
        <v>16</v>
      </c>
      <c r="G27" s="7">
        <v>1</v>
      </c>
      <c r="H27" s="8">
        <v>22.58</v>
      </c>
      <c r="I27" s="9">
        <v>10</v>
      </c>
      <c r="J27" s="8">
        <v>20.32</v>
      </c>
      <c r="K27" s="8">
        <v>8.6999999999999993</v>
      </c>
      <c r="L27" t="s">
        <v>17</v>
      </c>
    </row>
    <row r="28" spans="1:12" x14ac:dyDescent="0.25">
      <c r="A28" t="s">
        <v>83</v>
      </c>
      <c r="B28" s="6">
        <v>45808</v>
      </c>
      <c r="C28" t="s">
        <v>84</v>
      </c>
      <c r="D28" t="s">
        <v>20</v>
      </c>
      <c r="E28" t="s">
        <v>53</v>
      </c>
      <c r="F28" t="s">
        <v>16</v>
      </c>
      <c r="G28" s="7">
        <v>2</v>
      </c>
      <c r="H28" s="8">
        <v>12.96</v>
      </c>
      <c r="I28" s="9">
        <v>20</v>
      </c>
      <c r="J28" s="8">
        <v>20.74</v>
      </c>
      <c r="K28" s="8">
        <v>8.7200000000000006</v>
      </c>
      <c r="L28" t="s">
        <v>33</v>
      </c>
    </row>
    <row r="29" spans="1:12" x14ac:dyDescent="0.25">
      <c r="A29" t="s">
        <v>85</v>
      </c>
      <c r="B29" s="6">
        <v>45972</v>
      </c>
      <c r="C29" t="s">
        <v>86</v>
      </c>
      <c r="D29" t="s">
        <v>24</v>
      </c>
      <c r="E29" t="s">
        <v>39</v>
      </c>
      <c r="F29" t="s">
        <v>16</v>
      </c>
      <c r="G29" s="7">
        <v>1</v>
      </c>
      <c r="H29" s="8">
        <v>19.78</v>
      </c>
      <c r="I29" s="9">
        <v>5</v>
      </c>
      <c r="J29" s="8">
        <v>18.79</v>
      </c>
      <c r="K29" s="8">
        <v>9.02</v>
      </c>
      <c r="L29" t="s">
        <v>33</v>
      </c>
    </row>
    <row r="30" spans="1:12" x14ac:dyDescent="0.25">
      <c r="A30" t="s">
        <v>87</v>
      </c>
      <c r="B30" s="6">
        <v>45409</v>
      </c>
      <c r="C30" t="s">
        <v>88</v>
      </c>
      <c r="D30" t="s">
        <v>31</v>
      </c>
      <c r="E30" t="s">
        <v>39</v>
      </c>
      <c r="F30" t="s">
        <v>16</v>
      </c>
      <c r="G30" s="7">
        <v>1</v>
      </c>
      <c r="H30" s="8">
        <v>26.51</v>
      </c>
      <c r="I30" s="9">
        <v>15</v>
      </c>
      <c r="J30" s="8">
        <v>22.53</v>
      </c>
      <c r="K30" s="8">
        <v>9.73</v>
      </c>
      <c r="L30" t="s">
        <v>17</v>
      </c>
    </row>
    <row r="31" spans="1:12" x14ac:dyDescent="0.25">
      <c r="A31" t="s">
        <v>89</v>
      </c>
      <c r="B31" s="6">
        <v>45733</v>
      </c>
      <c r="C31" t="s">
        <v>90</v>
      </c>
      <c r="D31" t="s">
        <v>20</v>
      </c>
      <c r="E31" t="s">
        <v>44</v>
      </c>
      <c r="F31" t="s">
        <v>16</v>
      </c>
      <c r="G31" s="7">
        <v>1</v>
      </c>
      <c r="H31" s="8">
        <v>18.100000000000001</v>
      </c>
      <c r="I31" s="9">
        <v>10</v>
      </c>
      <c r="J31" s="8">
        <v>16.29</v>
      </c>
      <c r="K31" s="8">
        <v>10.050000000000001</v>
      </c>
      <c r="L31" t="s">
        <v>33</v>
      </c>
    </row>
    <row r="32" spans="1:12" x14ac:dyDescent="0.25">
      <c r="A32" t="s">
        <v>91</v>
      </c>
      <c r="B32" s="6">
        <v>46020</v>
      </c>
      <c r="C32" t="s">
        <v>92</v>
      </c>
      <c r="D32" t="s">
        <v>20</v>
      </c>
      <c r="E32" t="s">
        <v>25</v>
      </c>
      <c r="F32" t="s">
        <v>16</v>
      </c>
      <c r="G32" s="7">
        <v>1</v>
      </c>
      <c r="H32" s="8">
        <v>29.91</v>
      </c>
      <c r="I32" s="9">
        <v>15</v>
      </c>
      <c r="J32" s="8">
        <v>25.42</v>
      </c>
      <c r="K32" s="8">
        <v>10.19</v>
      </c>
      <c r="L32" t="s">
        <v>17</v>
      </c>
    </row>
    <row r="33" spans="1:12" x14ac:dyDescent="0.25">
      <c r="A33" t="s">
        <v>93</v>
      </c>
      <c r="B33" s="6">
        <v>45776</v>
      </c>
      <c r="C33" t="s">
        <v>94</v>
      </c>
      <c r="D33" t="s">
        <v>31</v>
      </c>
      <c r="E33" t="s">
        <v>21</v>
      </c>
      <c r="F33" t="s">
        <v>16</v>
      </c>
      <c r="G33" s="7">
        <v>2</v>
      </c>
      <c r="H33" s="8">
        <v>8.23</v>
      </c>
      <c r="I33" s="9">
        <v>0</v>
      </c>
      <c r="J33" s="8">
        <v>16.46</v>
      </c>
      <c r="K33" s="8">
        <v>10.220000000000001</v>
      </c>
      <c r="L33" t="s">
        <v>17</v>
      </c>
    </row>
    <row r="34" spans="1:12" x14ac:dyDescent="0.25">
      <c r="A34" t="s">
        <v>95</v>
      </c>
      <c r="B34" s="6">
        <v>45852</v>
      </c>
      <c r="C34" t="s">
        <v>96</v>
      </c>
      <c r="D34" t="s">
        <v>36</v>
      </c>
      <c r="E34" t="s">
        <v>28</v>
      </c>
      <c r="F34" t="s">
        <v>16</v>
      </c>
      <c r="G34" s="7">
        <v>1</v>
      </c>
      <c r="H34" s="8">
        <v>19.46</v>
      </c>
      <c r="I34" s="9">
        <v>0</v>
      </c>
      <c r="J34" s="8">
        <v>19.46</v>
      </c>
      <c r="K34" s="8">
        <v>10.3</v>
      </c>
      <c r="L34" t="s">
        <v>33</v>
      </c>
    </row>
    <row r="35" spans="1:12" x14ac:dyDescent="0.25">
      <c r="A35" t="s">
        <v>97</v>
      </c>
      <c r="B35" s="6">
        <v>45696</v>
      </c>
      <c r="C35" t="s">
        <v>98</v>
      </c>
      <c r="D35" t="s">
        <v>36</v>
      </c>
      <c r="E35" t="s">
        <v>28</v>
      </c>
      <c r="F35" t="s">
        <v>16</v>
      </c>
      <c r="G35" s="7">
        <v>2</v>
      </c>
      <c r="H35" s="8">
        <v>9</v>
      </c>
      <c r="I35" s="9">
        <v>0</v>
      </c>
      <c r="J35" s="8">
        <v>18</v>
      </c>
      <c r="K35" s="8">
        <v>10.61</v>
      </c>
      <c r="L35" t="s">
        <v>33</v>
      </c>
    </row>
    <row r="36" spans="1:12" x14ac:dyDescent="0.25">
      <c r="A36" t="s">
        <v>99</v>
      </c>
      <c r="B36" s="6">
        <v>45361</v>
      </c>
      <c r="C36" t="s">
        <v>100</v>
      </c>
      <c r="D36" t="s">
        <v>20</v>
      </c>
      <c r="E36" t="s">
        <v>28</v>
      </c>
      <c r="F36" t="s">
        <v>16</v>
      </c>
      <c r="G36" s="7">
        <v>1</v>
      </c>
      <c r="H36" s="8">
        <v>25.17</v>
      </c>
      <c r="I36" s="9">
        <v>15</v>
      </c>
      <c r="J36" s="8">
        <v>21.39</v>
      </c>
      <c r="K36" s="8">
        <v>10.61</v>
      </c>
      <c r="L36" t="s">
        <v>33</v>
      </c>
    </row>
    <row r="37" spans="1:12" x14ac:dyDescent="0.25">
      <c r="A37" t="s">
        <v>101</v>
      </c>
      <c r="B37" s="6">
        <v>45896</v>
      </c>
      <c r="C37" t="s">
        <v>102</v>
      </c>
      <c r="D37" t="s">
        <v>20</v>
      </c>
      <c r="E37" t="s">
        <v>53</v>
      </c>
      <c r="F37" t="s">
        <v>16</v>
      </c>
      <c r="G37" s="7">
        <v>2</v>
      </c>
      <c r="H37" s="8">
        <v>11.41</v>
      </c>
      <c r="I37" s="9">
        <v>20</v>
      </c>
      <c r="J37" s="8">
        <v>18.260000000000002</v>
      </c>
      <c r="K37" s="8">
        <v>10.65</v>
      </c>
      <c r="L37" t="s">
        <v>17</v>
      </c>
    </row>
    <row r="38" spans="1:12" x14ac:dyDescent="0.25">
      <c r="A38" t="s">
        <v>103</v>
      </c>
      <c r="B38" s="6">
        <v>45904</v>
      </c>
      <c r="C38" t="s">
        <v>104</v>
      </c>
      <c r="D38" t="s">
        <v>20</v>
      </c>
      <c r="E38" t="s">
        <v>32</v>
      </c>
      <c r="F38" t="s">
        <v>16</v>
      </c>
      <c r="G38" s="7">
        <v>1</v>
      </c>
      <c r="H38" s="8">
        <v>19.16</v>
      </c>
      <c r="I38" s="9">
        <v>10</v>
      </c>
      <c r="J38" s="8">
        <v>17.239999999999998</v>
      </c>
      <c r="K38" s="8">
        <v>11.2</v>
      </c>
      <c r="L38" t="s">
        <v>33</v>
      </c>
    </row>
    <row r="39" spans="1:12" x14ac:dyDescent="0.25">
      <c r="A39" t="s">
        <v>105</v>
      </c>
      <c r="B39" s="6">
        <v>45804</v>
      </c>
      <c r="C39" t="s">
        <v>106</v>
      </c>
      <c r="D39" t="s">
        <v>31</v>
      </c>
      <c r="E39" t="s">
        <v>44</v>
      </c>
      <c r="F39" t="s">
        <v>16</v>
      </c>
      <c r="G39" s="7">
        <v>1</v>
      </c>
      <c r="H39" s="8">
        <v>29.06</v>
      </c>
      <c r="I39" s="9">
        <v>5</v>
      </c>
      <c r="J39" s="8">
        <v>27.61</v>
      </c>
      <c r="K39" s="8">
        <v>11.2</v>
      </c>
      <c r="L39" t="s">
        <v>33</v>
      </c>
    </row>
    <row r="40" spans="1:12" x14ac:dyDescent="0.25">
      <c r="A40" t="s">
        <v>107</v>
      </c>
      <c r="B40" s="6">
        <v>45953</v>
      </c>
      <c r="C40" t="s">
        <v>108</v>
      </c>
      <c r="D40" t="s">
        <v>20</v>
      </c>
      <c r="E40" t="s">
        <v>21</v>
      </c>
      <c r="F40" t="s">
        <v>16</v>
      </c>
      <c r="G40" s="7">
        <v>1</v>
      </c>
      <c r="H40" s="8">
        <v>19.62</v>
      </c>
      <c r="I40" s="9">
        <v>10</v>
      </c>
      <c r="J40" s="8">
        <v>17.66</v>
      </c>
      <c r="K40" s="8">
        <v>11.24</v>
      </c>
      <c r="L40" t="s">
        <v>33</v>
      </c>
    </row>
    <row r="41" spans="1:12" x14ac:dyDescent="0.25">
      <c r="A41" t="s">
        <v>109</v>
      </c>
      <c r="B41" s="6">
        <v>45320</v>
      </c>
      <c r="C41" t="s">
        <v>110</v>
      </c>
      <c r="D41" t="s">
        <v>24</v>
      </c>
      <c r="E41" t="s">
        <v>25</v>
      </c>
      <c r="F41" t="s">
        <v>16</v>
      </c>
      <c r="G41" s="7">
        <v>1</v>
      </c>
      <c r="H41" s="8">
        <v>26.28</v>
      </c>
      <c r="I41" s="9">
        <v>0</v>
      </c>
      <c r="J41" s="8">
        <v>26.28</v>
      </c>
      <c r="K41" s="8">
        <v>12.17</v>
      </c>
      <c r="L41" t="s">
        <v>17</v>
      </c>
    </row>
    <row r="42" spans="1:12" x14ac:dyDescent="0.25">
      <c r="A42" t="s">
        <v>111</v>
      </c>
      <c r="B42" s="6">
        <v>45327</v>
      </c>
      <c r="C42" t="s">
        <v>112</v>
      </c>
      <c r="D42" t="s">
        <v>36</v>
      </c>
      <c r="E42" t="s">
        <v>21</v>
      </c>
      <c r="F42" t="s">
        <v>16</v>
      </c>
      <c r="G42" s="7">
        <v>1</v>
      </c>
      <c r="H42" s="8">
        <v>36</v>
      </c>
      <c r="I42" s="9">
        <v>15</v>
      </c>
      <c r="J42" s="8">
        <v>30.6</v>
      </c>
      <c r="K42" s="8">
        <v>12.33</v>
      </c>
      <c r="L42" t="s">
        <v>33</v>
      </c>
    </row>
    <row r="43" spans="1:12" x14ac:dyDescent="0.25">
      <c r="A43" t="s">
        <v>113</v>
      </c>
      <c r="B43" s="6">
        <v>45930</v>
      </c>
      <c r="C43" t="s">
        <v>114</v>
      </c>
      <c r="D43" t="s">
        <v>20</v>
      </c>
      <c r="E43" t="s">
        <v>25</v>
      </c>
      <c r="F43" t="s">
        <v>16</v>
      </c>
      <c r="G43" s="7">
        <v>3</v>
      </c>
      <c r="H43" s="8">
        <v>10.01</v>
      </c>
      <c r="I43" s="9">
        <v>0</v>
      </c>
      <c r="J43" s="8">
        <v>30.03</v>
      </c>
      <c r="K43" s="8">
        <v>12.46</v>
      </c>
      <c r="L43" t="s">
        <v>33</v>
      </c>
    </row>
    <row r="44" spans="1:12" x14ac:dyDescent="0.25">
      <c r="A44" t="s">
        <v>115</v>
      </c>
      <c r="B44" s="6">
        <v>45410</v>
      </c>
      <c r="C44" t="s">
        <v>116</v>
      </c>
      <c r="D44" t="s">
        <v>24</v>
      </c>
      <c r="E44" t="s">
        <v>47</v>
      </c>
      <c r="F44" t="s">
        <v>16</v>
      </c>
      <c r="G44" s="7">
        <v>1</v>
      </c>
      <c r="H44" s="8">
        <v>24.73</v>
      </c>
      <c r="I44" s="9">
        <v>15</v>
      </c>
      <c r="J44" s="8">
        <v>21.02</v>
      </c>
      <c r="K44" s="8">
        <v>12.63</v>
      </c>
      <c r="L44" t="s">
        <v>17</v>
      </c>
    </row>
    <row r="45" spans="1:12" x14ac:dyDescent="0.25">
      <c r="A45" t="s">
        <v>117</v>
      </c>
      <c r="B45" s="6">
        <v>45791</v>
      </c>
      <c r="C45" t="s">
        <v>118</v>
      </c>
      <c r="D45" t="s">
        <v>36</v>
      </c>
      <c r="E45" t="s">
        <v>15</v>
      </c>
      <c r="F45" t="s">
        <v>16</v>
      </c>
      <c r="G45" s="7">
        <v>1</v>
      </c>
      <c r="H45" s="8">
        <v>30.47</v>
      </c>
      <c r="I45" s="9">
        <v>10</v>
      </c>
      <c r="J45" s="8">
        <v>27.42</v>
      </c>
      <c r="K45" s="8">
        <v>12.65</v>
      </c>
      <c r="L45" t="s">
        <v>17</v>
      </c>
    </row>
    <row r="46" spans="1:12" x14ac:dyDescent="0.25">
      <c r="A46" t="s">
        <v>119</v>
      </c>
      <c r="B46" s="6">
        <v>45996</v>
      </c>
      <c r="C46" t="s">
        <v>120</v>
      </c>
      <c r="D46" t="s">
        <v>20</v>
      </c>
      <c r="E46" t="s">
        <v>15</v>
      </c>
      <c r="F46" t="s">
        <v>16</v>
      </c>
      <c r="G46" s="7">
        <v>1</v>
      </c>
      <c r="H46" s="8">
        <v>29.24</v>
      </c>
      <c r="I46" s="9">
        <v>5</v>
      </c>
      <c r="J46" s="8">
        <v>27.78</v>
      </c>
      <c r="K46" s="8">
        <v>12.67</v>
      </c>
      <c r="L46" t="s">
        <v>17</v>
      </c>
    </row>
    <row r="47" spans="1:12" x14ac:dyDescent="0.25">
      <c r="A47" t="s">
        <v>121</v>
      </c>
      <c r="B47" s="6">
        <v>45416</v>
      </c>
      <c r="C47" t="s">
        <v>122</v>
      </c>
      <c r="D47" t="s">
        <v>31</v>
      </c>
      <c r="E47" t="s">
        <v>47</v>
      </c>
      <c r="F47" t="s">
        <v>16</v>
      </c>
      <c r="G47" s="7">
        <v>1</v>
      </c>
      <c r="H47" s="8">
        <v>25.92</v>
      </c>
      <c r="I47" s="9">
        <v>10</v>
      </c>
      <c r="J47" s="8">
        <v>23.33</v>
      </c>
      <c r="K47" s="8">
        <v>12.7</v>
      </c>
      <c r="L47" t="s">
        <v>33</v>
      </c>
    </row>
    <row r="48" spans="1:12" x14ac:dyDescent="0.25">
      <c r="A48" t="s">
        <v>123</v>
      </c>
      <c r="B48" s="6">
        <v>45859</v>
      </c>
      <c r="C48" t="s">
        <v>124</v>
      </c>
      <c r="D48" t="s">
        <v>36</v>
      </c>
      <c r="E48" t="s">
        <v>68</v>
      </c>
      <c r="F48" t="s">
        <v>16</v>
      </c>
      <c r="G48" s="7">
        <v>1</v>
      </c>
      <c r="H48" s="8">
        <v>22.95</v>
      </c>
      <c r="I48" s="9">
        <v>0</v>
      </c>
      <c r="J48" s="8">
        <v>22.95</v>
      </c>
      <c r="K48" s="8">
        <v>12.81</v>
      </c>
      <c r="L48" t="s">
        <v>33</v>
      </c>
    </row>
    <row r="49" spans="1:12" x14ac:dyDescent="0.25">
      <c r="A49" t="s">
        <v>125</v>
      </c>
      <c r="B49" s="6">
        <v>45299</v>
      </c>
      <c r="C49" t="s">
        <v>126</v>
      </c>
      <c r="D49" t="s">
        <v>14</v>
      </c>
      <c r="E49" t="s">
        <v>32</v>
      </c>
      <c r="F49" t="s">
        <v>16</v>
      </c>
      <c r="G49" s="7">
        <v>1</v>
      </c>
      <c r="H49" s="8">
        <v>22.47</v>
      </c>
      <c r="I49" s="9">
        <v>5</v>
      </c>
      <c r="J49" s="8">
        <v>21.35</v>
      </c>
      <c r="K49" s="8">
        <v>12.98</v>
      </c>
      <c r="L49" t="s">
        <v>33</v>
      </c>
    </row>
    <row r="50" spans="1:12" x14ac:dyDescent="0.25">
      <c r="A50" t="s">
        <v>127</v>
      </c>
      <c r="B50" s="6">
        <v>45411</v>
      </c>
      <c r="C50" t="s">
        <v>128</v>
      </c>
      <c r="D50" t="s">
        <v>36</v>
      </c>
      <c r="E50" t="s">
        <v>53</v>
      </c>
      <c r="F50" t="s">
        <v>16</v>
      </c>
      <c r="G50" s="7">
        <v>2</v>
      </c>
      <c r="H50" s="8">
        <v>16.260000000000002</v>
      </c>
      <c r="I50" s="9">
        <v>0</v>
      </c>
      <c r="J50" s="8">
        <v>32.520000000000003</v>
      </c>
      <c r="K50" s="8">
        <v>13.67</v>
      </c>
      <c r="L50" t="s">
        <v>33</v>
      </c>
    </row>
    <row r="51" spans="1:12" x14ac:dyDescent="0.25">
      <c r="A51" t="s">
        <v>129</v>
      </c>
      <c r="B51" s="6">
        <v>45630</v>
      </c>
      <c r="C51" t="s">
        <v>130</v>
      </c>
      <c r="D51" t="s">
        <v>20</v>
      </c>
      <c r="E51" t="s">
        <v>47</v>
      </c>
      <c r="F51" t="s">
        <v>16</v>
      </c>
      <c r="G51" s="7">
        <v>1</v>
      </c>
      <c r="H51" s="8">
        <v>21.55</v>
      </c>
      <c r="I51" s="9">
        <v>0</v>
      </c>
      <c r="J51" s="8">
        <v>21.55</v>
      </c>
      <c r="K51" s="8">
        <v>13.71</v>
      </c>
      <c r="L51" t="s">
        <v>17</v>
      </c>
    </row>
    <row r="52" spans="1:12" x14ac:dyDescent="0.25">
      <c r="A52" t="s">
        <v>131</v>
      </c>
      <c r="B52" s="6">
        <v>45683</v>
      </c>
      <c r="C52" t="s">
        <v>132</v>
      </c>
      <c r="D52" t="s">
        <v>24</v>
      </c>
      <c r="E52" t="s">
        <v>25</v>
      </c>
      <c r="F52" t="s">
        <v>16</v>
      </c>
      <c r="G52" s="7">
        <v>2</v>
      </c>
      <c r="H52" s="8">
        <v>16.14</v>
      </c>
      <c r="I52" s="9">
        <v>0</v>
      </c>
      <c r="J52" s="8">
        <v>32.28</v>
      </c>
      <c r="K52" s="8">
        <v>13.98</v>
      </c>
      <c r="L52" t="s">
        <v>33</v>
      </c>
    </row>
    <row r="53" spans="1:12" x14ac:dyDescent="0.25">
      <c r="A53" t="s">
        <v>133</v>
      </c>
      <c r="B53" s="6">
        <v>45920</v>
      </c>
      <c r="C53" t="s">
        <v>134</v>
      </c>
      <c r="D53" t="s">
        <v>20</v>
      </c>
      <c r="E53" t="s">
        <v>21</v>
      </c>
      <c r="F53" t="s">
        <v>16</v>
      </c>
      <c r="G53" s="7">
        <v>1</v>
      </c>
      <c r="H53" s="8">
        <v>26.36</v>
      </c>
      <c r="I53" s="9">
        <v>5</v>
      </c>
      <c r="J53" s="8">
        <v>25.04</v>
      </c>
      <c r="K53" s="8">
        <v>14.27</v>
      </c>
      <c r="L53" t="s">
        <v>17</v>
      </c>
    </row>
    <row r="54" spans="1:12" x14ac:dyDescent="0.25">
      <c r="A54" t="s">
        <v>135</v>
      </c>
      <c r="B54" s="6">
        <v>45320</v>
      </c>
      <c r="C54" t="s">
        <v>136</v>
      </c>
      <c r="D54" t="s">
        <v>14</v>
      </c>
      <c r="E54" t="s">
        <v>15</v>
      </c>
      <c r="F54" t="s">
        <v>16</v>
      </c>
      <c r="G54" s="7">
        <v>1</v>
      </c>
      <c r="H54" s="8">
        <v>31.59</v>
      </c>
      <c r="I54" s="9">
        <v>15</v>
      </c>
      <c r="J54" s="8">
        <v>26.85</v>
      </c>
      <c r="K54" s="8">
        <v>14.3</v>
      </c>
      <c r="L54" t="s">
        <v>33</v>
      </c>
    </row>
    <row r="55" spans="1:12" x14ac:dyDescent="0.25">
      <c r="A55" t="s">
        <v>137</v>
      </c>
      <c r="B55" s="6">
        <v>45541</v>
      </c>
      <c r="C55" t="s">
        <v>138</v>
      </c>
      <c r="D55" t="s">
        <v>31</v>
      </c>
      <c r="E55" t="s">
        <v>53</v>
      </c>
      <c r="F55" t="s">
        <v>16</v>
      </c>
      <c r="G55" s="7">
        <v>1</v>
      </c>
      <c r="H55" s="8">
        <v>30.3</v>
      </c>
      <c r="I55" s="9">
        <v>15</v>
      </c>
      <c r="J55" s="8">
        <v>25.76</v>
      </c>
      <c r="K55" s="8">
        <v>14.33</v>
      </c>
      <c r="L55" t="s">
        <v>17</v>
      </c>
    </row>
    <row r="56" spans="1:12" x14ac:dyDescent="0.25">
      <c r="A56" t="s">
        <v>139</v>
      </c>
      <c r="B56" s="6">
        <v>45892</v>
      </c>
      <c r="C56" t="s">
        <v>140</v>
      </c>
      <c r="D56" t="s">
        <v>14</v>
      </c>
      <c r="E56" t="s">
        <v>39</v>
      </c>
      <c r="F56" t="s">
        <v>16</v>
      </c>
      <c r="G56" s="7">
        <v>1</v>
      </c>
      <c r="H56" s="8">
        <v>34.950000000000003</v>
      </c>
      <c r="I56" s="9">
        <v>5</v>
      </c>
      <c r="J56" s="8">
        <v>33.200000000000003</v>
      </c>
      <c r="K56" s="8">
        <v>14.82</v>
      </c>
      <c r="L56" t="s">
        <v>17</v>
      </c>
    </row>
    <row r="57" spans="1:12" x14ac:dyDescent="0.25">
      <c r="A57" t="s">
        <v>141</v>
      </c>
      <c r="B57" s="6">
        <v>45559</v>
      </c>
      <c r="C57" t="s">
        <v>142</v>
      </c>
      <c r="D57" t="s">
        <v>36</v>
      </c>
      <c r="E57" t="s">
        <v>21</v>
      </c>
      <c r="F57" t="s">
        <v>16</v>
      </c>
      <c r="G57" s="7">
        <v>1</v>
      </c>
      <c r="H57" s="8">
        <v>48.13</v>
      </c>
      <c r="I57" s="9">
        <v>25</v>
      </c>
      <c r="J57" s="8">
        <v>36.1</v>
      </c>
      <c r="K57" s="8">
        <v>14.88</v>
      </c>
      <c r="L57" t="s">
        <v>33</v>
      </c>
    </row>
    <row r="58" spans="1:12" x14ac:dyDescent="0.25">
      <c r="A58" t="s">
        <v>143</v>
      </c>
      <c r="B58" s="6">
        <v>45531</v>
      </c>
      <c r="C58" t="s">
        <v>144</v>
      </c>
      <c r="D58" t="s">
        <v>24</v>
      </c>
      <c r="E58" t="s">
        <v>28</v>
      </c>
      <c r="F58" t="s">
        <v>16</v>
      </c>
      <c r="G58" s="7">
        <v>1</v>
      </c>
      <c r="H58" s="8">
        <v>31.46</v>
      </c>
      <c r="I58" s="9">
        <v>0</v>
      </c>
      <c r="J58" s="8">
        <v>31.46</v>
      </c>
      <c r="K58" s="8">
        <v>14.92</v>
      </c>
      <c r="L58" t="s">
        <v>17</v>
      </c>
    </row>
    <row r="59" spans="1:12" x14ac:dyDescent="0.25">
      <c r="A59" t="s">
        <v>145</v>
      </c>
      <c r="B59" s="6">
        <v>45851</v>
      </c>
      <c r="C59" t="s">
        <v>146</v>
      </c>
      <c r="D59" t="s">
        <v>36</v>
      </c>
      <c r="E59" t="s">
        <v>47</v>
      </c>
      <c r="F59" t="s">
        <v>16</v>
      </c>
      <c r="G59" s="7">
        <v>1</v>
      </c>
      <c r="H59" s="8">
        <v>30.87</v>
      </c>
      <c r="I59" s="9">
        <v>0</v>
      </c>
      <c r="J59" s="8">
        <v>30.87</v>
      </c>
      <c r="K59" s="8">
        <v>14.97</v>
      </c>
      <c r="L59" t="s">
        <v>33</v>
      </c>
    </row>
    <row r="60" spans="1:12" x14ac:dyDescent="0.25">
      <c r="A60" t="s">
        <v>147</v>
      </c>
      <c r="B60" s="6">
        <v>45595</v>
      </c>
      <c r="C60" t="s">
        <v>148</v>
      </c>
      <c r="D60" t="s">
        <v>36</v>
      </c>
      <c r="E60" t="s">
        <v>21</v>
      </c>
      <c r="F60" t="s">
        <v>16</v>
      </c>
      <c r="G60" s="7">
        <v>1</v>
      </c>
      <c r="H60" s="8">
        <v>35.4</v>
      </c>
      <c r="I60" s="9">
        <v>10</v>
      </c>
      <c r="J60" s="8">
        <v>31.86</v>
      </c>
      <c r="K60" s="8">
        <v>15</v>
      </c>
      <c r="L60" t="s">
        <v>17</v>
      </c>
    </row>
    <row r="61" spans="1:12" x14ac:dyDescent="0.25">
      <c r="A61" t="s">
        <v>149</v>
      </c>
      <c r="B61" s="6">
        <v>45561</v>
      </c>
      <c r="C61" t="s">
        <v>150</v>
      </c>
      <c r="D61" t="s">
        <v>14</v>
      </c>
      <c r="E61" t="s">
        <v>28</v>
      </c>
      <c r="F61" t="s">
        <v>16</v>
      </c>
      <c r="G61" s="7">
        <v>1</v>
      </c>
      <c r="H61" s="8">
        <v>35.4</v>
      </c>
      <c r="I61" s="9">
        <v>0</v>
      </c>
      <c r="J61" s="8">
        <v>35.4</v>
      </c>
      <c r="K61" s="8">
        <v>15.17</v>
      </c>
      <c r="L61" t="s">
        <v>33</v>
      </c>
    </row>
    <row r="62" spans="1:12" x14ac:dyDescent="0.25">
      <c r="A62" t="s">
        <v>151</v>
      </c>
      <c r="B62" s="6">
        <v>45345</v>
      </c>
      <c r="C62" t="s">
        <v>152</v>
      </c>
      <c r="D62" t="s">
        <v>14</v>
      </c>
      <c r="E62" t="s">
        <v>25</v>
      </c>
      <c r="F62" t="s">
        <v>16</v>
      </c>
      <c r="G62" s="7">
        <v>1</v>
      </c>
      <c r="H62" s="8">
        <v>35</v>
      </c>
      <c r="I62" s="9">
        <v>5</v>
      </c>
      <c r="J62" s="8">
        <v>33.25</v>
      </c>
      <c r="K62" s="8">
        <v>15.19</v>
      </c>
      <c r="L62" t="s">
        <v>17</v>
      </c>
    </row>
    <row r="63" spans="1:12" x14ac:dyDescent="0.25">
      <c r="A63" t="s">
        <v>153</v>
      </c>
      <c r="B63" s="6">
        <v>45662</v>
      </c>
      <c r="C63" t="s">
        <v>154</v>
      </c>
      <c r="D63" t="s">
        <v>36</v>
      </c>
      <c r="E63" t="s">
        <v>39</v>
      </c>
      <c r="F63" t="s">
        <v>16</v>
      </c>
      <c r="G63" s="7">
        <v>1</v>
      </c>
      <c r="H63" s="8">
        <v>32.869999999999997</v>
      </c>
      <c r="I63" s="9">
        <v>10</v>
      </c>
      <c r="J63" s="8">
        <v>29.58</v>
      </c>
      <c r="K63" s="8">
        <v>15.59</v>
      </c>
      <c r="L63" t="s">
        <v>17</v>
      </c>
    </row>
    <row r="64" spans="1:12" x14ac:dyDescent="0.25">
      <c r="A64" t="s">
        <v>155</v>
      </c>
      <c r="B64" s="6">
        <v>45566</v>
      </c>
      <c r="C64" t="s">
        <v>156</v>
      </c>
      <c r="D64" t="s">
        <v>14</v>
      </c>
      <c r="E64" t="s">
        <v>68</v>
      </c>
      <c r="F64" t="s">
        <v>16</v>
      </c>
      <c r="G64" s="7">
        <v>1</v>
      </c>
      <c r="H64" s="8">
        <v>25.96</v>
      </c>
      <c r="I64" s="9">
        <v>0</v>
      </c>
      <c r="J64" s="8">
        <v>25.96</v>
      </c>
      <c r="K64" s="8">
        <v>15.97</v>
      </c>
      <c r="L64" t="s">
        <v>48</v>
      </c>
    </row>
    <row r="65" spans="1:12" x14ac:dyDescent="0.25">
      <c r="A65" t="s">
        <v>157</v>
      </c>
      <c r="B65" s="6">
        <v>45673</v>
      </c>
      <c r="C65" t="s">
        <v>158</v>
      </c>
      <c r="D65" t="s">
        <v>14</v>
      </c>
      <c r="E65" t="s">
        <v>44</v>
      </c>
      <c r="F65" t="s">
        <v>16</v>
      </c>
      <c r="G65" s="7">
        <v>1</v>
      </c>
      <c r="H65" s="8">
        <v>40.47</v>
      </c>
      <c r="I65" s="9">
        <v>10</v>
      </c>
      <c r="J65" s="8">
        <v>36.42</v>
      </c>
      <c r="K65" s="8">
        <v>16.11</v>
      </c>
      <c r="L65" t="s">
        <v>17</v>
      </c>
    </row>
    <row r="66" spans="1:12" x14ac:dyDescent="0.25">
      <c r="A66" t="s">
        <v>159</v>
      </c>
      <c r="B66" s="6">
        <v>45835</v>
      </c>
      <c r="C66" t="s">
        <v>160</v>
      </c>
      <c r="D66" t="s">
        <v>31</v>
      </c>
      <c r="E66" t="s">
        <v>53</v>
      </c>
      <c r="F66" t="s">
        <v>16</v>
      </c>
      <c r="G66" s="7">
        <v>1</v>
      </c>
      <c r="H66" s="8">
        <v>27.38</v>
      </c>
      <c r="I66" s="9">
        <v>0</v>
      </c>
      <c r="J66" s="8">
        <v>27.38</v>
      </c>
      <c r="K66" s="8">
        <v>16.329999999999998</v>
      </c>
      <c r="L66" t="s">
        <v>33</v>
      </c>
    </row>
    <row r="67" spans="1:12" x14ac:dyDescent="0.25">
      <c r="A67" t="s">
        <v>161</v>
      </c>
      <c r="B67" s="6">
        <v>45855</v>
      </c>
      <c r="C67" t="s">
        <v>162</v>
      </c>
      <c r="D67" t="s">
        <v>14</v>
      </c>
      <c r="E67" t="s">
        <v>39</v>
      </c>
      <c r="F67" t="s">
        <v>16</v>
      </c>
      <c r="G67" s="7">
        <v>2</v>
      </c>
      <c r="H67" s="8">
        <v>15.66</v>
      </c>
      <c r="I67" s="9">
        <v>10</v>
      </c>
      <c r="J67" s="8">
        <v>28.19</v>
      </c>
      <c r="K67" s="8">
        <v>16.36</v>
      </c>
      <c r="L67" t="s">
        <v>33</v>
      </c>
    </row>
    <row r="68" spans="1:12" x14ac:dyDescent="0.25">
      <c r="A68" t="s">
        <v>163</v>
      </c>
      <c r="B68" s="6">
        <v>46016</v>
      </c>
      <c r="C68" t="s">
        <v>164</v>
      </c>
      <c r="D68" t="s">
        <v>36</v>
      </c>
      <c r="E68" t="s">
        <v>68</v>
      </c>
      <c r="F68" t="s">
        <v>16</v>
      </c>
      <c r="G68" s="7">
        <v>3</v>
      </c>
      <c r="H68" s="8">
        <v>11.33</v>
      </c>
      <c r="I68" s="9">
        <v>5</v>
      </c>
      <c r="J68" s="8">
        <v>32.29</v>
      </c>
      <c r="K68" s="8">
        <v>16.54</v>
      </c>
      <c r="L68" t="s">
        <v>33</v>
      </c>
    </row>
    <row r="69" spans="1:12" x14ac:dyDescent="0.25">
      <c r="A69" t="s">
        <v>165</v>
      </c>
      <c r="B69" s="6">
        <v>45581</v>
      </c>
      <c r="C69" t="s">
        <v>166</v>
      </c>
      <c r="D69" t="s">
        <v>36</v>
      </c>
      <c r="E69" t="s">
        <v>53</v>
      </c>
      <c r="F69" t="s">
        <v>16</v>
      </c>
      <c r="G69" s="7">
        <v>2</v>
      </c>
      <c r="H69" s="8">
        <v>13.14</v>
      </c>
      <c r="I69" s="9">
        <v>0</v>
      </c>
      <c r="J69" s="8">
        <v>26.28</v>
      </c>
      <c r="K69" s="8">
        <v>16.63</v>
      </c>
      <c r="L69" t="s">
        <v>33</v>
      </c>
    </row>
    <row r="70" spans="1:12" x14ac:dyDescent="0.25">
      <c r="A70" t="s">
        <v>167</v>
      </c>
      <c r="B70" s="6">
        <v>45696</v>
      </c>
      <c r="C70" t="s">
        <v>168</v>
      </c>
      <c r="D70" t="s">
        <v>20</v>
      </c>
      <c r="E70" t="s">
        <v>68</v>
      </c>
      <c r="F70" t="s">
        <v>16</v>
      </c>
      <c r="G70" s="7">
        <v>1</v>
      </c>
      <c r="H70" s="8">
        <v>34.17</v>
      </c>
      <c r="I70" s="9">
        <v>0</v>
      </c>
      <c r="J70" s="8">
        <v>34.17</v>
      </c>
      <c r="K70" s="8">
        <v>16.7</v>
      </c>
      <c r="L70" t="s">
        <v>33</v>
      </c>
    </row>
    <row r="71" spans="1:12" x14ac:dyDescent="0.25">
      <c r="A71" t="s">
        <v>169</v>
      </c>
      <c r="B71" s="6">
        <v>45397</v>
      </c>
      <c r="C71" t="s">
        <v>170</v>
      </c>
      <c r="D71" t="s">
        <v>31</v>
      </c>
      <c r="E71" t="s">
        <v>28</v>
      </c>
      <c r="F71" t="s">
        <v>16</v>
      </c>
      <c r="G71" s="7">
        <v>1</v>
      </c>
      <c r="H71" s="8">
        <v>31.32</v>
      </c>
      <c r="I71" s="9">
        <v>15</v>
      </c>
      <c r="J71" s="8">
        <v>26.62</v>
      </c>
      <c r="K71" s="8">
        <v>16.77</v>
      </c>
      <c r="L71" t="s">
        <v>48</v>
      </c>
    </row>
    <row r="72" spans="1:12" x14ac:dyDescent="0.25">
      <c r="A72" t="s">
        <v>171</v>
      </c>
      <c r="B72" s="6">
        <v>45897</v>
      </c>
      <c r="C72" t="s">
        <v>172</v>
      </c>
      <c r="D72" t="s">
        <v>24</v>
      </c>
      <c r="E72" t="s">
        <v>39</v>
      </c>
      <c r="F72" t="s">
        <v>16</v>
      </c>
      <c r="G72" s="7">
        <v>1</v>
      </c>
      <c r="H72" s="8">
        <v>26.72</v>
      </c>
      <c r="I72" s="9">
        <v>0</v>
      </c>
      <c r="J72" s="8">
        <v>26.72</v>
      </c>
      <c r="K72" s="8">
        <v>16.86</v>
      </c>
      <c r="L72" t="s">
        <v>17</v>
      </c>
    </row>
    <row r="73" spans="1:12" x14ac:dyDescent="0.25">
      <c r="A73" t="s">
        <v>173</v>
      </c>
      <c r="B73" s="6">
        <v>45883</v>
      </c>
      <c r="C73" t="s">
        <v>174</v>
      </c>
      <c r="D73" t="s">
        <v>20</v>
      </c>
      <c r="E73" t="s">
        <v>15</v>
      </c>
      <c r="F73" t="s">
        <v>16</v>
      </c>
      <c r="G73" s="7">
        <v>1</v>
      </c>
      <c r="H73" s="8">
        <v>30.72</v>
      </c>
      <c r="I73" s="9">
        <v>5</v>
      </c>
      <c r="J73" s="8">
        <v>29.18</v>
      </c>
      <c r="K73" s="8">
        <v>17.04</v>
      </c>
      <c r="L73" t="s">
        <v>17</v>
      </c>
    </row>
    <row r="74" spans="1:12" x14ac:dyDescent="0.25">
      <c r="A74" t="s">
        <v>175</v>
      </c>
      <c r="B74" s="6">
        <v>45394</v>
      </c>
      <c r="C74" t="s">
        <v>176</v>
      </c>
      <c r="D74" t="s">
        <v>20</v>
      </c>
      <c r="E74" t="s">
        <v>68</v>
      </c>
      <c r="F74" t="s">
        <v>16</v>
      </c>
      <c r="G74" s="7">
        <v>1</v>
      </c>
      <c r="H74" s="8">
        <v>35.85</v>
      </c>
      <c r="I74" s="9">
        <v>15</v>
      </c>
      <c r="J74" s="8">
        <v>30.47</v>
      </c>
      <c r="K74" s="8">
        <v>17.28</v>
      </c>
      <c r="L74" t="s">
        <v>33</v>
      </c>
    </row>
    <row r="75" spans="1:12" x14ac:dyDescent="0.25">
      <c r="A75" t="s">
        <v>177</v>
      </c>
      <c r="B75" s="6">
        <v>45882</v>
      </c>
      <c r="C75" t="s">
        <v>178</v>
      </c>
      <c r="D75" t="s">
        <v>14</v>
      </c>
      <c r="E75" t="s">
        <v>47</v>
      </c>
      <c r="F75" t="s">
        <v>16</v>
      </c>
      <c r="G75" s="7">
        <v>1</v>
      </c>
      <c r="H75" s="8">
        <v>33.659999999999997</v>
      </c>
      <c r="I75" s="9">
        <v>0</v>
      </c>
      <c r="J75" s="8">
        <v>33.659999999999997</v>
      </c>
      <c r="K75" s="8">
        <v>17.54</v>
      </c>
      <c r="L75" t="s">
        <v>33</v>
      </c>
    </row>
    <row r="76" spans="1:12" x14ac:dyDescent="0.25">
      <c r="A76" t="s">
        <v>179</v>
      </c>
      <c r="B76" s="6">
        <v>45527</v>
      </c>
      <c r="C76" t="s">
        <v>180</v>
      </c>
      <c r="D76" t="s">
        <v>14</v>
      </c>
      <c r="E76" t="s">
        <v>28</v>
      </c>
      <c r="F76" t="s">
        <v>16</v>
      </c>
      <c r="G76" s="7">
        <v>1</v>
      </c>
      <c r="H76" s="8">
        <v>40.68</v>
      </c>
      <c r="I76" s="9">
        <v>0</v>
      </c>
      <c r="J76" s="8">
        <v>40.68</v>
      </c>
      <c r="K76" s="8">
        <v>17.54</v>
      </c>
      <c r="L76" t="s">
        <v>33</v>
      </c>
    </row>
    <row r="77" spans="1:12" x14ac:dyDescent="0.25">
      <c r="A77" t="s">
        <v>181</v>
      </c>
      <c r="B77" s="6">
        <v>45364</v>
      </c>
      <c r="C77" t="s">
        <v>182</v>
      </c>
      <c r="D77" t="s">
        <v>31</v>
      </c>
      <c r="E77" t="s">
        <v>47</v>
      </c>
      <c r="F77" t="s">
        <v>16</v>
      </c>
      <c r="G77" s="7">
        <v>1</v>
      </c>
      <c r="H77" s="8">
        <v>28.67</v>
      </c>
      <c r="I77" s="9">
        <v>0</v>
      </c>
      <c r="J77" s="8">
        <v>28.67</v>
      </c>
      <c r="K77" s="8">
        <v>17.55</v>
      </c>
      <c r="L77" t="s">
        <v>17</v>
      </c>
    </row>
    <row r="78" spans="1:12" x14ac:dyDescent="0.25">
      <c r="A78" t="s">
        <v>183</v>
      </c>
      <c r="B78" s="6">
        <v>45634</v>
      </c>
      <c r="C78" t="s">
        <v>184</v>
      </c>
      <c r="D78" t="s">
        <v>14</v>
      </c>
      <c r="E78" t="s">
        <v>21</v>
      </c>
      <c r="F78" t="s">
        <v>16</v>
      </c>
      <c r="G78" s="7">
        <v>1</v>
      </c>
      <c r="H78" s="8">
        <v>45.25</v>
      </c>
      <c r="I78" s="9">
        <v>10</v>
      </c>
      <c r="J78" s="8">
        <v>40.729999999999997</v>
      </c>
      <c r="K78" s="8">
        <v>17.760000000000002</v>
      </c>
      <c r="L78" t="s">
        <v>17</v>
      </c>
    </row>
    <row r="79" spans="1:12" x14ac:dyDescent="0.25">
      <c r="A79" t="s">
        <v>185</v>
      </c>
      <c r="B79" s="6">
        <v>45614</v>
      </c>
      <c r="C79" t="s">
        <v>186</v>
      </c>
      <c r="D79" t="s">
        <v>24</v>
      </c>
      <c r="E79" t="s">
        <v>21</v>
      </c>
      <c r="F79" t="s">
        <v>16</v>
      </c>
      <c r="G79" s="7">
        <v>1</v>
      </c>
      <c r="H79" s="8">
        <v>43.25</v>
      </c>
      <c r="I79" s="9">
        <v>5</v>
      </c>
      <c r="J79" s="8">
        <v>41.09</v>
      </c>
      <c r="K79" s="8">
        <v>17.87</v>
      </c>
      <c r="L79" t="s">
        <v>17</v>
      </c>
    </row>
    <row r="80" spans="1:12" x14ac:dyDescent="0.25">
      <c r="A80" t="s">
        <v>187</v>
      </c>
      <c r="B80" s="6">
        <v>45726</v>
      </c>
      <c r="C80" t="s">
        <v>188</v>
      </c>
      <c r="D80" t="s">
        <v>31</v>
      </c>
      <c r="E80" t="s">
        <v>25</v>
      </c>
      <c r="F80" t="s">
        <v>16</v>
      </c>
      <c r="G80" s="7">
        <v>1</v>
      </c>
      <c r="H80" s="8">
        <v>48.84</v>
      </c>
      <c r="I80" s="9">
        <v>25</v>
      </c>
      <c r="J80" s="8">
        <v>36.630000000000003</v>
      </c>
      <c r="K80" s="8">
        <v>18</v>
      </c>
      <c r="L80" t="s">
        <v>33</v>
      </c>
    </row>
    <row r="81" spans="1:12" x14ac:dyDescent="0.25">
      <c r="A81" t="s">
        <v>189</v>
      </c>
      <c r="B81" s="6">
        <v>45590</v>
      </c>
      <c r="C81" t="s">
        <v>190</v>
      </c>
      <c r="D81" t="s">
        <v>24</v>
      </c>
      <c r="E81" t="s">
        <v>25</v>
      </c>
      <c r="F81" t="s">
        <v>16</v>
      </c>
      <c r="G81" s="7">
        <v>1</v>
      </c>
      <c r="H81" s="8">
        <v>34.71</v>
      </c>
      <c r="I81" s="9">
        <v>10</v>
      </c>
      <c r="J81" s="8">
        <v>31.24</v>
      </c>
      <c r="K81" s="8">
        <v>18.22</v>
      </c>
      <c r="L81" t="s">
        <v>17</v>
      </c>
    </row>
    <row r="82" spans="1:12" x14ac:dyDescent="0.25">
      <c r="A82" t="s">
        <v>191</v>
      </c>
      <c r="B82" s="6">
        <v>45458</v>
      </c>
      <c r="C82" t="s">
        <v>192</v>
      </c>
      <c r="D82" t="s">
        <v>36</v>
      </c>
      <c r="E82" t="s">
        <v>21</v>
      </c>
      <c r="F82" t="s">
        <v>16</v>
      </c>
      <c r="G82" s="7">
        <v>1</v>
      </c>
      <c r="H82" s="8">
        <v>47.72</v>
      </c>
      <c r="I82" s="9">
        <v>15</v>
      </c>
      <c r="J82" s="8">
        <v>40.56</v>
      </c>
      <c r="K82" s="8">
        <v>18.260000000000002</v>
      </c>
      <c r="L82" t="s">
        <v>33</v>
      </c>
    </row>
    <row r="83" spans="1:12" x14ac:dyDescent="0.25">
      <c r="A83" t="s">
        <v>193</v>
      </c>
      <c r="B83" s="6">
        <v>45681</v>
      </c>
      <c r="C83" t="s">
        <v>194</v>
      </c>
      <c r="D83" t="s">
        <v>31</v>
      </c>
      <c r="E83" t="s">
        <v>15</v>
      </c>
      <c r="F83" t="s">
        <v>16</v>
      </c>
      <c r="G83" s="7">
        <v>1</v>
      </c>
      <c r="H83" s="8">
        <v>49.72</v>
      </c>
      <c r="I83" s="9">
        <v>10</v>
      </c>
      <c r="J83" s="8">
        <v>44.75</v>
      </c>
      <c r="K83" s="8">
        <v>18.27</v>
      </c>
      <c r="L83" t="s">
        <v>33</v>
      </c>
    </row>
    <row r="84" spans="1:12" x14ac:dyDescent="0.25">
      <c r="A84" t="s">
        <v>195</v>
      </c>
      <c r="B84" s="6">
        <v>45677</v>
      </c>
      <c r="C84" t="s">
        <v>196</v>
      </c>
      <c r="D84" t="s">
        <v>20</v>
      </c>
      <c r="E84" t="s">
        <v>44</v>
      </c>
      <c r="F84" t="s">
        <v>16</v>
      </c>
      <c r="G84" s="7">
        <v>2</v>
      </c>
      <c r="H84" s="8">
        <v>15.43</v>
      </c>
      <c r="I84" s="9">
        <v>5</v>
      </c>
      <c r="J84" s="8">
        <v>29.32</v>
      </c>
      <c r="K84" s="8">
        <v>18.399999999999999</v>
      </c>
      <c r="L84" t="s">
        <v>33</v>
      </c>
    </row>
    <row r="85" spans="1:12" x14ac:dyDescent="0.25">
      <c r="A85" t="s">
        <v>197</v>
      </c>
      <c r="B85" s="6">
        <v>45460</v>
      </c>
      <c r="C85" t="s">
        <v>198</v>
      </c>
      <c r="D85" t="s">
        <v>14</v>
      </c>
      <c r="E85" t="s">
        <v>28</v>
      </c>
      <c r="F85" t="s">
        <v>16</v>
      </c>
      <c r="G85" s="7">
        <v>1</v>
      </c>
      <c r="H85" s="8">
        <v>45.34</v>
      </c>
      <c r="I85" s="9">
        <v>10</v>
      </c>
      <c r="J85" s="8">
        <v>40.81</v>
      </c>
      <c r="K85" s="8">
        <v>18.399999999999999</v>
      </c>
      <c r="L85" t="s">
        <v>33</v>
      </c>
    </row>
    <row r="86" spans="1:12" x14ac:dyDescent="0.25">
      <c r="A86" t="s">
        <v>199</v>
      </c>
      <c r="B86" s="6">
        <v>45369</v>
      </c>
      <c r="C86" t="s">
        <v>200</v>
      </c>
      <c r="D86" t="s">
        <v>20</v>
      </c>
      <c r="E86" t="s">
        <v>53</v>
      </c>
      <c r="F86" t="s">
        <v>16</v>
      </c>
      <c r="G86" s="7">
        <v>1</v>
      </c>
      <c r="H86" s="8">
        <v>41.62</v>
      </c>
      <c r="I86" s="9">
        <v>10</v>
      </c>
      <c r="J86" s="8">
        <v>37.46</v>
      </c>
      <c r="K86" s="8">
        <v>19.28</v>
      </c>
      <c r="L86" t="s">
        <v>33</v>
      </c>
    </row>
    <row r="87" spans="1:12" x14ac:dyDescent="0.25">
      <c r="A87" t="s">
        <v>201</v>
      </c>
      <c r="B87" s="6">
        <v>45880</v>
      </c>
      <c r="C87" t="s">
        <v>202</v>
      </c>
      <c r="D87" t="s">
        <v>36</v>
      </c>
      <c r="E87" t="s">
        <v>32</v>
      </c>
      <c r="F87" t="s">
        <v>16</v>
      </c>
      <c r="G87" s="7">
        <v>1</v>
      </c>
      <c r="H87" s="8">
        <v>46.85</v>
      </c>
      <c r="I87" s="9">
        <v>0</v>
      </c>
      <c r="J87" s="8">
        <v>46.85</v>
      </c>
      <c r="K87" s="8">
        <v>19.309999999999999</v>
      </c>
      <c r="L87" t="s">
        <v>48</v>
      </c>
    </row>
    <row r="88" spans="1:12" x14ac:dyDescent="0.25">
      <c r="A88" t="s">
        <v>203</v>
      </c>
      <c r="B88" s="6">
        <v>45865</v>
      </c>
      <c r="C88" t="s">
        <v>204</v>
      </c>
      <c r="D88" t="s">
        <v>14</v>
      </c>
      <c r="E88" t="s">
        <v>47</v>
      </c>
      <c r="F88" t="s">
        <v>16</v>
      </c>
      <c r="G88" s="7">
        <v>1</v>
      </c>
      <c r="H88" s="8">
        <v>33.229999999999997</v>
      </c>
      <c r="I88" s="9">
        <v>0</v>
      </c>
      <c r="J88" s="8">
        <v>33.229999999999997</v>
      </c>
      <c r="K88" s="8">
        <v>19.399999999999999</v>
      </c>
      <c r="L88" t="s">
        <v>33</v>
      </c>
    </row>
    <row r="89" spans="1:12" x14ac:dyDescent="0.25">
      <c r="A89" t="s">
        <v>205</v>
      </c>
      <c r="B89" s="6">
        <v>45727</v>
      </c>
      <c r="C89" t="s">
        <v>206</v>
      </c>
      <c r="D89" t="s">
        <v>36</v>
      </c>
      <c r="E89" t="s">
        <v>68</v>
      </c>
      <c r="F89" t="s">
        <v>16</v>
      </c>
      <c r="G89" s="7">
        <v>1</v>
      </c>
      <c r="H89" s="8">
        <v>30.64</v>
      </c>
      <c r="I89" s="9">
        <v>0</v>
      </c>
      <c r="J89" s="8">
        <v>30.64</v>
      </c>
      <c r="K89" s="8">
        <v>19.48</v>
      </c>
      <c r="L89" t="s">
        <v>17</v>
      </c>
    </row>
    <row r="90" spans="1:12" x14ac:dyDescent="0.25">
      <c r="A90" t="s">
        <v>207</v>
      </c>
      <c r="B90" s="6">
        <v>45916</v>
      </c>
      <c r="C90" t="s">
        <v>208</v>
      </c>
      <c r="D90" t="s">
        <v>24</v>
      </c>
      <c r="E90" t="s">
        <v>21</v>
      </c>
      <c r="F90" t="s">
        <v>16</v>
      </c>
      <c r="G90" s="7">
        <v>1</v>
      </c>
      <c r="H90" s="8">
        <v>43.54</v>
      </c>
      <c r="I90" s="9">
        <v>0</v>
      </c>
      <c r="J90" s="8">
        <v>43.54</v>
      </c>
      <c r="K90" s="8">
        <v>19.52</v>
      </c>
      <c r="L90" t="s">
        <v>33</v>
      </c>
    </row>
    <row r="91" spans="1:12" x14ac:dyDescent="0.25">
      <c r="A91" t="s">
        <v>209</v>
      </c>
      <c r="B91" s="6">
        <v>45470</v>
      </c>
      <c r="C91" t="s">
        <v>210</v>
      </c>
      <c r="D91" t="s">
        <v>36</v>
      </c>
      <c r="E91" t="s">
        <v>25</v>
      </c>
      <c r="F91" t="s">
        <v>16</v>
      </c>
      <c r="G91" s="7">
        <v>2</v>
      </c>
      <c r="H91" s="8">
        <v>23.05</v>
      </c>
      <c r="I91" s="9">
        <v>0</v>
      </c>
      <c r="J91" s="8">
        <v>46.1</v>
      </c>
      <c r="K91" s="8">
        <v>19.670000000000002</v>
      </c>
      <c r="L91" t="s">
        <v>48</v>
      </c>
    </row>
    <row r="92" spans="1:12" x14ac:dyDescent="0.25">
      <c r="A92" t="s">
        <v>211</v>
      </c>
      <c r="B92" s="6">
        <v>45965</v>
      </c>
      <c r="C92" t="s">
        <v>212</v>
      </c>
      <c r="D92" t="s">
        <v>20</v>
      </c>
      <c r="E92" t="s">
        <v>15</v>
      </c>
      <c r="F92" t="s">
        <v>16</v>
      </c>
      <c r="G92" s="7">
        <v>1</v>
      </c>
      <c r="H92" s="8">
        <v>41.2</v>
      </c>
      <c r="I92" s="9">
        <v>15</v>
      </c>
      <c r="J92" s="8">
        <v>35.020000000000003</v>
      </c>
      <c r="K92" s="8">
        <v>19.850000000000001</v>
      </c>
      <c r="L92" t="s">
        <v>33</v>
      </c>
    </row>
    <row r="93" spans="1:12" x14ac:dyDescent="0.25">
      <c r="A93" t="s">
        <v>213</v>
      </c>
      <c r="B93" s="6">
        <v>45664</v>
      </c>
      <c r="C93" t="s">
        <v>214</v>
      </c>
      <c r="D93" t="s">
        <v>31</v>
      </c>
      <c r="E93" t="s">
        <v>68</v>
      </c>
      <c r="F93" t="s">
        <v>16</v>
      </c>
      <c r="G93" s="7">
        <v>1</v>
      </c>
      <c r="H93" s="8">
        <v>46.94</v>
      </c>
      <c r="I93" s="9">
        <v>25</v>
      </c>
      <c r="J93" s="8">
        <v>35.21</v>
      </c>
      <c r="K93" s="8">
        <v>19.91</v>
      </c>
      <c r="L93" t="s">
        <v>17</v>
      </c>
    </row>
    <row r="94" spans="1:12" x14ac:dyDescent="0.25">
      <c r="A94" t="s">
        <v>215</v>
      </c>
      <c r="B94" s="6">
        <v>46000</v>
      </c>
      <c r="C94" t="s">
        <v>216</v>
      </c>
      <c r="D94" t="s">
        <v>31</v>
      </c>
      <c r="E94" t="s">
        <v>32</v>
      </c>
      <c r="F94" t="s">
        <v>16</v>
      </c>
      <c r="G94" s="7">
        <v>1</v>
      </c>
      <c r="H94" s="8">
        <v>38.64</v>
      </c>
      <c r="I94" s="9">
        <v>10</v>
      </c>
      <c r="J94" s="8">
        <v>34.78</v>
      </c>
      <c r="K94" s="8">
        <v>19.93</v>
      </c>
      <c r="L94" t="s">
        <v>48</v>
      </c>
    </row>
    <row r="95" spans="1:12" x14ac:dyDescent="0.25">
      <c r="A95" t="s">
        <v>217</v>
      </c>
      <c r="B95" s="6">
        <v>45506</v>
      </c>
      <c r="C95" t="s">
        <v>218</v>
      </c>
      <c r="D95" t="s">
        <v>24</v>
      </c>
      <c r="E95" t="s">
        <v>25</v>
      </c>
      <c r="F95" t="s">
        <v>16</v>
      </c>
      <c r="G95" s="7">
        <v>3</v>
      </c>
      <c r="H95" s="8">
        <v>12.27</v>
      </c>
      <c r="I95" s="9">
        <v>0</v>
      </c>
      <c r="J95" s="8">
        <v>36.81</v>
      </c>
      <c r="K95" s="8">
        <v>20.04</v>
      </c>
      <c r="L95" t="s">
        <v>33</v>
      </c>
    </row>
    <row r="96" spans="1:12" x14ac:dyDescent="0.25">
      <c r="A96" t="s">
        <v>219</v>
      </c>
      <c r="B96" s="6">
        <v>45972</v>
      </c>
      <c r="C96" t="s">
        <v>220</v>
      </c>
      <c r="D96" t="s">
        <v>31</v>
      </c>
      <c r="E96" t="s">
        <v>21</v>
      </c>
      <c r="F96" t="s">
        <v>16</v>
      </c>
      <c r="G96" s="7">
        <v>1</v>
      </c>
      <c r="H96" s="8">
        <v>38.93</v>
      </c>
      <c r="I96" s="9">
        <v>15</v>
      </c>
      <c r="J96" s="8">
        <v>33.090000000000003</v>
      </c>
      <c r="K96" s="8">
        <v>20.11</v>
      </c>
      <c r="L96" t="s">
        <v>33</v>
      </c>
    </row>
    <row r="97" spans="1:12" x14ac:dyDescent="0.25">
      <c r="A97" t="s">
        <v>221</v>
      </c>
      <c r="B97" s="6">
        <v>45746</v>
      </c>
      <c r="C97" t="s">
        <v>222</v>
      </c>
      <c r="D97" t="s">
        <v>20</v>
      </c>
      <c r="E97" t="s">
        <v>68</v>
      </c>
      <c r="F97" t="s">
        <v>16</v>
      </c>
      <c r="G97" s="7">
        <v>2</v>
      </c>
      <c r="H97" s="8">
        <v>25.7</v>
      </c>
      <c r="I97" s="9">
        <v>5</v>
      </c>
      <c r="J97" s="8">
        <v>48.83</v>
      </c>
      <c r="K97" s="8">
        <v>20.12</v>
      </c>
      <c r="L97" t="s">
        <v>48</v>
      </c>
    </row>
    <row r="98" spans="1:12" x14ac:dyDescent="0.25">
      <c r="A98" t="s">
        <v>223</v>
      </c>
      <c r="B98" s="6">
        <v>45996</v>
      </c>
      <c r="C98" t="s">
        <v>224</v>
      </c>
      <c r="D98" t="s">
        <v>31</v>
      </c>
      <c r="E98" t="s">
        <v>44</v>
      </c>
      <c r="F98" t="s">
        <v>16</v>
      </c>
      <c r="G98" s="7">
        <v>1</v>
      </c>
      <c r="H98" s="8">
        <v>44.94</v>
      </c>
      <c r="I98" s="9">
        <v>0</v>
      </c>
      <c r="J98" s="8">
        <v>44.94</v>
      </c>
      <c r="K98" s="8">
        <v>20.22</v>
      </c>
      <c r="L98" t="s">
        <v>33</v>
      </c>
    </row>
    <row r="99" spans="1:12" x14ac:dyDescent="0.25">
      <c r="A99" t="s">
        <v>225</v>
      </c>
      <c r="B99" s="6">
        <v>45753</v>
      </c>
      <c r="C99" t="s">
        <v>226</v>
      </c>
      <c r="D99" t="s">
        <v>31</v>
      </c>
      <c r="E99" t="s">
        <v>25</v>
      </c>
      <c r="F99" t="s">
        <v>16</v>
      </c>
      <c r="G99" s="7">
        <v>1</v>
      </c>
      <c r="H99" s="8">
        <v>38.82</v>
      </c>
      <c r="I99" s="9">
        <v>0</v>
      </c>
      <c r="J99" s="8">
        <v>38.82</v>
      </c>
      <c r="K99" s="8">
        <v>20.39</v>
      </c>
      <c r="L99" t="s">
        <v>48</v>
      </c>
    </row>
    <row r="100" spans="1:12" x14ac:dyDescent="0.25">
      <c r="A100" t="s">
        <v>227</v>
      </c>
      <c r="B100" s="6">
        <v>45574</v>
      </c>
      <c r="C100" t="s">
        <v>228</v>
      </c>
      <c r="D100" t="s">
        <v>20</v>
      </c>
      <c r="E100" t="s">
        <v>32</v>
      </c>
      <c r="F100" t="s">
        <v>16</v>
      </c>
      <c r="G100" s="7">
        <v>1</v>
      </c>
      <c r="H100" s="8">
        <v>38.26</v>
      </c>
      <c r="I100" s="9">
        <v>5</v>
      </c>
      <c r="J100" s="8">
        <v>36.35</v>
      </c>
      <c r="K100" s="8">
        <v>20.54</v>
      </c>
      <c r="L100" t="s">
        <v>33</v>
      </c>
    </row>
    <row r="101" spans="1:12" x14ac:dyDescent="0.25">
      <c r="A101" t="s">
        <v>229</v>
      </c>
      <c r="B101" s="6">
        <v>45644</v>
      </c>
      <c r="C101" t="s">
        <v>204</v>
      </c>
      <c r="D101" t="s">
        <v>14</v>
      </c>
      <c r="E101" t="s">
        <v>68</v>
      </c>
      <c r="F101" t="s">
        <v>16</v>
      </c>
      <c r="G101" s="7">
        <v>1</v>
      </c>
      <c r="H101" s="8">
        <v>42.6</v>
      </c>
      <c r="I101" s="9">
        <v>10</v>
      </c>
      <c r="J101" s="8">
        <v>38.340000000000003</v>
      </c>
      <c r="K101" s="8">
        <v>20.58</v>
      </c>
      <c r="L101" t="s">
        <v>33</v>
      </c>
    </row>
    <row r="102" spans="1:12" x14ac:dyDescent="0.25">
      <c r="A102" t="s">
        <v>230</v>
      </c>
      <c r="B102" s="6">
        <v>45470</v>
      </c>
      <c r="C102" t="s">
        <v>231</v>
      </c>
      <c r="D102" t="s">
        <v>24</v>
      </c>
      <c r="E102" t="s">
        <v>44</v>
      </c>
      <c r="F102" t="s">
        <v>16</v>
      </c>
      <c r="G102" s="7">
        <v>1</v>
      </c>
      <c r="H102" s="8">
        <v>40.83</v>
      </c>
      <c r="I102" s="9">
        <v>10</v>
      </c>
      <c r="J102" s="8">
        <v>36.75</v>
      </c>
      <c r="K102" s="8">
        <v>20.83</v>
      </c>
      <c r="L102" t="s">
        <v>33</v>
      </c>
    </row>
    <row r="103" spans="1:12" x14ac:dyDescent="0.25">
      <c r="A103" t="s">
        <v>232</v>
      </c>
      <c r="B103" s="6">
        <v>45482</v>
      </c>
      <c r="C103" t="s">
        <v>233</v>
      </c>
      <c r="D103" t="s">
        <v>24</v>
      </c>
      <c r="E103" t="s">
        <v>28</v>
      </c>
      <c r="F103" t="s">
        <v>16</v>
      </c>
      <c r="G103" s="7">
        <v>2</v>
      </c>
      <c r="H103" s="8">
        <v>28.43</v>
      </c>
      <c r="I103" s="9">
        <v>15</v>
      </c>
      <c r="J103" s="8">
        <v>48.33</v>
      </c>
      <c r="K103" s="8">
        <v>21.21</v>
      </c>
      <c r="L103" t="s">
        <v>33</v>
      </c>
    </row>
    <row r="104" spans="1:12" x14ac:dyDescent="0.25">
      <c r="A104" t="s">
        <v>234</v>
      </c>
      <c r="B104" s="6">
        <v>45565</v>
      </c>
      <c r="C104" t="s">
        <v>235</v>
      </c>
      <c r="D104" t="s">
        <v>14</v>
      </c>
      <c r="E104" t="s">
        <v>44</v>
      </c>
      <c r="F104" t="s">
        <v>16</v>
      </c>
      <c r="G104" s="7">
        <v>2</v>
      </c>
      <c r="H104" s="8">
        <v>26.41</v>
      </c>
      <c r="I104" s="9">
        <v>5</v>
      </c>
      <c r="J104" s="8">
        <v>50.18</v>
      </c>
      <c r="K104" s="8">
        <v>21.37</v>
      </c>
      <c r="L104" t="s">
        <v>17</v>
      </c>
    </row>
    <row r="105" spans="1:12" x14ac:dyDescent="0.25">
      <c r="A105" t="s">
        <v>236</v>
      </c>
      <c r="B105" s="6">
        <v>45818</v>
      </c>
      <c r="C105" t="s">
        <v>237</v>
      </c>
      <c r="D105" t="s">
        <v>36</v>
      </c>
      <c r="E105" t="s">
        <v>68</v>
      </c>
      <c r="F105" t="s">
        <v>16</v>
      </c>
      <c r="G105" s="7">
        <v>1</v>
      </c>
      <c r="H105" s="8">
        <v>42.76</v>
      </c>
      <c r="I105" s="9">
        <v>10</v>
      </c>
      <c r="J105" s="8">
        <v>38.479999999999997</v>
      </c>
      <c r="K105" s="8">
        <v>21.82</v>
      </c>
      <c r="L105" t="s">
        <v>48</v>
      </c>
    </row>
    <row r="106" spans="1:12" x14ac:dyDescent="0.25">
      <c r="A106" t="s">
        <v>238</v>
      </c>
      <c r="B106" s="6">
        <v>45997</v>
      </c>
      <c r="C106" t="s">
        <v>239</v>
      </c>
      <c r="D106" t="s">
        <v>36</v>
      </c>
      <c r="E106" t="s">
        <v>68</v>
      </c>
      <c r="F106" t="s">
        <v>16</v>
      </c>
      <c r="G106" s="7">
        <v>1</v>
      </c>
      <c r="H106" s="8">
        <v>36.67</v>
      </c>
      <c r="I106" s="9">
        <v>5</v>
      </c>
      <c r="J106" s="8">
        <v>34.840000000000003</v>
      </c>
      <c r="K106" s="8">
        <v>22.12</v>
      </c>
      <c r="L106" t="s">
        <v>17</v>
      </c>
    </row>
    <row r="107" spans="1:12" x14ac:dyDescent="0.25">
      <c r="A107" t="s">
        <v>240</v>
      </c>
      <c r="B107" s="6">
        <v>45418</v>
      </c>
      <c r="C107" t="s">
        <v>76</v>
      </c>
      <c r="D107" t="s">
        <v>20</v>
      </c>
      <c r="E107" t="s">
        <v>68</v>
      </c>
      <c r="F107" t="s">
        <v>16</v>
      </c>
      <c r="G107" s="7">
        <v>2</v>
      </c>
      <c r="H107" s="8">
        <v>21.03</v>
      </c>
      <c r="I107" s="9">
        <v>5</v>
      </c>
      <c r="J107" s="8">
        <v>39.96</v>
      </c>
      <c r="K107" s="8">
        <v>22.13</v>
      </c>
      <c r="L107" t="s">
        <v>33</v>
      </c>
    </row>
    <row r="108" spans="1:12" x14ac:dyDescent="0.25">
      <c r="A108" t="s">
        <v>241</v>
      </c>
      <c r="B108" s="6">
        <v>45589</v>
      </c>
      <c r="C108" t="s">
        <v>242</v>
      </c>
      <c r="D108" t="s">
        <v>14</v>
      </c>
      <c r="E108" t="s">
        <v>44</v>
      </c>
      <c r="F108" t="s">
        <v>16</v>
      </c>
      <c r="G108" s="7">
        <v>4</v>
      </c>
      <c r="H108" s="8">
        <v>10.029999999999999</v>
      </c>
      <c r="I108" s="9">
        <v>10</v>
      </c>
      <c r="J108" s="8">
        <v>36.11</v>
      </c>
      <c r="K108" s="8">
        <v>22.37</v>
      </c>
      <c r="L108" t="s">
        <v>33</v>
      </c>
    </row>
    <row r="109" spans="1:12" x14ac:dyDescent="0.25">
      <c r="A109" t="s">
        <v>243</v>
      </c>
      <c r="B109" s="6">
        <v>45338</v>
      </c>
      <c r="C109" t="s">
        <v>244</v>
      </c>
      <c r="D109" t="s">
        <v>24</v>
      </c>
      <c r="E109" t="s">
        <v>21</v>
      </c>
      <c r="F109" t="s">
        <v>16</v>
      </c>
      <c r="G109" s="7">
        <v>2</v>
      </c>
      <c r="H109" s="8">
        <v>22.24</v>
      </c>
      <c r="I109" s="9">
        <v>0</v>
      </c>
      <c r="J109" s="8">
        <v>44.48</v>
      </c>
      <c r="K109" s="8">
        <v>22.37</v>
      </c>
      <c r="L109" t="s">
        <v>33</v>
      </c>
    </row>
    <row r="110" spans="1:12" x14ac:dyDescent="0.25">
      <c r="A110" t="s">
        <v>245</v>
      </c>
      <c r="B110" s="6">
        <v>45805</v>
      </c>
      <c r="C110" t="s">
        <v>246</v>
      </c>
      <c r="D110" t="s">
        <v>20</v>
      </c>
      <c r="E110" t="s">
        <v>47</v>
      </c>
      <c r="F110" t="s">
        <v>16</v>
      </c>
      <c r="G110" s="7">
        <v>1</v>
      </c>
      <c r="H110" s="8">
        <v>46.41</v>
      </c>
      <c r="I110" s="9">
        <v>15</v>
      </c>
      <c r="J110" s="8">
        <v>39.450000000000003</v>
      </c>
      <c r="K110" s="8">
        <v>22.39</v>
      </c>
      <c r="L110" t="s">
        <v>33</v>
      </c>
    </row>
    <row r="111" spans="1:12" x14ac:dyDescent="0.25">
      <c r="A111" t="s">
        <v>247</v>
      </c>
      <c r="B111" s="6">
        <v>45545</v>
      </c>
      <c r="C111" t="s">
        <v>248</v>
      </c>
      <c r="D111" t="s">
        <v>31</v>
      </c>
      <c r="E111" t="s">
        <v>25</v>
      </c>
      <c r="F111" t="s">
        <v>16</v>
      </c>
      <c r="G111" s="7">
        <v>1</v>
      </c>
      <c r="H111" s="8">
        <v>40.299999999999997</v>
      </c>
      <c r="I111" s="9">
        <v>10</v>
      </c>
      <c r="J111" s="8">
        <v>36.270000000000003</v>
      </c>
      <c r="K111" s="8">
        <v>22.49</v>
      </c>
      <c r="L111" t="s">
        <v>33</v>
      </c>
    </row>
    <row r="112" spans="1:12" x14ac:dyDescent="0.25">
      <c r="A112" t="s">
        <v>249</v>
      </c>
      <c r="B112" s="6">
        <v>45498</v>
      </c>
      <c r="C112" t="s">
        <v>250</v>
      </c>
      <c r="D112" t="s">
        <v>20</v>
      </c>
      <c r="E112" t="s">
        <v>44</v>
      </c>
      <c r="F112" t="s">
        <v>16</v>
      </c>
      <c r="G112" s="7">
        <v>4</v>
      </c>
      <c r="H112" s="8">
        <v>14.46</v>
      </c>
      <c r="I112" s="9">
        <v>10</v>
      </c>
      <c r="J112" s="8">
        <v>52.06</v>
      </c>
      <c r="K112" s="8">
        <v>22.64</v>
      </c>
      <c r="L112" t="s">
        <v>17</v>
      </c>
    </row>
    <row r="113" spans="1:12" x14ac:dyDescent="0.25">
      <c r="A113" t="s">
        <v>251</v>
      </c>
      <c r="B113" s="6">
        <v>45598</v>
      </c>
      <c r="C113" t="s">
        <v>252</v>
      </c>
      <c r="D113" t="s">
        <v>31</v>
      </c>
      <c r="E113" t="s">
        <v>25</v>
      </c>
      <c r="F113" t="s">
        <v>16</v>
      </c>
      <c r="G113" s="7">
        <v>1</v>
      </c>
      <c r="H113" s="8">
        <v>49.17</v>
      </c>
      <c r="I113" s="9">
        <v>5</v>
      </c>
      <c r="J113" s="8">
        <v>46.71</v>
      </c>
      <c r="K113" s="8">
        <v>22.67</v>
      </c>
      <c r="L113" t="s">
        <v>33</v>
      </c>
    </row>
    <row r="114" spans="1:12" x14ac:dyDescent="0.25">
      <c r="A114" t="s">
        <v>253</v>
      </c>
      <c r="B114" s="6">
        <v>45367</v>
      </c>
      <c r="C114" t="s">
        <v>254</v>
      </c>
      <c r="D114" t="s">
        <v>24</v>
      </c>
      <c r="E114" t="s">
        <v>44</v>
      </c>
      <c r="F114" t="s">
        <v>16</v>
      </c>
      <c r="G114" s="7">
        <v>3</v>
      </c>
      <c r="H114" s="8">
        <v>13.1</v>
      </c>
      <c r="I114" s="9">
        <v>0</v>
      </c>
      <c r="J114" s="8">
        <v>39.299999999999997</v>
      </c>
      <c r="K114" s="8">
        <v>22.8</v>
      </c>
      <c r="L114" t="s">
        <v>33</v>
      </c>
    </row>
    <row r="115" spans="1:12" x14ac:dyDescent="0.25">
      <c r="A115" t="s">
        <v>255</v>
      </c>
      <c r="B115" s="6">
        <v>45810</v>
      </c>
      <c r="C115" t="s">
        <v>256</v>
      </c>
      <c r="D115" t="s">
        <v>31</v>
      </c>
      <c r="E115" t="s">
        <v>44</v>
      </c>
      <c r="F115" t="s">
        <v>16</v>
      </c>
      <c r="G115" s="7">
        <v>2</v>
      </c>
      <c r="H115" s="8">
        <v>24.88</v>
      </c>
      <c r="I115" s="9">
        <v>0</v>
      </c>
      <c r="J115" s="8">
        <v>49.76</v>
      </c>
      <c r="K115" s="8">
        <v>22.87</v>
      </c>
      <c r="L115" t="s">
        <v>17</v>
      </c>
    </row>
    <row r="116" spans="1:12" x14ac:dyDescent="0.25">
      <c r="A116" t="s">
        <v>257</v>
      </c>
      <c r="B116" s="6">
        <v>45330</v>
      </c>
      <c r="C116" t="s">
        <v>258</v>
      </c>
      <c r="D116" t="s">
        <v>31</v>
      </c>
      <c r="E116" t="s">
        <v>21</v>
      </c>
      <c r="F116" t="s">
        <v>16</v>
      </c>
      <c r="G116" s="7">
        <v>1</v>
      </c>
      <c r="H116" s="8">
        <v>46.72</v>
      </c>
      <c r="I116" s="9">
        <v>10</v>
      </c>
      <c r="J116" s="8">
        <v>42.05</v>
      </c>
      <c r="K116" s="8">
        <v>22.91</v>
      </c>
      <c r="L116" t="s">
        <v>33</v>
      </c>
    </row>
    <row r="117" spans="1:12" x14ac:dyDescent="0.25">
      <c r="A117" t="s">
        <v>259</v>
      </c>
      <c r="B117" s="6">
        <v>45445</v>
      </c>
      <c r="C117" t="s">
        <v>260</v>
      </c>
      <c r="D117" t="s">
        <v>36</v>
      </c>
      <c r="E117" t="s">
        <v>68</v>
      </c>
      <c r="F117" t="s">
        <v>16</v>
      </c>
      <c r="G117" s="7">
        <v>1</v>
      </c>
      <c r="H117" s="8">
        <v>49.03</v>
      </c>
      <c r="I117" s="9">
        <v>0</v>
      </c>
      <c r="J117" s="8">
        <v>49.03</v>
      </c>
      <c r="K117" s="8">
        <v>23.19</v>
      </c>
      <c r="L117" t="s">
        <v>33</v>
      </c>
    </row>
    <row r="118" spans="1:12" x14ac:dyDescent="0.25">
      <c r="A118" t="s">
        <v>261</v>
      </c>
      <c r="B118" s="6">
        <v>45753</v>
      </c>
      <c r="C118" t="s">
        <v>262</v>
      </c>
      <c r="D118" t="s">
        <v>31</v>
      </c>
      <c r="E118" t="s">
        <v>21</v>
      </c>
      <c r="F118" t="s">
        <v>16</v>
      </c>
      <c r="G118" s="7">
        <v>3</v>
      </c>
      <c r="H118" s="8">
        <v>14.71</v>
      </c>
      <c r="I118" s="9">
        <v>5</v>
      </c>
      <c r="J118" s="8">
        <v>41.92</v>
      </c>
      <c r="K118" s="8">
        <v>23.23</v>
      </c>
      <c r="L118" t="s">
        <v>33</v>
      </c>
    </row>
    <row r="119" spans="1:12" x14ac:dyDescent="0.25">
      <c r="A119" t="s">
        <v>263</v>
      </c>
      <c r="B119" s="6">
        <v>45867</v>
      </c>
      <c r="C119" t="s">
        <v>264</v>
      </c>
      <c r="D119" t="s">
        <v>31</v>
      </c>
      <c r="E119" t="s">
        <v>15</v>
      </c>
      <c r="F119" t="s">
        <v>16</v>
      </c>
      <c r="G119" s="7">
        <v>2</v>
      </c>
      <c r="H119" s="8">
        <v>24.12</v>
      </c>
      <c r="I119" s="9">
        <v>5</v>
      </c>
      <c r="J119" s="8">
        <v>45.83</v>
      </c>
      <c r="K119" s="8">
        <v>23.34</v>
      </c>
      <c r="L119" t="s">
        <v>17</v>
      </c>
    </row>
    <row r="120" spans="1:12" x14ac:dyDescent="0.25">
      <c r="A120" t="s">
        <v>265</v>
      </c>
      <c r="B120" s="6">
        <v>45805</v>
      </c>
      <c r="C120" t="s">
        <v>266</v>
      </c>
      <c r="D120" t="s">
        <v>14</v>
      </c>
      <c r="E120" t="s">
        <v>39</v>
      </c>
      <c r="F120" t="s">
        <v>16</v>
      </c>
      <c r="G120" s="7">
        <v>1</v>
      </c>
      <c r="H120" s="8">
        <v>36.840000000000003</v>
      </c>
      <c r="I120" s="9">
        <v>0</v>
      </c>
      <c r="J120" s="8">
        <v>36.840000000000003</v>
      </c>
      <c r="K120" s="8">
        <v>23.37</v>
      </c>
      <c r="L120" t="s">
        <v>17</v>
      </c>
    </row>
    <row r="121" spans="1:12" x14ac:dyDescent="0.25">
      <c r="A121" t="s">
        <v>267</v>
      </c>
      <c r="B121" s="6">
        <v>45423</v>
      </c>
      <c r="C121" t="s">
        <v>268</v>
      </c>
      <c r="D121" t="s">
        <v>31</v>
      </c>
      <c r="E121" t="s">
        <v>28</v>
      </c>
      <c r="F121" t="s">
        <v>16</v>
      </c>
      <c r="G121" s="7">
        <v>2</v>
      </c>
      <c r="H121" s="8">
        <v>29.09</v>
      </c>
      <c r="I121" s="9">
        <v>10</v>
      </c>
      <c r="J121" s="8">
        <v>52.36</v>
      </c>
      <c r="K121" s="8">
        <v>23.51</v>
      </c>
      <c r="L121" t="s">
        <v>33</v>
      </c>
    </row>
    <row r="122" spans="1:12" x14ac:dyDescent="0.25">
      <c r="A122" t="s">
        <v>269</v>
      </c>
      <c r="B122" s="6">
        <v>45959</v>
      </c>
      <c r="C122" t="s">
        <v>270</v>
      </c>
      <c r="D122" t="s">
        <v>36</v>
      </c>
      <c r="E122" t="s">
        <v>39</v>
      </c>
      <c r="F122" t="s">
        <v>16</v>
      </c>
      <c r="G122" s="7">
        <v>1</v>
      </c>
      <c r="H122" s="8">
        <v>49.22</v>
      </c>
      <c r="I122" s="9">
        <v>15</v>
      </c>
      <c r="J122" s="8">
        <v>41.84</v>
      </c>
      <c r="K122" s="8">
        <v>23.82</v>
      </c>
      <c r="L122" t="s">
        <v>17</v>
      </c>
    </row>
    <row r="123" spans="1:12" x14ac:dyDescent="0.25">
      <c r="A123" t="s">
        <v>271</v>
      </c>
      <c r="B123" s="6">
        <v>45632</v>
      </c>
      <c r="C123" t="s">
        <v>272</v>
      </c>
      <c r="D123" t="s">
        <v>14</v>
      </c>
      <c r="E123" t="s">
        <v>44</v>
      </c>
      <c r="F123" t="s">
        <v>16</v>
      </c>
      <c r="G123" s="7">
        <v>2</v>
      </c>
      <c r="H123" s="8">
        <v>23.36</v>
      </c>
      <c r="I123" s="9">
        <v>10</v>
      </c>
      <c r="J123" s="8">
        <v>42.05</v>
      </c>
      <c r="K123" s="8">
        <v>24.14</v>
      </c>
      <c r="L123" t="s">
        <v>17</v>
      </c>
    </row>
    <row r="124" spans="1:12" x14ac:dyDescent="0.25">
      <c r="A124" t="s">
        <v>273</v>
      </c>
      <c r="B124" s="6">
        <v>45679</v>
      </c>
      <c r="C124" t="s">
        <v>274</v>
      </c>
      <c r="D124" t="s">
        <v>36</v>
      </c>
      <c r="E124" t="s">
        <v>25</v>
      </c>
      <c r="F124" t="s">
        <v>16</v>
      </c>
      <c r="G124" s="7">
        <v>1</v>
      </c>
      <c r="H124" s="8">
        <v>45.21</v>
      </c>
      <c r="I124" s="9">
        <v>10</v>
      </c>
      <c r="J124" s="8">
        <v>40.69</v>
      </c>
      <c r="K124" s="8">
        <v>24.66</v>
      </c>
      <c r="L124" t="s">
        <v>17</v>
      </c>
    </row>
    <row r="125" spans="1:12" x14ac:dyDescent="0.25">
      <c r="A125" t="s">
        <v>275</v>
      </c>
      <c r="B125" s="6">
        <v>45586</v>
      </c>
      <c r="C125" t="s">
        <v>276</v>
      </c>
      <c r="D125" t="s">
        <v>14</v>
      </c>
      <c r="E125" t="s">
        <v>28</v>
      </c>
      <c r="F125" t="s">
        <v>16</v>
      </c>
      <c r="G125" s="7">
        <v>1</v>
      </c>
      <c r="H125" s="8">
        <v>49.62</v>
      </c>
      <c r="I125" s="9">
        <v>5</v>
      </c>
      <c r="J125" s="8">
        <v>47.14</v>
      </c>
      <c r="K125" s="8">
        <v>24.85</v>
      </c>
      <c r="L125" t="s">
        <v>33</v>
      </c>
    </row>
    <row r="126" spans="1:12" x14ac:dyDescent="0.25">
      <c r="A126" t="s">
        <v>277</v>
      </c>
      <c r="B126" s="6">
        <v>45590</v>
      </c>
      <c r="C126" t="s">
        <v>278</v>
      </c>
      <c r="D126" t="s">
        <v>31</v>
      </c>
      <c r="E126" t="s">
        <v>15</v>
      </c>
      <c r="F126" t="s">
        <v>16</v>
      </c>
      <c r="G126" s="7">
        <v>1</v>
      </c>
      <c r="H126" s="8">
        <v>38.909999999999997</v>
      </c>
      <c r="I126" s="9">
        <v>0</v>
      </c>
      <c r="J126" s="8">
        <v>38.909999999999997</v>
      </c>
      <c r="K126" s="8">
        <v>25.28</v>
      </c>
      <c r="L126" t="s">
        <v>17</v>
      </c>
    </row>
    <row r="127" spans="1:12" x14ac:dyDescent="0.25">
      <c r="A127" t="s">
        <v>279</v>
      </c>
      <c r="B127" s="6">
        <v>45700</v>
      </c>
      <c r="C127" t="s">
        <v>280</v>
      </c>
      <c r="D127" t="s">
        <v>36</v>
      </c>
      <c r="E127" t="s">
        <v>25</v>
      </c>
      <c r="F127" t="s">
        <v>16</v>
      </c>
      <c r="G127" s="7">
        <v>1</v>
      </c>
      <c r="H127" s="8">
        <v>49.28</v>
      </c>
      <c r="I127" s="9">
        <v>20</v>
      </c>
      <c r="J127" s="8">
        <v>39.42</v>
      </c>
      <c r="K127" s="8">
        <v>25.49</v>
      </c>
      <c r="L127" t="s">
        <v>33</v>
      </c>
    </row>
    <row r="128" spans="1:12" x14ac:dyDescent="0.25">
      <c r="A128" t="s">
        <v>281</v>
      </c>
      <c r="B128" s="6">
        <v>45344</v>
      </c>
      <c r="C128" t="s">
        <v>228</v>
      </c>
      <c r="D128" t="s">
        <v>14</v>
      </c>
      <c r="E128" t="s">
        <v>44</v>
      </c>
      <c r="F128" t="s">
        <v>16</v>
      </c>
      <c r="G128" s="7">
        <v>2</v>
      </c>
      <c r="H128" s="8">
        <v>29.21</v>
      </c>
      <c r="I128" s="9">
        <v>10</v>
      </c>
      <c r="J128" s="8">
        <v>52.58</v>
      </c>
      <c r="K128" s="8">
        <v>25.93</v>
      </c>
      <c r="L128" t="s">
        <v>33</v>
      </c>
    </row>
    <row r="129" spans="1:12" x14ac:dyDescent="0.25">
      <c r="A129" t="s">
        <v>282</v>
      </c>
      <c r="B129" s="6">
        <v>45309</v>
      </c>
      <c r="C129" t="s">
        <v>283</v>
      </c>
      <c r="D129" t="s">
        <v>31</v>
      </c>
      <c r="E129" t="s">
        <v>28</v>
      </c>
      <c r="F129" t="s">
        <v>16</v>
      </c>
      <c r="G129" s="7">
        <v>4</v>
      </c>
      <c r="H129" s="8">
        <v>16.170000000000002</v>
      </c>
      <c r="I129" s="9">
        <v>10</v>
      </c>
      <c r="J129" s="8">
        <v>58.21</v>
      </c>
      <c r="K129" s="8">
        <v>25.95</v>
      </c>
      <c r="L129" t="s">
        <v>33</v>
      </c>
    </row>
    <row r="130" spans="1:12" x14ac:dyDescent="0.25">
      <c r="A130" t="s">
        <v>284</v>
      </c>
      <c r="B130" s="6">
        <v>45795</v>
      </c>
      <c r="C130" t="s">
        <v>285</v>
      </c>
      <c r="D130" t="s">
        <v>31</v>
      </c>
      <c r="E130" t="s">
        <v>53</v>
      </c>
      <c r="F130" t="s">
        <v>16</v>
      </c>
      <c r="G130" s="7">
        <v>3</v>
      </c>
      <c r="H130" s="8">
        <v>25.85</v>
      </c>
      <c r="I130" s="9">
        <v>20</v>
      </c>
      <c r="J130" s="8">
        <v>62.04</v>
      </c>
      <c r="K130" s="8">
        <v>25.99</v>
      </c>
      <c r="L130" t="s">
        <v>33</v>
      </c>
    </row>
    <row r="131" spans="1:12" x14ac:dyDescent="0.25">
      <c r="A131" t="s">
        <v>286</v>
      </c>
      <c r="B131" s="6">
        <v>45984</v>
      </c>
      <c r="C131" t="s">
        <v>287</v>
      </c>
      <c r="D131" t="s">
        <v>20</v>
      </c>
      <c r="E131" t="s">
        <v>15</v>
      </c>
      <c r="F131" t="s">
        <v>16</v>
      </c>
      <c r="G131" s="7">
        <v>2</v>
      </c>
      <c r="H131" s="8">
        <v>22.66</v>
      </c>
      <c r="I131" s="9">
        <v>5</v>
      </c>
      <c r="J131" s="8">
        <v>43.05</v>
      </c>
      <c r="K131" s="8">
        <v>26.21</v>
      </c>
      <c r="L131" t="s">
        <v>17</v>
      </c>
    </row>
    <row r="132" spans="1:12" x14ac:dyDescent="0.25">
      <c r="A132" t="s">
        <v>288</v>
      </c>
      <c r="B132" s="6">
        <v>45761</v>
      </c>
      <c r="C132" t="s">
        <v>289</v>
      </c>
      <c r="D132" t="s">
        <v>24</v>
      </c>
      <c r="E132" t="s">
        <v>25</v>
      </c>
      <c r="F132" t="s">
        <v>16</v>
      </c>
      <c r="G132" s="7">
        <v>2</v>
      </c>
      <c r="H132" s="8">
        <v>32.15</v>
      </c>
      <c r="I132" s="9">
        <v>10</v>
      </c>
      <c r="J132" s="8">
        <v>57.87</v>
      </c>
      <c r="K132" s="8">
        <v>26.67</v>
      </c>
      <c r="L132" t="s">
        <v>33</v>
      </c>
    </row>
    <row r="133" spans="1:12" x14ac:dyDescent="0.25">
      <c r="A133" t="s">
        <v>290</v>
      </c>
      <c r="B133" s="6">
        <v>45527</v>
      </c>
      <c r="C133" t="s">
        <v>291</v>
      </c>
      <c r="D133" t="s">
        <v>24</v>
      </c>
      <c r="E133" t="s">
        <v>32</v>
      </c>
      <c r="F133" t="s">
        <v>16</v>
      </c>
      <c r="G133" s="7">
        <v>1</v>
      </c>
      <c r="H133" s="8">
        <v>48.1</v>
      </c>
      <c r="I133" s="9">
        <v>10</v>
      </c>
      <c r="J133" s="8">
        <v>43.29</v>
      </c>
      <c r="K133" s="8">
        <v>26.92</v>
      </c>
      <c r="L133" t="s">
        <v>33</v>
      </c>
    </row>
    <row r="134" spans="1:12" x14ac:dyDescent="0.25">
      <c r="A134" t="s">
        <v>292</v>
      </c>
      <c r="B134" s="6">
        <v>45618</v>
      </c>
      <c r="C134" t="s">
        <v>293</v>
      </c>
      <c r="D134" t="s">
        <v>36</v>
      </c>
      <c r="E134" t="s">
        <v>21</v>
      </c>
      <c r="F134" t="s">
        <v>16</v>
      </c>
      <c r="G134" s="7">
        <v>2</v>
      </c>
      <c r="H134" s="8">
        <v>34.520000000000003</v>
      </c>
      <c r="I134" s="9">
        <v>25</v>
      </c>
      <c r="J134" s="8">
        <v>51.78</v>
      </c>
      <c r="K134" s="8">
        <v>26.93</v>
      </c>
      <c r="L134" t="s">
        <v>48</v>
      </c>
    </row>
    <row r="135" spans="1:12" x14ac:dyDescent="0.25">
      <c r="A135" t="s">
        <v>294</v>
      </c>
      <c r="B135" s="6">
        <v>45788</v>
      </c>
      <c r="C135" t="s">
        <v>295</v>
      </c>
      <c r="D135" t="s">
        <v>20</v>
      </c>
      <c r="E135" t="s">
        <v>68</v>
      </c>
      <c r="F135" t="s">
        <v>16</v>
      </c>
      <c r="G135" s="7">
        <v>4</v>
      </c>
      <c r="H135" s="8">
        <v>15.95</v>
      </c>
      <c r="I135" s="9">
        <v>25</v>
      </c>
      <c r="J135" s="8">
        <v>47.85</v>
      </c>
      <c r="K135" s="8">
        <v>27.28</v>
      </c>
      <c r="L135" t="s">
        <v>17</v>
      </c>
    </row>
    <row r="136" spans="1:12" x14ac:dyDescent="0.25">
      <c r="A136" t="s">
        <v>296</v>
      </c>
      <c r="B136" s="6">
        <v>45917</v>
      </c>
      <c r="C136" t="s">
        <v>297</v>
      </c>
      <c r="D136" t="s">
        <v>31</v>
      </c>
      <c r="E136" t="s">
        <v>21</v>
      </c>
      <c r="F136" t="s">
        <v>16</v>
      </c>
      <c r="G136" s="7">
        <v>2</v>
      </c>
      <c r="H136" s="8">
        <v>23.62</v>
      </c>
      <c r="I136" s="9">
        <v>10</v>
      </c>
      <c r="J136" s="8">
        <v>42.52</v>
      </c>
      <c r="K136" s="8">
        <v>27.61</v>
      </c>
      <c r="L136" t="s">
        <v>33</v>
      </c>
    </row>
    <row r="137" spans="1:12" x14ac:dyDescent="0.25">
      <c r="A137" t="s">
        <v>298</v>
      </c>
      <c r="B137" s="6">
        <v>45518</v>
      </c>
      <c r="C137" t="s">
        <v>299</v>
      </c>
      <c r="D137" t="s">
        <v>14</v>
      </c>
      <c r="E137" t="s">
        <v>25</v>
      </c>
      <c r="F137" t="s">
        <v>16</v>
      </c>
      <c r="G137" s="7">
        <v>2</v>
      </c>
      <c r="H137" s="8">
        <v>22.99</v>
      </c>
      <c r="I137" s="9">
        <v>5</v>
      </c>
      <c r="J137" s="8">
        <v>43.68</v>
      </c>
      <c r="K137" s="8">
        <v>27.9</v>
      </c>
      <c r="L137" t="s">
        <v>33</v>
      </c>
    </row>
    <row r="138" spans="1:12" x14ac:dyDescent="0.25">
      <c r="A138" t="s">
        <v>300</v>
      </c>
      <c r="B138" s="6">
        <v>45492</v>
      </c>
      <c r="C138" t="s">
        <v>301</v>
      </c>
      <c r="D138" t="s">
        <v>14</v>
      </c>
      <c r="E138" t="s">
        <v>44</v>
      </c>
      <c r="F138" t="s">
        <v>16</v>
      </c>
      <c r="G138" s="7">
        <v>2</v>
      </c>
      <c r="H138" s="8">
        <v>31.62</v>
      </c>
      <c r="I138" s="9">
        <v>25</v>
      </c>
      <c r="J138" s="8">
        <v>47.43</v>
      </c>
      <c r="K138" s="8">
        <v>28.41</v>
      </c>
      <c r="L138" t="s">
        <v>17</v>
      </c>
    </row>
    <row r="139" spans="1:12" x14ac:dyDescent="0.25">
      <c r="A139" t="s">
        <v>302</v>
      </c>
      <c r="B139" s="6">
        <v>45641</v>
      </c>
      <c r="C139" t="s">
        <v>303</v>
      </c>
      <c r="D139" t="s">
        <v>36</v>
      </c>
      <c r="E139" t="s">
        <v>25</v>
      </c>
      <c r="F139" t="s">
        <v>16</v>
      </c>
      <c r="G139" s="7">
        <v>3</v>
      </c>
      <c r="H139" s="8">
        <v>15.92</v>
      </c>
      <c r="I139" s="9">
        <v>5</v>
      </c>
      <c r="J139" s="8">
        <v>45.37</v>
      </c>
      <c r="K139" s="8">
        <v>28.5</v>
      </c>
      <c r="L139" t="s">
        <v>17</v>
      </c>
    </row>
    <row r="140" spans="1:12" x14ac:dyDescent="0.25">
      <c r="A140" t="s">
        <v>304</v>
      </c>
      <c r="B140" s="6">
        <v>45693</v>
      </c>
      <c r="C140" t="s">
        <v>305</v>
      </c>
      <c r="D140" t="s">
        <v>24</v>
      </c>
      <c r="E140" t="s">
        <v>32</v>
      </c>
      <c r="F140" t="s">
        <v>16</v>
      </c>
      <c r="G140" s="7">
        <v>3</v>
      </c>
      <c r="H140" s="8">
        <v>20.82</v>
      </c>
      <c r="I140" s="9">
        <v>10</v>
      </c>
      <c r="J140" s="8">
        <v>56.21</v>
      </c>
      <c r="K140" s="8">
        <v>28.92</v>
      </c>
      <c r="L140" t="s">
        <v>33</v>
      </c>
    </row>
    <row r="141" spans="1:12" x14ac:dyDescent="0.25">
      <c r="A141" t="s">
        <v>306</v>
      </c>
      <c r="B141" s="6">
        <v>45863</v>
      </c>
      <c r="C141" t="s">
        <v>307</v>
      </c>
      <c r="D141" t="s">
        <v>20</v>
      </c>
      <c r="E141" t="s">
        <v>15</v>
      </c>
      <c r="F141" t="s">
        <v>16</v>
      </c>
      <c r="G141" s="7">
        <v>2</v>
      </c>
      <c r="H141" s="8">
        <v>29.3</v>
      </c>
      <c r="I141" s="9">
        <v>20</v>
      </c>
      <c r="J141" s="8">
        <v>46.88</v>
      </c>
      <c r="K141" s="8">
        <v>29.05</v>
      </c>
      <c r="L141" t="s">
        <v>33</v>
      </c>
    </row>
    <row r="142" spans="1:12" x14ac:dyDescent="0.25">
      <c r="A142" t="s">
        <v>308</v>
      </c>
      <c r="B142" s="6">
        <v>45954</v>
      </c>
      <c r="C142" t="s">
        <v>309</v>
      </c>
      <c r="D142" t="s">
        <v>20</v>
      </c>
      <c r="E142" t="s">
        <v>68</v>
      </c>
      <c r="F142" t="s">
        <v>16</v>
      </c>
      <c r="G142" s="7">
        <v>2</v>
      </c>
      <c r="H142" s="8">
        <v>27.71</v>
      </c>
      <c r="I142" s="9">
        <v>0</v>
      </c>
      <c r="J142" s="8">
        <v>55.42</v>
      </c>
      <c r="K142" s="8">
        <v>29.08</v>
      </c>
      <c r="L142" t="s">
        <v>17</v>
      </c>
    </row>
    <row r="143" spans="1:12" x14ac:dyDescent="0.25">
      <c r="A143" t="s">
        <v>310</v>
      </c>
      <c r="B143" s="6">
        <v>45830</v>
      </c>
      <c r="C143" t="s">
        <v>311</v>
      </c>
      <c r="D143" t="s">
        <v>20</v>
      </c>
      <c r="E143" t="s">
        <v>28</v>
      </c>
      <c r="F143" t="s">
        <v>16</v>
      </c>
      <c r="G143" s="7">
        <v>2</v>
      </c>
      <c r="H143" s="8">
        <v>36.299999999999997</v>
      </c>
      <c r="I143" s="9">
        <v>0</v>
      </c>
      <c r="J143" s="8">
        <v>72.599999999999994</v>
      </c>
      <c r="K143" s="8">
        <v>29.48</v>
      </c>
      <c r="L143" t="s">
        <v>33</v>
      </c>
    </row>
    <row r="144" spans="1:12" x14ac:dyDescent="0.25">
      <c r="A144" t="s">
        <v>312</v>
      </c>
      <c r="B144" s="6">
        <v>45579</v>
      </c>
      <c r="C144" t="s">
        <v>313</v>
      </c>
      <c r="D144" t="s">
        <v>36</v>
      </c>
      <c r="E144" t="s">
        <v>68</v>
      </c>
      <c r="F144" t="s">
        <v>16</v>
      </c>
      <c r="G144" s="7">
        <v>4</v>
      </c>
      <c r="H144" s="8">
        <v>14.98</v>
      </c>
      <c r="I144" s="9">
        <v>10</v>
      </c>
      <c r="J144" s="8">
        <v>53.93</v>
      </c>
      <c r="K144" s="8">
        <v>29.86</v>
      </c>
      <c r="L144" t="s">
        <v>33</v>
      </c>
    </row>
    <row r="145" spans="1:12" x14ac:dyDescent="0.25">
      <c r="A145" t="s">
        <v>314</v>
      </c>
      <c r="B145" s="6">
        <v>45994</v>
      </c>
      <c r="C145" t="s">
        <v>315</v>
      </c>
      <c r="D145" t="s">
        <v>14</v>
      </c>
      <c r="E145" t="s">
        <v>39</v>
      </c>
      <c r="F145" t="s">
        <v>16</v>
      </c>
      <c r="G145" s="7">
        <v>2</v>
      </c>
      <c r="H145" s="8">
        <v>28.44</v>
      </c>
      <c r="I145" s="9">
        <v>10</v>
      </c>
      <c r="J145" s="8">
        <v>51.19</v>
      </c>
      <c r="K145" s="8">
        <v>29.95</v>
      </c>
      <c r="L145" t="s">
        <v>33</v>
      </c>
    </row>
    <row r="146" spans="1:12" x14ac:dyDescent="0.25">
      <c r="A146" t="s">
        <v>316</v>
      </c>
      <c r="B146" s="6">
        <v>45738</v>
      </c>
      <c r="C146" t="s">
        <v>317</v>
      </c>
      <c r="D146" t="s">
        <v>14</v>
      </c>
      <c r="E146" t="s">
        <v>39</v>
      </c>
      <c r="F146" t="s">
        <v>16</v>
      </c>
      <c r="G146" s="7">
        <v>2</v>
      </c>
      <c r="H146" s="8">
        <v>24.36</v>
      </c>
      <c r="I146" s="9">
        <v>0</v>
      </c>
      <c r="J146" s="8">
        <v>48.72</v>
      </c>
      <c r="K146" s="8">
        <v>29.97</v>
      </c>
      <c r="L146" t="s">
        <v>17</v>
      </c>
    </row>
    <row r="147" spans="1:12" x14ac:dyDescent="0.25">
      <c r="A147" t="s">
        <v>318</v>
      </c>
      <c r="B147" s="6">
        <v>45547</v>
      </c>
      <c r="C147" t="s">
        <v>319</v>
      </c>
      <c r="D147" t="s">
        <v>24</v>
      </c>
      <c r="E147" t="s">
        <v>47</v>
      </c>
      <c r="F147" t="s">
        <v>16</v>
      </c>
      <c r="G147" s="7">
        <v>2</v>
      </c>
      <c r="H147" s="8">
        <v>28.5</v>
      </c>
      <c r="I147" s="9">
        <v>0</v>
      </c>
      <c r="J147" s="8">
        <v>57</v>
      </c>
      <c r="K147" s="8">
        <v>30.09</v>
      </c>
      <c r="L147" t="s">
        <v>33</v>
      </c>
    </row>
    <row r="148" spans="1:12" x14ac:dyDescent="0.25">
      <c r="A148" t="s">
        <v>320</v>
      </c>
      <c r="B148" s="6">
        <v>45905</v>
      </c>
      <c r="C148" t="s">
        <v>321</v>
      </c>
      <c r="D148" t="s">
        <v>14</v>
      </c>
      <c r="E148" t="s">
        <v>44</v>
      </c>
      <c r="F148" t="s">
        <v>16</v>
      </c>
      <c r="G148" s="7">
        <v>2</v>
      </c>
      <c r="H148" s="8">
        <v>30.21</v>
      </c>
      <c r="I148" s="9">
        <v>0</v>
      </c>
      <c r="J148" s="8">
        <v>60.42</v>
      </c>
      <c r="K148" s="8">
        <v>30.09</v>
      </c>
      <c r="L148" t="s">
        <v>33</v>
      </c>
    </row>
    <row r="149" spans="1:12" x14ac:dyDescent="0.25">
      <c r="A149" t="s">
        <v>322</v>
      </c>
      <c r="B149" s="6">
        <v>45788</v>
      </c>
      <c r="C149" t="s">
        <v>323</v>
      </c>
      <c r="D149" t="s">
        <v>31</v>
      </c>
      <c r="E149" t="s">
        <v>68</v>
      </c>
      <c r="F149" t="s">
        <v>16</v>
      </c>
      <c r="G149" s="7">
        <v>2</v>
      </c>
      <c r="H149" s="8">
        <v>29.89</v>
      </c>
      <c r="I149" s="9">
        <v>0</v>
      </c>
      <c r="J149" s="8">
        <v>59.78</v>
      </c>
      <c r="K149" s="8">
        <v>30.14</v>
      </c>
      <c r="L149" t="s">
        <v>33</v>
      </c>
    </row>
    <row r="150" spans="1:12" x14ac:dyDescent="0.25">
      <c r="A150" t="s">
        <v>324</v>
      </c>
      <c r="B150" s="6">
        <v>45948</v>
      </c>
      <c r="C150" t="s">
        <v>325</v>
      </c>
      <c r="D150" t="s">
        <v>31</v>
      </c>
      <c r="E150" t="s">
        <v>53</v>
      </c>
      <c r="F150" t="s">
        <v>16</v>
      </c>
      <c r="G150" s="7">
        <v>4</v>
      </c>
      <c r="H150" s="8">
        <v>16.04</v>
      </c>
      <c r="I150" s="9">
        <v>5</v>
      </c>
      <c r="J150" s="8">
        <v>60.95</v>
      </c>
      <c r="K150" s="8">
        <v>30.41</v>
      </c>
      <c r="L150" t="s">
        <v>17</v>
      </c>
    </row>
    <row r="151" spans="1:12" x14ac:dyDescent="0.25">
      <c r="A151" t="s">
        <v>326</v>
      </c>
      <c r="B151" s="6">
        <v>45358</v>
      </c>
      <c r="C151" t="s">
        <v>327</v>
      </c>
      <c r="D151" t="s">
        <v>14</v>
      </c>
      <c r="E151" t="s">
        <v>28</v>
      </c>
      <c r="F151" t="s">
        <v>16</v>
      </c>
      <c r="G151" s="7">
        <v>3</v>
      </c>
      <c r="H151" s="8">
        <v>26.14</v>
      </c>
      <c r="I151" s="9">
        <v>15</v>
      </c>
      <c r="J151" s="8">
        <v>66.66</v>
      </c>
      <c r="K151" s="8">
        <v>30.63</v>
      </c>
      <c r="L151" t="s">
        <v>33</v>
      </c>
    </row>
    <row r="152" spans="1:12" x14ac:dyDescent="0.25">
      <c r="A152" t="s">
        <v>328</v>
      </c>
      <c r="B152" s="6">
        <v>45753</v>
      </c>
      <c r="C152" t="s">
        <v>329</v>
      </c>
      <c r="D152" t="s">
        <v>24</v>
      </c>
      <c r="E152" t="s">
        <v>47</v>
      </c>
      <c r="F152" t="s">
        <v>16</v>
      </c>
      <c r="G152" s="7">
        <v>2</v>
      </c>
      <c r="H152" s="8">
        <v>42.15</v>
      </c>
      <c r="I152" s="9">
        <v>15</v>
      </c>
      <c r="J152" s="8">
        <v>71.66</v>
      </c>
      <c r="K152" s="8">
        <v>31.05</v>
      </c>
      <c r="L152" t="s">
        <v>33</v>
      </c>
    </row>
    <row r="153" spans="1:12" x14ac:dyDescent="0.25">
      <c r="A153" t="s">
        <v>330</v>
      </c>
      <c r="B153" s="6">
        <v>45957</v>
      </c>
      <c r="C153" t="s">
        <v>331</v>
      </c>
      <c r="D153" t="s">
        <v>20</v>
      </c>
      <c r="E153" t="s">
        <v>25</v>
      </c>
      <c r="F153" t="s">
        <v>16</v>
      </c>
      <c r="G153" s="7">
        <v>2</v>
      </c>
      <c r="H153" s="8">
        <v>30.94</v>
      </c>
      <c r="I153" s="9">
        <v>0</v>
      </c>
      <c r="J153" s="8">
        <v>61.88</v>
      </c>
      <c r="K153" s="8">
        <v>31.12</v>
      </c>
      <c r="L153" t="s">
        <v>33</v>
      </c>
    </row>
    <row r="154" spans="1:12" x14ac:dyDescent="0.25">
      <c r="A154" t="s">
        <v>332</v>
      </c>
      <c r="B154" s="6">
        <v>45859</v>
      </c>
      <c r="C154" t="s">
        <v>333</v>
      </c>
      <c r="D154" t="s">
        <v>36</v>
      </c>
      <c r="E154" t="s">
        <v>44</v>
      </c>
      <c r="F154" t="s">
        <v>16</v>
      </c>
      <c r="G154" s="7">
        <v>2</v>
      </c>
      <c r="H154" s="8">
        <v>31.66</v>
      </c>
      <c r="I154" s="9">
        <v>15</v>
      </c>
      <c r="J154" s="8">
        <v>53.82</v>
      </c>
      <c r="K154" s="8">
        <v>31.53</v>
      </c>
      <c r="L154" t="s">
        <v>33</v>
      </c>
    </row>
    <row r="155" spans="1:12" x14ac:dyDescent="0.25">
      <c r="A155" t="s">
        <v>334</v>
      </c>
      <c r="B155" s="6">
        <v>45319</v>
      </c>
      <c r="C155" t="s">
        <v>335</v>
      </c>
      <c r="D155" t="s">
        <v>20</v>
      </c>
      <c r="E155" t="s">
        <v>15</v>
      </c>
      <c r="F155" t="s">
        <v>16</v>
      </c>
      <c r="G155" s="7">
        <v>2</v>
      </c>
      <c r="H155" s="8">
        <v>39.51</v>
      </c>
      <c r="I155" s="9">
        <v>25</v>
      </c>
      <c r="J155" s="8">
        <v>59.27</v>
      </c>
      <c r="K155" s="8">
        <v>32.22</v>
      </c>
      <c r="L155" t="s">
        <v>33</v>
      </c>
    </row>
    <row r="156" spans="1:12" x14ac:dyDescent="0.25">
      <c r="A156" t="s">
        <v>336</v>
      </c>
      <c r="B156" s="6">
        <v>45876</v>
      </c>
      <c r="C156" t="s">
        <v>337</v>
      </c>
      <c r="D156" t="s">
        <v>36</v>
      </c>
      <c r="E156" t="s">
        <v>21</v>
      </c>
      <c r="F156" t="s">
        <v>16</v>
      </c>
      <c r="G156" s="7">
        <v>2</v>
      </c>
      <c r="H156" s="8">
        <v>47.33</v>
      </c>
      <c r="I156" s="9">
        <v>15</v>
      </c>
      <c r="J156" s="8">
        <v>80.459999999999994</v>
      </c>
      <c r="K156" s="8">
        <v>32.799999999999997</v>
      </c>
      <c r="L156" t="s">
        <v>48</v>
      </c>
    </row>
    <row r="157" spans="1:12" x14ac:dyDescent="0.25">
      <c r="A157" t="s">
        <v>338</v>
      </c>
      <c r="B157" s="6">
        <v>45589</v>
      </c>
      <c r="C157" t="s">
        <v>339</v>
      </c>
      <c r="D157" t="s">
        <v>20</v>
      </c>
      <c r="E157" t="s">
        <v>68</v>
      </c>
      <c r="F157" t="s">
        <v>16</v>
      </c>
      <c r="G157" s="7">
        <v>3</v>
      </c>
      <c r="H157" s="8">
        <v>22.03</v>
      </c>
      <c r="I157" s="9">
        <v>5</v>
      </c>
      <c r="J157" s="8">
        <v>62.79</v>
      </c>
      <c r="K157" s="8">
        <v>33.01</v>
      </c>
      <c r="L157" t="s">
        <v>33</v>
      </c>
    </row>
    <row r="158" spans="1:12" x14ac:dyDescent="0.25">
      <c r="A158" t="s">
        <v>340</v>
      </c>
      <c r="B158" s="6">
        <v>45624</v>
      </c>
      <c r="C158" t="s">
        <v>341</v>
      </c>
      <c r="D158" t="s">
        <v>24</v>
      </c>
      <c r="E158" t="s">
        <v>68</v>
      </c>
      <c r="F158" t="s">
        <v>16</v>
      </c>
      <c r="G158" s="7">
        <v>2</v>
      </c>
      <c r="H158" s="8">
        <v>44.74</v>
      </c>
      <c r="I158" s="9">
        <v>10</v>
      </c>
      <c r="J158" s="8">
        <v>80.53</v>
      </c>
      <c r="K158" s="8">
        <v>33.020000000000003</v>
      </c>
      <c r="L158" t="s">
        <v>33</v>
      </c>
    </row>
    <row r="159" spans="1:12" x14ac:dyDescent="0.25">
      <c r="A159" t="s">
        <v>342</v>
      </c>
      <c r="B159" s="6">
        <v>45937</v>
      </c>
      <c r="C159" t="s">
        <v>343</v>
      </c>
      <c r="D159" t="s">
        <v>24</v>
      </c>
      <c r="E159" t="s">
        <v>28</v>
      </c>
      <c r="F159" t="s">
        <v>16</v>
      </c>
      <c r="G159" s="7">
        <v>2</v>
      </c>
      <c r="H159" s="8">
        <v>34.24</v>
      </c>
      <c r="I159" s="9">
        <v>10</v>
      </c>
      <c r="J159" s="8">
        <v>61.63</v>
      </c>
      <c r="K159" s="8">
        <v>33.03</v>
      </c>
      <c r="L159" t="s">
        <v>17</v>
      </c>
    </row>
    <row r="160" spans="1:12" x14ac:dyDescent="0.25">
      <c r="A160" t="s">
        <v>344</v>
      </c>
      <c r="B160" s="6">
        <v>45610</v>
      </c>
      <c r="C160" t="s">
        <v>345</v>
      </c>
      <c r="D160" t="s">
        <v>31</v>
      </c>
      <c r="E160" t="s">
        <v>44</v>
      </c>
      <c r="F160" t="s">
        <v>16</v>
      </c>
      <c r="G160" s="7">
        <v>2</v>
      </c>
      <c r="H160" s="8">
        <v>39.74</v>
      </c>
      <c r="I160" s="9">
        <v>10</v>
      </c>
      <c r="J160" s="8">
        <v>71.53</v>
      </c>
      <c r="K160" s="8">
        <v>33.369999999999997</v>
      </c>
      <c r="L160" t="s">
        <v>33</v>
      </c>
    </row>
    <row r="161" spans="1:12" x14ac:dyDescent="0.25">
      <c r="A161" t="s">
        <v>346</v>
      </c>
      <c r="B161" s="6">
        <v>45986</v>
      </c>
      <c r="C161" t="s">
        <v>331</v>
      </c>
      <c r="D161" t="s">
        <v>14</v>
      </c>
      <c r="E161" t="s">
        <v>21</v>
      </c>
      <c r="F161" t="s">
        <v>16</v>
      </c>
      <c r="G161" s="7">
        <v>2</v>
      </c>
      <c r="H161" s="8">
        <v>30.19</v>
      </c>
      <c r="I161" s="9">
        <v>0</v>
      </c>
      <c r="J161" s="8">
        <v>60.38</v>
      </c>
      <c r="K161" s="8">
        <v>34.22</v>
      </c>
      <c r="L161" t="s">
        <v>48</v>
      </c>
    </row>
    <row r="162" spans="1:12" x14ac:dyDescent="0.25">
      <c r="A162" t="s">
        <v>347</v>
      </c>
      <c r="B162" s="6">
        <v>45499</v>
      </c>
      <c r="C162" t="s">
        <v>348</v>
      </c>
      <c r="D162" t="s">
        <v>36</v>
      </c>
      <c r="E162" t="s">
        <v>53</v>
      </c>
      <c r="F162" t="s">
        <v>16</v>
      </c>
      <c r="G162" s="7">
        <v>3</v>
      </c>
      <c r="H162" s="8">
        <v>31.47</v>
      </c>
      <c r="I162" s="9">
        <v>20</v>
      </c>
      <c r="J162" s="8">
        <v>75.53</v>
      </c>
      <c r="K162" s="8">
        <v>35.4</v>
      </c>
      <c r="L162" t="s">
        <v>33</v>
      </c>
    </row>
    <row r="163" spans="1:12" x14ac:dyDescent="0.25">
      <c r="A163" t="s">
        <v>349</v>
      </c>
      <c r="B163" s="6">
        <v>45630</v>
      </c>
      <c r="C163" t="s">
        <v>350</v>
      </c>
      <c r="D163" t="s">
        <v>20</v>
      </c>
      <c r="E163" t="s">
        <v>32</v>
      </c>
      <c r="F163" t="s">
        <v>16</v>
      </c>
      <c r="G163" s="7">
        <v>2</v>
      </c>
      <c r="H163" s="8">
        <v>39.520000000000003</v>
      </c>
      <c r="I163" s="9">
        <v>10</v>
      </c>
      <c r="J163" s="8">
        <v>71.14</v>
      </c>
      <c r="K163" s="8">
        <v>35.74</v>
      </c>
      <c r="L163" t="s">
        <v>17</v>
      </c>
    </row>
    <row r="164" spans="1:12" x14ac:dyDescent="0.25">
      <c r="A164" t="s">
        <v>351</v>
      </c>
      <c r="B164" s="6">
        <v>45583</v>
      </c>
      <c r="C164" t="s">
        <v>352</v>
      </c>
      <c r="D164" t="s">
        <v>20</v>
      </c>
      <c r="E164" t="s">
        <v>53</v>
      </c>
      <c r="F164" t="s">
        <v>16</v>
      </c>
      <c r="G164" s="7">
        <v>2</v>
      </c>
      <c r="H164" s="8">
        <v>32.479999999999997</v>
      </c>
      <c r="I164" s="9">
        <v>5</v>
      </c>
      <c r="J164" s="8">
        <v>61.71</v>
      </c>
      <c r="K164" s="8">
        <v>35.799999999999997</v>
      </c>
      <c r="L164" t="s">
        <v>33</v>
      </c>
    </row>
    <row r="165" spans="1:12" x14ac:dyDescent="0.25">
      <c r="A165" t="s">
        <v>353</v>
      </c>
      <c r="B165" s="6">
        <v>45410</v>
      </c>
      <c r="C165" t="s">
        <v>354</v>
      </c>
      <c r="D165" t="s">
        <v>36</v>
      </c>
      <c r="E165" t="s">
        <v>47</v>
      </c>
      <c r="F165" t="s">
        <v>16</v>
      </c>
      <c r="G165" s="7">
        <v>2</v>
      </c>
      <c r="H165" s="8">
        <v>40.89</v>
      </c>
      <c r="I165" s="9">
        <v>5</v>
      </c>
      <c r="J165" s="8">
        <v>77.69</v>
      </c>
      <c r="K165" s="8">
        <v>36.36</v>
      </c>
      <c r="L165" t="s">
        <v>33</v>
      </c>
    </row>
    <row r="166" spans="1:12" x14ac:dyDescent="0.25">
      <c r="A166" t="s">
        <v>355</v>
      </c>
      <c r="B166" s="6">
        <v>45974</v>
      </c>
      <c r="C166" t="s">
        <v>356</v>
      </c>
      <c r="D166" t="s">
        <v>36</v>
      </c>
      <c r="E166" t="s">
        <v>44</v>
      </c>
      <c r="F166" t="s">
        <v>16</v>
      </c>
      <c r="G166" s="7">
        <v>2</v>
      </c>
      <c r="H166" s="8">
        <v>42.12</v>
      </c>
      <c r="I166" s="9">
        <v>0</v>
      </c>
      <c r="J166" s="8">
        <v>84.24</v>
      </c>
      <c r="K166" s="8">
        <v>36.6</v>
      </c>
      <c r="L166" t="s">
        <v>33</v>
      </c>
    </row>
    <row r="167" spans="1:12" x14ac:dyDescent="0.25">
      <c r="A167" t="s">
        <v>357</v>
      </c>
      <c r="B167" s="6">
        <v>45830</v>
      </c>
      <c r="C167" t="s">
        <v>358</v>
      </c>
      <c r="D167" t="s">
        <v>36</v>
      </c>
      <c r="E167" t="s">
        <v>44</v>
      </c>
      <c r="F167" t="s">
        <v>16</v>
      </c>
      <c r="G167" s="7">
        <v>2</v>
      </c>
      <c r="H167" s="8">
        <v>31.83</v>
      </c>
      <c r="I167" s="9">
        <v>0</v>
      </c>
      <c r="J167" s="8">
        <v>63.66</v>
      </c>
      <c r="K167" s="8">
        <v>37.229999999999997</v>
      </c>
      <c r="L167" t="s">
        <v>33</v>
      </c>
    </row>
    <row r="168" spans="1:12" x14ac:dyDescent="0.25">
      <c r="A168" t="s">
        <v>359</v>
      </c>
      <c r="B168" s="6">
        <v>45914</v>
      </c>
      <c r="C168" t="s">
        <v>82</v>
      </c>
      <c r="D168" t="s">
        <v>24</v>
      </c>
      <c r="E168" t="s">
        <v>47</v>
      </c>
      <c r="F168" t="s">
        <v>16</v>
      </c>
      <c r="G168" s="7">
        <v>3</v>
      </c>
      <c r="H168" s="8">
        <v>23.7</v>
      </c>
      <c r="I168" s="9">
        <v>0</v>
      </c>
      <c r="J168" s="8">
        <v>71.099999999999994</v>
      </c>
      <c r="K168" s="8">
        <v>37.24</v>
      </c>
      <c r="L168" t="s">
        <v>33</v>
      </c>
    </row>
    <row r="169" spans="1:12" x14ac:dyDescent="0.25">
      <c r="A169" t="s">
        <v>360</v>
      </c>
      <c r="B169" s="6">
        <v>46006</v>
      </c>
      <c r="C169" t="s">
        <v>361</v>
      </c>
      <c r="D169" t="s">
        <v>24</v>
      </c>
      <c r="E169" t="s">
        <v>21</v>
      </c>
      <c r="F169" t="s">
        <v>16</v>
      </c>
      <c r="G169" s="7">
        <v>2</v>
      </c>
      <c r="H169" s="8">
        <v>37.29</v>
      </c>
      <c r="I169" s="9">
        <v>5</v>
      </c>
      <c r="J169" s="8">
        <v>70.849999999999994</v>
      </c>
      <c r="K169" s="8">
        <v>37.61</v>
      </c>
      <c r="L169" t="s">
        <v>33</v>
      </c>
    </row>
    <row r="170" spans="1:12" x14ac:dyDescent="0.25">
      <c r="A170" t="s">
        <v>362</v>
      </c>
      <c r="B170" s="6">
        <v>45576</v>
      </c>
      <c r="C170" t="s">
        <v>363</v>
      </c>
      <c r="D170" t="s">
        <v>36</v>
      </c>
      <c r="E170" t="s">
        <v>32</v>
      </c>
      <c r="F170" t="s">
        <v>16</v>
      </c>
      <c r="G170" s="7">
        <v>2</v>
      </c>
      <c r="H170" s="8">
        <v>44.77</v>
      </c>
      <c r="I170" s="9">
        <v>5</v>
      </c>
      <c r="J170" s="8">
        <v>85.06</v>
      </c>
      <c r="K170" s="8">
        <v>38.229999999999997</v>
      </c>
      <c r="L170" t="s">
        <v>17</v>
      </c>
    </row>
    <row r="171" spans="1:12" x14ac:dyDescent="0.25">
      <c r="A171" t="s">
        <v>364</v>
      </c>
      <c r="B171" s="6">
        <v>45836</v>
      </c>
      <c r="C171" t="s">
        <v>315</v>
      </c>
      <c r="D171" t="s">
        <v>14</v>
      </c>
      <c r="E171" t="s">
        <v>21</v>
      </c>
      <c r="F171" t="s">
        <v>16</v>
      </c>
      <c r="G171" s="7">
        <v>2</v>
      </c>
      <c r="H171" s="8">
        <v>30.45</v>
      </c>
      <c r="I171" s="9">
        <v>0</v>
      </c>
      <c r="J171" s="8">
        <v>60.9</v>
      </c>
      <c r="K171" s="8">
        <v>38.43</v>
      </c>
      <c r="L171" t="s">
        <v>17</v>
      </c>
    </row>
    <row r="172" spans="1:12" x14ac:dyDescent="0.25">
      <c r="A172" t="s">
        <v>365</v>
      </c>
      <c r="B172" s="6">
        <v>45587</v>
      </c>
      <c r="C172" t="s">
        <v>366</v>
      </c>
      <c r="D172" t="s">
        <v>24</v>
      </c>
      <c r="E172" t="s">
        <v>39</v>
      </c>
      <c r="F172" t="s">
        <v>16</v>
      </c>
      <c r="G172" s="7">
        <v>2</v>
      </c>
      <c r="H172" s="8">
        <v>46.08</v>
      </c>
      <c r="I172" s="9">
        <v>0</v>
      </c>
      <c r="J172" s="8">
        <v>92.16</v>
      </c>
      <c r="K172" s="8">
        <v>38.49</v>
      </c>
      <c r="L172" t="s">
        <v>33</v>
      </c>
    </row>
    <row r="173" spans="1:12" x14ac:dyDescent="0.25">
      <c r="A173" t="s">
        <v>367</v>
      </c>
      <c r="B173" s="6">
        <v>45297</v>
      </c>
      <c r="C173" t="s">
        <v>368</v>
      </c>
      <c r="D173" t="s">
        <v>14</v>
      </c>
      <c r="E173" t="s">
        <v>15</v>
      </c>
      <c r="F173" t="s">
        <v>16</v>
      </c>
      <c r="G173" s="7">
        <v>2</v>
      </c>
      <c r="H173" s="8">
        <v>44.36</v>
      </c>
      <c r="I173" s="9">
        <v>0</v>
      </c>
      <c r="J173" s="8">
        <v>88.72</v>
      </c>
      <c r="K173" s="8">
        <v>38.590000000000003</v>
      </c>
      <c r="L173" t="s">
        <v>17</v>
      </c>
    </row>
    <row r="174" spans="1:12" x14ac:dyDescent="0.25">
      <c r="A174" t="s">
        <v>369</v>
      </c>
      <c r="B174" s="6">
        <v>45963</v>
      </c>
      <c r="C174" t="s">
        <v>370</v>
      </c>
      <c r="D174" t="s">
        <v>14</v>
      </c>
      <c r="E174" t="s">
        <v>44</v>
      </c>
      <c r="F174" t="s">
        <v>16</v>
      </c>
      <c r="G174" s="7">
        <v>2</v>
      </c>
      <c r="H174" s="8">
        <v>32.74</v>
      </c>
      <c r="I174" s="9">
        <v>0</v>
      </c>
      <c r="J174" s="8">
        <v>65.48</v>
      </c>
      <c r="K174" s="8">
        <v>38.89</v>
      </c>
      <c r="L174" t="s">
        <v>17</v>
      </c>
    </row>
    <row r="175" spans="1:12" x14ac:dyDescent="0.25">
      <c r="A175" t="s">
        <v>371</v>
      </c>
      <c r="B175" s="6">
        <v>45928</v>
      </c>
      <c r="C175" t="s">
        <v>372</v>
      </c>
      <c r="D175" t="s">
        <v>20</v>
      </c>
      <c r="E175" t="s">
        <v>68</v>
      </c>
      <c r="F175" t="s">
        <v>16</v>
      </c>
      <c r="G175" s="7">
        <v>3</v>
      </c>
      <c r="H175" s="8">
        <v>22.73</v>
      </c>
      <c r="I175" s="9">
        <v>10</v>
      </c>
      <c r="J175" s="8">
        <v>61.37</v>
      </c>
      <c r="K175" s="8">
        <v>38.950000000000003</v>
      </c>
      <c r="L175" t="s">
        <v>33</v>
      </c>
    </row>
    <row r="176" spans="1:12" x14ac:dyDescent="0.25">
      <c r="A176" t="s">
        <v>373</v>
      </c>
      <c r="B176" s="6">
        <v>45848</v>
      </c>
      <c r="C176" t="s">
        <v>374</v>
      </c>
      <c r="D176" t="s">
        <v>14</v>
      </c>
      <c r="E176" t="s">
        <v>53</v>
      </c>
      <c r="F176" t="s">
        <v>16</v>
      </c>
      <c r="G176" s="7">
        <v>4</v>
      </c>
      <c r="H176" s="8">
        <v>20.8</v>
      </c>
      <c r="I176" s="9">
        <v>25</v>
      </c>
      <c r="J176" s="8">
        <v>62.4</v>
      </c>
      <c r="K176" s="8">
        <v>40.25</v>
      </c>
      <c r="L176" t="s">
        <v>17</v>
      </c>
    </row>
    <row r="177" spans="1:12" x14ac:dyDescent="0.25">
      <c r="A177" t="s">
        <v>375</v>
      </c>
      <c r="B177" s="6">
        <v>45540</v>
      </c>
      <c r="C177" t="s">
        <v>376</v>
      </c>
      <c r="D177" t="s">
        <v>24</v>
      </c>
      <c r="E177" t="s">
        <v>44</v>
      </c>
      <c r="F177" t="s">
        <v>16</v>
      </c>
      <c r="G177" s="7">
        <v>2</v>
      </c>
      <c r="H177" s="8">
        <v>48.98</v>
      </c>
      <c r="I177" s="9">
        <v>10</v>
      </c>
      <c r="J177" s="8">
        <v>88.16</v>
      </c>
      <c r="K177" s="8">
        <v>40.270000000000003</v>
      </c>
      <c r="L177" t="s">
        <v>17</v>
      </c>
    </row>
    <row r="178" spans="1:12" x14ac:dyDescent="0.25">
      <c r="A178" t="s">
        <v>377</v>
      </c>
      <c r="B178" s="6">
        <v>45906</v>
      </c>
      <c r="C178" t="s">
        <v>378</v>
      </c>
      <c r="D178" t="s">
        <v>20</v>
      </c>
      <c r="E178" t="s">
        <v>21</v>
      </c>
      <c r="F178" t="s">
        <v>16</v>
      </c>
      <c r="G178" s="7">
        <v>2</v>
      </c>
      <c r="H178" s="8">
        <v>45.81</v>
      </c>
      <c r="I178" s="9">
        <v>15</v>
      </c>
      <c r="J178" s="8">
        <v>77.88</v>
      </c>
      <c r="K178" s="8">
        <v>40.69</v>
      </c>
      <c r="L178" t="s">
        <v>33</v>
      </c>
    </row>
    <row r="179" spans="1:12" x14ac:dyDescent="0.25">
      <c r="A179" t="s">
        <v>379</v>
      </c>
      <c r="B179" s="6">
        <v>45680</v>
      </c>
      <c r="C179" t="s">
        <v>380</v>
      </c>
      <c r="D179" t="s">
        <v>24</v>
      </c>
      <c r="E179" t="s">
        <v>32</v>
      </c>
      <c r="F179" t="s">
        <v>16</v>
      </c>
      <c r="G179" s="7">
        <v>3</v>
      </c>
      <c r="H179" s="8">
        <v>38.630000000000003</v>
      </c>
      <c r="I179" s="9">
        <v>25</v>
      </c>
      <c r="J179" s="8">
        <v>86.92</v>
      </c>
      <c r="K179" s="8">
        <v>40.79</v>
      </c>
      <c r="L179" t="s">
        <v>17</v>
      </c>
    </row>
    <row r="180" spans="1:12" x14ac:dyDescent="0.25">
      <c r="A180" t="s">
        <v>381</v>
      </c>
      <c r="B180" s="6">
        <v>45413</v>
      </c>
      <c r="C180" t="s">
        <v>382</v>
      </c>
      <c r="D180" t="s">
        <v>14</v>
      </c>
      <c r="E180" t="s">
        <v>53</v>
      </c>
      <c r="F180" t="s">
        <v>16</v>
      </c>
      <c r="G180" s="7">
        <v>3</v>
      </c>
      <c r="H180" s="8">
        <v>27.12</v>
      </c>
      <c r="I180" s="9">
        <v>0</v>
      </c>
      <c r="J180" s="8">
        <v>81.36</v>
      </c>
      <c r="K180" s="8">
        <v>41.37</v>
      </c>
      <c r="L180" t="s">
        <v>33</v>
      </c>
    </row>
    <row r="181" spans="1:12" x14ac:dyDescent="0.25">
      <c r="A181" t="s">
        <v>383</v>
      </c>
      <c r="B181" s="6">
        <v>46000</v>
      </c>
      <c r="C181" t="s">
        <v>384</v>
      </c>
      <c r="D181" t="s">
        <v>36</v>
      </c>
      <c r="E181" t="s">
        <v>44</v>
      </c>
      <c r="F181" t="s">
        <v>16</v>
      </c>
      <c r="G181" s="7">
        <v>3</v>
      </c>
      <c r="H181" s="8">
        <v>23.9</v>
      </c>
      <c r="I181" s="9">
        <v>10</v>
      </c>
      <c r="J181" s="8">
        <v>64.53</v>
      </c>
      <c r="K181" s="8">
        <v>41.57</v>
      </c>
      <c r="L181" t="s">
        <v>33</v>
      </c>
    </row>
    <row r="182" spans="1:12" x14ac:dyDescent="0.25">
      <c r="A182" t="s">
        <v>385</v>
      </c>
      <c r="B182" s="6">
        <v>45626</v>
      </c>
      <c r="C182" t="s">
        <v>386</v>
      </c>
      <c r="D182" t="s">
        <v>20</v>
      </c>
      <c r="E182" t="s">
        <v>68</v>
      </c>
      <c r="F182" t="s">
        <v>16</v>
      </c>
      <c r="G182" s="7">
        <v>2</v>
      </c>
      <c r="H182" s="8">
        <v>48.7</v>
      </c>
      <c r="I182" s="9">
        <v>0</v>
      </c>
      <c r="J182" s="8">
        <v>97.4</v>
      </c>
      <c r="K182" s="8">
        <v>41.83</v>
      </c>
      <c r="L182" t="s">
        <v>17</v>
      </c>
    </row>
    <row r="183" spans="1:12" x14ac:dyDescent="0.25">
      <c r="A183" t="s">
        <v>387</v>
      </c>
      <c r="B183" s="6">
        <v>45734</v>
      </c>
      <c r="C183" t="s">
        <v>388</v>
      </c>
      <c r="D183" t="s">
        <v>24</v>
      </c>
      <c r="E183" t="s">
        <v>53</v>
      </c>
      <c r="F183" t="s">
        <v>16</v>
      </c>
      <c r="G183" s="7">
        <v>3</v>
      </c>
      <c r="H183" s="8">
        <v>32.04</v>
      </c>
      <c r="I183" s="9">
        <v>25</v>
      </c>
      <c r="J183" s="8">
        <v>72.09</v>
      </c>
      <c r="K183" s="8">
        <v>42.03</v>
      </c>
      <c r="L183" t="s">
        <v>33</v>
      </c>
    </row>
    <row r="184" spans="1:12" x14ac:dyDescent="0.25">
      <c r="A184" t="s">
        <v>389</v>
      </c>
      <c r="B184" s="6">
        <v>45447</v>
      </c>
      <c r="C184" t="s">
        <v>390</v>
      </c>
      <c r="D184" t="s">
        <v>24</v>
      </c>
      <c r="E184" t="s">
        <v>28</v>
      </c>
      <c r="F184" t="s">
        <v>16</v>
      </c>
      <c r="G184" s="7">
        <v>2</v>
      </c>
      <c r="H184" s="8">
        <v>47</v>
      </c>
      <c r="I184" s="9">
        <v>10</v>
      </c>
      <c r="J184" s="8">
        <v>84.6</v>
      </c>
      <c r="K184" s="8">
        <v>42.42</v>
      </c>
      <c r="L184" t="s">
        <v>17</v>
      </c>
    </row>
    <row r="185" spans="1:12" x14ac:dyDescent="0.25">
      <c r="A185" t="s">
        <v>391</v>
      </c>
      <c r="B185" s="6">
        <v>45679</v>
      </c>
      <c r="C185" t="s">
        <v>252</v>
      </c>
      <c r="D185" t="s">
        <v>36</v>
      </c>
      <c r="E185" t="s">
        <v>32</v>
      </c>
      <c r="F185" t="s">
        <v>16</v>
      </c>
      <c r="G185" s="7">
        <v>3</v>
      </c>
      <c r="H185" s="8">
        <v>39</v>
      </c>
      <c r="I185" s="9">
        <v>10</v>
      </c>
      <c r="J185" s="8">
        <v>105.3</v>
      </c>
      <c r="K185" s="8">
        <v>43.2</v>
      </c>
      <c r="L185" t="s">
        <v>17</v>
      </c>
    </row>
    <row r="186" spans="1:12" x14ac:dyDescent="0.25">
      <c r="A186" t="s">
        <v>392</v>
      </c>
      <c r="B186" s="6">
        <v>45789</v>
      </c>
      <c r="C186" t="s">
        <v>393</v>
      </c>
      <c r="D186" t="s">
        <v>31</v>
      </c>
      <c r="E186" t="s">
        <v>68</v>
      </c>
      <c r="F186" t="s">
        <v>16</v>
      </c>
      <c r="G186" s="7">
        <v>3</v>
      </c>
      <c r="H186" s="8">
        <v>25.09</v>
      </c>
      <c r="I186" s="9">
        <v>5</v>
      </c>
      <c r="J186" s="8">
        <v>71.510000000000005</v>
      </c>
      <c r="K186" s="8">
        <v>43.41</v>
      </c>
      <c r="L186" t="s">
        <v>48</v>
      </c>
    </row>
    <row r="187" spans="1:12" x14ac:dyDescent="0.25">
      <c r="A187" t="s">
        <v>394</v>
      </c>
      <c r="B187" s="6">
        <v>45660</v>
      </c>
      <c r="C187" t="s">
        <v>88</v>
      </c>
      <c r="D187" t="s">
        <v>31</v>
      </c>
      <c r="E187" t="s">
        <v>15</v>
      </c>
      <c r="F187" t="s">
        <v>16</v>
      </c>
      <c r="G187" s="7">
        <v>2</v>
      </c>
      <c r="H187" s="8">
        <v>43.22</v>
      </c>
      <c r="I187" s="9">
        <v>0</v>
      </c>
      <c r="J187" s="8">
        <v>86.44</v>
      </c>
      <c r="K187" s="8">
        <v>44.95</v>
      </c>
      <c r="L187" t="s">
        <v>33</v>
      </c>
    </row>
    <row r="188" spans="1:12" x14ac:dyDescent="0.25">
      <c r="A188" t="s">
        <v>395</v>
      </c>
      <c r="B188" s="6">
        <v>45623</v>
      </c>
      <c r="C188" t="s">
        <v>396</v>
      </c>
      <c r="D188" t="s">
        <v>36</v>
      </c>
      <c r="E188" t="s">
        <v>15</v>
      </c>
      <c r="F188" t="s">
        <v>16</v>
      </c>
      <c r="G188" s="7">
        <v>2</v>
      </c>
      <c r="H188" s="8">
        <v>43.71</v>
      </c>
      <c r="I188" s="9">
        <v>5</v>
      </c>
      <c r="J188" s="8">
        <v>83.05</v>
      </c>
      <c r="K188" s="8">
        <v>45.49</v>
      </c>
      <c r="L188" t="s">
        <v>33</v>
      </c>
    </row>
    <row r="189" spans="1:12" x14ac:dyDescent="0.25">
      <c r="A189" t="s">
        <v>397</v>
      </c>
      <c r="B189" s="6">
        <v>45524</v>
      </c>
      <c r="C189" t="s">
        <v>376</v>
      </c>
      <c r="D189" t="s">
        <v>24</v>
      </c>
      <c r="E189" t="s">
        <v>25</v>
      </c>
      <c r="F189" t="s">
        <v>16</v>
      </c>
      <c r="G189" s="7">
        <v>3</v>
      </c>
      <c r="H189" s="8">
        <v>30.57</v>
      </c>
      <c r="I189" s="9">
        <v>20</v>
      </c>
      <c r="J189" s="8">
        <v>73.37</v>
      </c>
      <c r="K189" s="8">
        <v>45.6</v>
      </c>
      <c r="L189" t="s">
        <v>17</v>
      </c>
    </row>
    <row r="190" spans="1:12" x14ac:dyDescent="0.25">
      <c r="A190" t="s">
        <v>398</v>
      </c>
      <c r="B190" s="6">
        <v>45655</v>
      </c>
      <c r="C190" t="s">
        <v>399</v>
      </c>
      <c r="D190" t="s">
        <v>14</v>
      </c>
      <c r="E190" t="s">
        <v>68</v>
      </c>
      <c r="F190" t="s">
        <v>16</v>
      </c>
      <c r="G190" s="7">
        <v>2</v>
      </c>
      <c r="H190" s="8">
        <v>47.91</v>
      </c>
      <c r="I190" s="9">
        <v>0</v>
      </c>
      <c r="J190" s="8">
        <v>95.82</v>
      </c>
      <c r="K190" s="8">
        <v>45.87</v>
      </c>
      <c r="L190" t="s">
        <v>33</v>
      </c>
    </row>
    <row r="191" spans="1:12" x14ac:dyDescent="0.25">
      <c r="A191" t="s">
        <v>400</v>
      </c>
      <c r="B191" s="6">
        <v>45298</v>
      </c>
      <c r="C191" t="s">
        <v>401</v>
      </c>
      <c r="D191" t="s">
        <v>20</v>
      </c>
      <c r="E191" t="s">
        <v>44</v>
      </c>
      <c r="F191" t="s">
        <v>16</v>
      </c>
      <c r="G191" s="7">
        <v>3</v>
      </c>
      <c r="H191" s="8">
        <v>35.71</v>
      </c>
      <c r="I191" s="9">
        <v>0</v>
      </c>
      <c r="J191" s="8">
        <v>107.13</v>
      </c>
      <c r="K191" s="8">
        <v>47.51</v>
      </c>
      <c r="L191" t="s">
        <v>33</v>
      </c>
    </row>
    <row r="192" spans="1:12" x14ac:dyDescent="0.25">
      <c r="A192" t="s">
        <v>402</v>
      </c>
      <c r="B192" s="6">
        <v>45365</v>
      </c>
      <c r="C192" t="s">
        <v>190</v>
      </c>
      <c r="D192" t="s">
        <v>14</v>
      </c>
      <c r="E192" t="s">
        <v>28</v>
      </c>
      <c r="F192" t="s">
        <v>16</v>
      </c>
      <c r="G192" s="7">
        <v>3</v>
      </c>
      <c r="H192" s="8">
        <v>39.61</v>
      </c>
      <c r="I192" s="9">
        <v>10</v>
      </c>
      <c r="J192" s="8">
        <v>106.95</v>
      </c>
      <c r="K192" s="8">
        <v>48.94</v>
      </c>
      <c r="L192" t="s">
        <v>33</v>
      </c>
    </row>
    <row r="193" spans="1:12" x14ac:dyDescent="0.25">
      <c r="A193" t="s">
        <v>403</v>
      </c>
      <c r="B193" s="6">
        <v>45954</v>
      </c>
      <c r="C193" t="s">
        <v>404</v>
      </c>
      <c r="D193" t="s">
        <v>36</v>
      </c>
      <c r="E193" t="s">
        <v>32</v>
      </c>
      <c r="F193" t="s">
        <v>16</v>
      </c>
      <c r="G193" s="7">
        <v>5</v>
      </c>
      <c r="H193" s="8">
        <v>19.52</v>
      </c>
      <c r="I193" s="9">
        <v>0</v>
      </c>
      <c r="J193" s="8">
        <v>97.6</v>
      </c>
      <c r="K193" s="8">
        <v>49</v>
      </c>
      <c r="L193" t="s">
        <v>33</v>
      </c>
    </row>
    <row r="194" spans="1:12" x14ac:dyDescent="0.25">
      <c r="A194" t="s">
        <v>405</v>
      </c>
      <c r="B194" s="6">
        <v>45948</v>
      </c>
      <c r="C194" t="s">
        <v>94</v>
      </c>
      <c r="D194" t="s">
        <v>20</v>
      </c>
      <c r="E194" t="s">
        <v>28</v>
      </c>
      <c r="F194" t="s">
        <v>16</v>
      </c>
      <c r="G194" s="7">
        <v>2</v>
      </c>
      <c r="H194" s="8">
        <v>38.67</v>
      </c>
      <c r="I194" s="9">
        <v>0</v>
      </c>
      <c r="J194" s="8">
        <v>77.34</v>
      </c>
      <c r="K194" s="8">
        <v>49.11</v>
      </c>
      <c r="L194" t="s">
        <v>33</v>
      </c>
    </row>
    <row r="195" spans="1:12" x14ac:dyDescent="0.25">
      <c r="A195" t="s">
        <v>406</v>
      </c>
      <c r="B195" s="6">
        <v>45436</v>
      </c>
      <c r="C195" t="s">
        <v>407</v>
      </c>
      <c r="D195" t="s">
        <v>31</v>
      </c>
      <c r="E195" t="s">
        <v>44</v>
      </c>
      <c r="F195" t="s">
        <v>16</v>
      </c>
      <c r="G195" s="7">
        <v>3</v>
      </c>
      <c r="H195" s="8">
        <v>25.71</v>
      </c>
      <c r="I195" s="9">
        <v>0</v>
      </c>
      <c r="J195" s="8">
        <v>77.13</v>
      </c>
      <c r="K195" s="8">
        <v>49.28</v>
      </c>
      <c r="L195" t="s">
        <v>33</v>
      </c>
    </row>
    <row r="196" spans="1:12" x14ac:dyDescent="0.25">
      <c r="A196" t="s">
        <v>408</v>
      </c>
      <c r="B196" s="6">
        <v>45630</v>
      </c>
      <c r="C196" t="s">
        <v>409</v>
      </c>
      <c r="D196" t="s">
        <v>31</v>
      </c>
      <c r="E196" t="s">
        <v>21</v>
      </c>
      <c r="F196" t="s">
        <v>16</v>
      </c>
      <c r="G196" s="7">
        <v>2</v>
      </c>
      <c r="H196" s="8">
        <v>45.06</v>
      </c>
      <c r="I196" s="9">
        <v>0</v>
      </c>
      <c r="J196" s="8">
        <v>90.12</v>
      </c>
      <c r="K196" s="8">
        <v>49.5</v>
      </c>
      <c r="L196" t="s">
        <v>33</v>
      </c>
    </row>
    <row r="197" spans="1:12" x14ac:dyDescent="0.25">
      <c r="A197" t="s">
        <v>410</v>
      </c>
      <c r="B197" s="6">
        <v>45343</v>
      </c>
      <c r="C197" t="s">
        <v>411</v>
      </c>
      <c r="D197" t="s">
        <v>24</v>
      </c>
      <c r="E197" t="s">
        <v>28</v>
      </c>
      <c r="F197" t="s">
        <v>16</v>
      </c>
      <c r="G197" s="7">
        <v>2</v>
      </c>
      <c r="H197" s="8">
        <v>42.69</v>
      </c>
      <c r="I197" s="9">
        <v>0</v>
      </c>
      <c r="J197" s="8">
        <v>85.38</v>
      </c>
      <c r="K197" s="8">
        <v>49.75</v>
      </c>
      <c r="L197" t="s">
        <v>17</v>
      </c>
    </row>
    <row r="198" spans="1:12" x14ac:dyDescent="0.25">
      <c r="A198" t="s">
        <v>412</v>
      </c>
      <c r="B198" s="6">
        <v>45368</v>
      </c>
      <c r="C198" t="s">
        <v>194</v>
      </c>
      <c r="D198" t="s">
        <v>14</v>
      </c>
      <c r="E198" t="s">
        <v>44</v>
      </c>
      <c r="F198" t="s">
        <v>16</v>
      </c>
      <c r="G198" s="7">
        <v>3</v>
      </c>
      <c r="H198" s="8">
        <v>31.44</v>
      </c>
      <c r="I198" s="9">
        <v>0</v>
      </c>
      <c r="J198" s="8">
        <v>94.32</v>
      </c>
      <c r="K198" s="8">
        <v>50.55</v>
      </c>
      <c r="L198" t="s">
        <v>33</v>
      </c>
    </row>
    <row r="199" spans="1:12" x14ac:dyDescent="0.25">
      <c r="A199" t="s">
        <v>413</v>
      </c>
      <c r="B199" s="6">
        <v>45527</v>
      </c>
      <c r="C199" t="s">
        <v>414</v>
      </c>
      <c r="D199" t="s">
        <v>31</v>
      </c>
      <c r="E199" t="s">
        <v>28</v>
      </c>
      <c r="F199" t="s">
        <v>16</v>
      </c>
      <c r="G199" s="7">
        <v>5</v>
      </c>
      <c r="H199" s="8">
        <v>20.95</v>
      </c>
      <c r="I199" s="9">
        <v>15</v>
      </c>
      <c r="J199" s="8">
        <v>89.04</v>
      </c>
      <c r="K199" s="8">
        <v>51.42</v>
      </c>
      <c r="L199" t="s">
        <v>33</v>
      </c>
    </row>
    <row r="200" spans="1:12" x14ac:dyDescent="0.25">
      <c r="A200" t="s">
        <v>415</v>
      </c>
      <c r="B200" s="6">
        <v>45969</v>
      </c>
      <c r="C200" t="s">
        <v>416</v>
      </c>
      <c r="D200" t="s">
        <v>36</v>
      </c>
      <c r="E200" t="s">
        <v>47</v>
      </c>
      <c r="F200" t="s">
        <v>16</v>
      </c>
      <c r="G200" s="7">
        <v>3</v>
      </c>
      <c r="H200" s="8">
        <v>34.840000000000003</v>
      </c>
      <c r="I200" s="9">
        <v>15</v>
      </c>
      <c r="J200" s="8">
        <v>88.84</v>
      </c>
      <c r="K200" s="8">
        <v>52.05</v>
      </c>
      <c r="L200" t="s">
        <v>33</v>
      </c>
    </row>
    <row r="201" spans="1:12" x14ac:dyDescent="0.25">
      <c r="A201" t="s">
        <v>417</v>
      </c>
      <c r="B201" s="6">
        <v>45445</v>
      </c>
      <c r="C201" t="s">
        <v>327</v>
      </c>
      <c r="D201" t="s">
        <v>20</v>
      </c>
      <c r="E201" t="s">
        <v>47</v>
      </c>
      <c r="F201" t="s">
        <v>16</v>
      </c>
      <c r="G201" s="7">
        <v>2</v>
      </c>
      <c r="H201" s="8">
        <v>43.55</v>
      </c>
      <c r="I201" s="9">
        <v>0</v>
      </c>
      <c r="J201" s="8">
        <v>87.1</v>
      </c>
      <c r="K201" s="8">
        <v>53.33</v>
      </c>
      <c r="L201" t="s">
        <v>17</v>
      </c>
    </row>
    <row r="202" spans="1:12" x14ac:dyDescent="0.25">
      <c r="A202" t="s">
        <v>418</v>
      </c>
      <c r="B202" s="6">
        <v>45992</v>
      </c>
      <c r="C202" t="s">
        <v>244</v>
      </c>
      <c r="D202" t="s">
        <v>14</v>
      </c>
      <c r="E202" t="s">
        <v>28</v>
      </c>
      <c r="F202" t="s">
        <v>16</v>
      </c>
      <c r="G202" s="7">
        <v>3</v>
      </c>
      <c r="H202" s="8">
        <v>31.21</v>
      </c>
      <c r="I202" s="9">
        <v>10</v>
      </c>
      <c r="J202" s="8">
        <v>84.27</v>
      </c>
      <c r="K202" s="8">
        <v>54.37</v>
      </c>
      <c r="L202" t="s">
        <v>33</v>
      </c>
    </row>
    <row r="203" spans="1:12" x14ac:dyDescent="0.25">
      <c r="A203" t="s">
        <v>419</v>
      </c>
      <c r="B203" s="6">
        <v>45427</v>
      </c>
      <c r="C203" t="s">
        <v>420</v>
      </c>
      <c r="D203" t="s">
        <v>36</v>
      </c>
      <c r="E203" t="s">
        <v>28</v>
      </c>
      <c r="F203" t="s">
        <v>16</v>
      </c>
      <c r="G203" s="7">
        <v>2</v>
      </c>
      <c r="H203" s="8">
        <v>48.44</v>
      </c>
      <c r="I203" s="9">
        <v>0</v>
      </c>
      <c r="J203" s="8">
        <v>96.88</v>
      </c>
      <c r="K203" s="8">
        <v>55.7</v>
      </c>
      <c r="L203" t="s">
        <v>33</v>
      </c>
    </row>
    <row r="204" spans="1:12" x14ac:dyDescent="0.25">
      <c r="A204" t="s">
        <v>421</v>
      </c>
      <c r="B204" s="6">
        <v>45951</v>
      </c>
      <c r="C204" t="s">
        <v>422</v>
      </c>
      <c r="D204" t="s">
        <v>20</v>
      </c>
      <c r="E204" t="s">
        <v>47</v>
      </c>
      <c r="F204" t="s">
        <v>16</v>
      </c>
      <c r="G204" s="7">
        <v>2</v>
      </c>
      <c r="H204" s="8">
        <v>49.12</v>
      </c>
      <c r="I204" s="9">
        <v>5</v>
      </c>
      <c r="J204" s="8">
        <v>93.33</v>
      </c>
      <c r="K204" s="8">
        <v>55.73</v>
      </c>
      <c r="L204" t="s">
        <v>17</v>
      </c>
    </row>
    <row r="205" spans="1:12" x14ac:dyDescent="0.25">
      <c r="A205" t="s">
        <v>423</v>
      </c>
      <c r="B205" s="6">
        <v>45674</v>
      </c>
      <c r="C205" t="s">
        <v>424</v>
      </c>
      <c r="D205" t="s">
        <v>14</v>
      </c>
      <c r="E205" t="s">
        <v>32</v>
      </c>
      <c r="F205" t="s">
        <v>16</v>
      </c>
      <c r="G205" s="7">
        <v>4</v>
      </c>
      <c r="H205" s="8">
        <v>27.2</v>
      </c>
      <c r="I205" s="9">
        <v>0</v>
      </c>
      <c r="J205" s="8">
        <v>108.8</v>
      </c>
      <c r="K205" s="8">
        <v>56.18</v>
      </c>
      <c r="L205" t="s">
        <v>33</v>
      </c>
    </row>
    <row r="206" spans="1:12" x14ac:dyDescent="0.25">
      <c r="A206" t="s">
        <v>425</v>
      </c>
      <c r="B206" s="6">
        <v>45386</v>
      </c>
      <c r="C206" t="s">
        <v>426</v>
      </c>
      <c r="D206" t="s">
        <v>20</v>
      </c>
      <c r="E206" t="s">
        <v>44</v>
      </c>
      <c r="F206" t="s">
        <v>16</v>
      </c>
      <c r="G206" s="7">
        <v>3</v>
      </c>
      <c r="H206" s="8">
        <v>32.29</v>
      </c>
      <c r="I206" s="9">
        <v>10</v>
      </c>
      <c r="J206" s="8">
        <v>87.18</v>
      </c>
      <c r="K206" s="8">
        <v>56.66</v>
      </c>
      <c r="L206" t="s">
        <v>33</v>
      </c>
    </row>
    <row r="207" spans="1:12" x14ac:dyDescent="0.25">
      <c r="A207" t="s">
        <v>427</v>
      </c>
      <c r="B207" s="6">
        <v>45454</v>
      </c>
      <c r="C207" t="s">
        <v>272</v>
      </c>
      <c r="D207" t="s">
        <v>24</v>
      </c>
      <c r="E207" t="s">
        <v>32</v>
      </c>
      <c r="F207" t="s">
        <v>16</v>
      </c>
      <c r="G207" s="7">
        <v>3</v>
      </c>
      <c r="H207" s="8">
        <v>34.11</v>
      </c>
      <c r="I207" s="9">
        <v>5</v>
      </c>
      <c r="J207" s="8">
        <v>97.21</v>
      </c>
      <c r="K207" s="8">
        <v>59.09</v>
      </c>
      <c r="L207" t="s">
        <v>33</v>
      </c>
    </row>
    <row r="208" spans="1:12" x14ac:dyDescent="0.25">
      <c r="A208" t="s">
        <v>428</v>
      </c>
      <c r="B208" s="6">
        <v>45666</v>
      </c>
      <c r="C208" t="s">
        <v>429</v>
      </c>
      <c r="D208" t="s">
        <v>14</v>
      </c>
      <c r="E208" t="s">
        <v>53</v>
      </c>
      <c r="F208" t="s">
        <v>16</v>
      </c>
      <c r="G208" s="7">
        <v>5</v>
      </c>
      <c r="H208" s="8">
        <v>21.11</v>
      </c>
      <c r="I208" s="9">
        <v>10</v>
      </c>
      <c r="J208" s="8">
        <v>95</v>
      </c>
      <c r="K208" s="8">
        <v>59.17</v>
      </c>
      <c r="L208" t="s">
        <v>17</v>
      </c>
    </row>
    <row r="209" spans="1:12" x14ac:dyDescent="0.25">
      <c r="A209" t="s">
        <v>430</v>
      </c>
      <c r="B209" s="6">
        <v>45412</v>
      </c>
      <c r="C209" t="s">
        <v>431</v>
      </c>
      <c r="D209" t="s">
        <v>24</v>
      </c>
      <c r="E209" t="s">
        <v>53</v>
      </c>
      <c r="F209" t="s">
        <v>16</v>
      </c>
      <c r="G209" s="7">
        <v>3</v>
      </c>
      <c r="H209" s="8">
        <v>35.96</v>
      </c>
      <c r="I209" s="9">
        <v>0</v>
      </c>
      <c r="J209" s="8">
        <v>107.88</v>
      </c>
      <c r="K209" s="8">
        <v>59.17</v>
      </c>
      <c r="L209" t="s">
        <v>33</v>
      </c>
    </row>
    <row r="210" spans="1:12" x14ac:dyDescent="0.25">
      <c r="A210" t="s">
        <v>432</v>
      </c>
      <c r="B210" s="6">
        <v>45365</v>
      </c>
      <c r="C210" t="s">
        <v>433</v>
      </c>
      <c r="D210" t="s">
        <v>36</v>
      </c>
      <c r="E210" t="s">
        <v>44</v>
      </c>
      <c r="F210" t="s">
        <v>16</v>
      </c>
      <c r="G210" s="7">
        <v>4</v>
      </c>
      <c r="H210" s="8">
        <v>31.05</v>
      </c>
      <c r="I210" s="9">
        <v>5</v>
      </c>
      <c r="J210" s="8">
        <v>117.99</v>
      </c>
      <c r="K210" s="8">
        <v>59.73</v>
      </c>
      <c r="L210" t="s">
        <v>33</v>
      </c>
    </row>
    <row r="211" spans="1:12" x14ac:dyDescent="0.25">
      <c r="A211" t="s">
        <v>434</v>
      </c>
      <c r="B211" s="6">
        <v>45957</v>
      </c>
      <c r="C211" t="s">
        <v>435</v>
      </c>
      <c r="D211" t="s">
        <v>14</v>
      </c>
      <c r="E211" t="s">
        <v>47</v>
      </c>
      <c r="F211" t="s">
        <v>16</v>
      </c>
      <c r="G211" s="7">
        <v>3</v>
      </c>
      <c r="H211" s="8">
        <v>43.87</v>
      </c>
      <c r="I211" s="9">
        <v>10</v>
      </c>
      <c r="J211" s="8">
        <v>118.45</v>
      </c>
      <c r="K211" s="8">
        <v>60.11</v>
      </c>
      <c r="L211" t="s">
        <v>17</v>
      </c>
    </row>
    <row r="212" spans="1:12" x14ac:dyDescent="0.25">
      <c r="A212" t="s">
        <v>436</v>
      </c>
      <c r="B212" s="6">
        <v>45708</v>
      </c>
      <c r="C212" t="s">
        <v>437</v>
      </c>
      <c r="D212" t="s">
        <v>14</v>
      </c>
      <c r="E212" t="s">
        <v>32</v>
      </c>
      <c r="F212" t="s">
        <v>16</v>
      </c>
      <c r="G212" s="7">
        <v>5</v>
      </c>
      <c r="H212" s="8">
        <v>21.68</v>
      </c>
      <c r="I212" s="9">
        <v>10</v>
      </c>
      <c r="J212" s="8">
        <v>97.56</v>
      </c>
      <c r="K212" s="8">
        <v>60.69</v>
      </c>
      <c r="L212" t="s">
        <v>33</v>
      </c>
    </row>
    <row r="213" spans="1:12" x14ac:dyDescent="0.25">
      <c r="A213" t="s">
        <v>438</v>
      </c>
      <c r="B213" s="6">
        <v>45514</v>
      </c>
      <c r="C213" t="s">
        <v>439</v>
      </c>
      <c r="D213" t="s">
        <v>14</v>
      </c>
      <c r="E213" t="s">
        <v>21</v>
      </c>
      <c r="F213" t="s">
        <v>16</v>
      </c>
      <c r="G213" s="7">
        <v>2</v>
      </c>
      <c r="H213" s="8">
        <v>49.5</v>
      </c>
      <c r="I213" s="9">
        <v>0</v>
      </c>
      <c r="J213" s="8">
        <v>99</v>
      </c>
      <c r="K213" s="8">
        <v>61.54</v>
      </c>
      <c r="L213" t="s">
        <v>17</v>
      </c>
    </row>
    <row r="214" spans="1:12" x14ac:dyDescent="0.25">
      <c r="A214" t="s">
        <v>440</v>
      </c>
      <c r="B214" s="6">
        <v>45611</v>
      </c>
      <c r="C214" t="s">
        <v>441</v>
      </c>
      <c r="D214" t="s">
        <v>14</v>
      </c>
      <c r="E214" t="s">
        <v>47</v>
      </c>
      <c r="F214" t="s">
        <v>16</v>
      </c>
      <c r="G214" s="7">
        <v>3</v>
      </c>
      <c r="H214" s="8">
        <v>46.55</v>
      </c>
      <c r="I214" s="9">
        <v>0</v>
      </c>
      <c r="J214" s="8">
        <v>139.65</v>
      </c>
      <c r="K214" s="8">
        <v>65.5</v>
      </c>
      <c r="L214" t="s">
        <v>33</v>
      </c>
    </row>
    <row r="215" spans="1:12" x14ac:dyDescent="0.25">
      <c r="A215" t="s">
        <v>442</v>
      </c>
      <c r="B215" s="6">
        <v>45487</v>
      </c>
      <c r="C215" t="s">
        <v>443</v>
      </c>
      <c r="D215" t="s">
        <v>14</v>
      </c>
      <c r="E215" t="s">
        <v>28</v>
      </c>
      <c r="F215" t="s">
        <v>16</v>
      </c>
      <c r="G215" s="7">
        <v>4</v>
      </c>
      <c r="H215" s="8">
        <v>29.19</v>
      </c>
      <c r="I215" s="9">
        <v>0</v>
      </c>
      <c r="J215" s="8">
        <v>116.76</v>
      </c>
      <c r="K215" s="8">
        <v>67.58</v>
      </c>
      <c r="L215" t="s">
        <v>33</v>
      </c>
    </row>
    <row r="216" spans="1:12" x14ac:dyDescent="0.25">
      <c r="A216" t="s">
        <v>444</v>
      </c>
      <c r="B216" s="6">
        <v>45667</v>
      </c>
      <c r="C216" t="s">
        <v>414</v>
      </c>
      <c r="D216" t="s">
        <v>24</v>
      </c>
      <c r="E216" t="s">
        <v>53</v>
      </c>
      <c r="F216" t="s">
        <v>16</v>
      </c>
      <c r="G216" s="7">
        <v>3</v>
      </c>
      <c r="H216" s="8">
        <v>35.17</v>
      </c>
      <c r="I216" s="9">
        <v>0</v>
      </c>
      <c r="J216" s="8">
        <v>105.51</v>
      </c>
      <c r="K216" s="8">
        <v>67.72</v>
      </c>
      <c r="L216" t="s">
        <v>33</v>
      </c>
    </row>
    <row r="217" spans="1:12" x14ac:dyDescent="0.25">
      <c r="A217" t="s">
        <v>445</v>
      </c>
      <c r="B217" s="6">
        <v>45305</v>
      </c>
      <c r="C217" t="s">
        <v>446</v>
      </c>
      <c r="D217" t="s">
        <v>31</v>
      </c>
      <c r="E217" t="s">
        <v>32</v>
      </c>
      <c r="F217" t="s">
        <v>16</v>
      </c>
      <c r="G217" s="7">
        <v>3</v>
      </c>
      <c r="H217" s="8">
        <v>44.5</v>
      </c>
      <c r="I217" s="9">
        <v>20</v>
      </c>
      <c r="J217" s="8">
        <v>106.8</v>
      </c>
      <c r="K217" s="8">
        <v>68.3</v>
      </c>
      <c r="L217" t="s">
        <v>48</v>
      </c>
    </row>
    <row r="218" spans="1:12" x14ac:dyDescent="0.25">
      <c r="A218" t="s">
        <v>447</v>
      </c>
      <c r="B218" s="6">
        <v>45466</v>
      </c>
      <c r="C218" t="s">
        <v>448</v>
      </c>
      <c r="D218" t="s">
        <v>20</v>
      </c>
      <c r="E218" t="s">
        <v>47</v>
      </c>
      <c r="F218" t="s">
        <v>16</v>
      </c>
      <c r="G218" s="7">
        <v>3</v>
      </c>
      <c r="H218" s="8">
        <v>40.78</v>
      </c>
      <c r="I218" s="9">
        <v>0</v>
      </c>
      <c r="J218" s="8">
        <v>122.34</v>
      </c>
      <c r="K218" s="8">
        <v>69.010000000000005</v>
      </c>
      <c r="L218" t="s">
        <v>33</v>
      </c>
    </row>
    <row r="219" spans="1:12" x14ac:dyDescent="0.25">
      <c r="A219" t="s">
        <v>449</v>
      </c>
      <c r="B219" s="6">
        <v>45629</v>
      </c>
      <c r="C219" t="s">
        <v>450</v>
      </c>
      <c r="D219" t="s">
        <v>24</v>
      </c>
      <c r="E219" t="s">
        <v>68</v>
      </c>
      <c r="F219" t="s">
        <v>16</v>
      </c>
      <c r="G219" s="7">
        <v>5</v>
      </c>
      <c r="H219" s="8">
        <v>28.97</v>
      </c>
      <c r="I219" s="9">
        <v>20</v>
      </c>
      <c r="J219" s="8">
        <v>115.88</v>
      </c>
      <c r="K219" s="8">
        <v>69.040000000000006</v>
      </c>
      <c r="L219" t="s">
        <v>33</v>
      </c>
    </row>
    <row r="220" spans="1:12" x14ac:dyDescent="0.25">
      <c r="A220" t="s">
        <v>451</v>
      </c>
      <c r="B220" s="6">
        <v>45854</v>
      </c>
      <c r="C220" t="s">
        <v>452</v>
      </c>
      <c r="D220" t="s">
        <v>14</v>
      </c>
      <c r="E220" t="s">
        <v>68</v>
      </c>
      <c r="F220" t="s">
        <v>16</v>
      </c>
      <c r="G220" s="7">
        <v>5</v>
      </c>
      <c r="H220" s="8">
        <v>34.72</v>
      </c>
      <c r="I220" s="9">
        <v>10</v>
      </c>
      <c r="J220" s="8">
        <v>156.24</v>
      </c>
      <c r="K220" s="8">
        <v>70.06</v>
      </c>
      <c r="L220" t="s">
        <v>17</v>
      </c>
    </row>
    <row r="221" spans="1:12" x14ac:dyDescent="0.25">
      <c r="A221" t="s">
        <v>453</v>
      </c>
      <c r="B221" s="6">
        <v>45964</v>
      </c>
      <c r="C221" t="s">
        <v>454</v>
      </c>
      <c r="D221" t="s">
        <v>24</v>
      </c>
      <c r="E221" t="s">
        <v>47</v>
      </c>
      <c r="F221" t="s">
        <v>16</v>
      </c>
      <c r="G221" s="7">
        <v>3</v>
      </c>
      <c r="H221" s="8">
        <v>41.4</v>
      </c>
      <c r="I221" s="9">
        <v>5</v>
      </c>
      <c r="J221" s="8">
        <v>117.99</v>
      </c>
      <c r="K221" s="8">
        <v>71.12</v>
      </c>
      <c r="L221" t="s">
        <v>33</v>
      </c>
    </row>
    <row r="222" spans="1:12" x14ac:dyDescent="0.25">
      <c r="A222" t="s">
        <v>455</v>
      </c>
      <c r="B222" s="6">
        <v>45829</v>
      </c>
      <c r="C222" t="s">
        <v>456</v>
      </c>
      <c r="D222" t="s">
        <v>31</v>
      </c>
      <c r="E222" t="s">
        <v>68</v>
      </c>
      <c r="F222" t="s">
        <v>16</v>
      </c>
      <c r="G222" s="7">
        <v>3</v>
      </c>
      <c r="H222" s="8">
        <v>47.21</v>
      </c>
      <c r="I222" s="9">
        <v>10</v>
      </c>
      <c r="J222" s="8">
        <v>127.47</v>
      </c>
      <c r="K222" s="8">
        <v>71.66</v>
      </c>
      <c r="L222" t="s">
        <v>33</v>
      </c>
    </row>
    <row r="223" spans="1:12" x14ac:dyDescent="0.25">
      <c r="A223" t="s">
        <v>457</v>
      </c>
      <c r="B223" s="6">
        <v>45856</v>
      </c>
      <c r="C223" t="s">
        <v>458</v>
      </c>
      <c r="D223" t="s">
        <v>20</v>
      </c>
      <c r="E223" t="s">
        <v>21</v>
      </c>
      <c r="F223" t="s">
        <v>16</v>
      </c>
      <c r="G223" s="7">
        <v>4</v>
      </c>
      <c r="H223" s="8">
        <v>38.869999999999997</v>
      </c>
      <c r="I223" s="9">
        <v>25</v>
      </c>
      <c r="J223" s="8">
        <v>116.61</v>
      </c>
      <c r="K223" s="8">
        <v>72.48</v>
      </c>
      <c r="L223" t="s">
        <v>33</v>
      </c>
    </row>
    <row r="224" spans="1:12" x14ac:dyDescent="0.25">
      <c r="A224" t="s">
        <v>459</v>
      </c>
      <c r="B224" s="6">
        <v>45930</v>
      </c>
      <c r="C224" t="s">
        <v>460</v>
      </c>
      <c r="D224" t="s">
        <v>14</v>
      </c>
      <c r="E224" t="s">
        <v>68</v>
      </c>
      <c r="F224" t="s">
        <v>16</v>
      </c>
      <c r="G224" s="7">
        <v>5</v>
      </c>
      <c r="H224" s="8">
        <v>27.13</v>
      </c>
      <c r="I224" s="9">
        <v>0</v>
      </c>
      <c r="J224" s="8">
        <v>135.65</v>
      </c>
      <c r="K224" s="8">
        <v>75.12</v>
      </c>
      <c r="L224" t="s">
        <v>33</v>
      </c>
    </row>
    <row r="225" spans="1:12" x14ac:dyDescent="0.25">
      <c r="A225" t="s">
        <v>461</v>
      </c>
      <c r="B225" s="6">
        <v>45382</v>
      </c>
      <c r="C225" t="s">
        <v>462</v>
      </c>
      <c r="D225" t="s">
        <v>20</v>
      </c>
      <c r="E225" t="s">
        <v>44</v>
      </c>
      <c r="F225" t="s">
        <v>16</v>
      </c>
      <c r="G225" s="7">
        <v>3</v>
      </c>
      <c r="H225" s="8">
        <v>48.98</v>
      </c>
      <c r="I225" s="9">
        <v>5</v>
      </c>
      <c r="J225" s="8">
        <v>139.59</v>
      </c>
      <c r="K225" s="8">
        <v>76.28</v>
      </c>
      <c r="L225" t="s">
        <v>33</v>
      </c>
    </row>
    <row r="226" spans="1:12" x14ac:dyDescent="0.25">
      <c r="A226" t="s">
        <v>463</v>
      </c>
      <c r="B226" s="6">
        <v>45704</v>
      </c>
      <c r="C226" t="s">
        <v>464</v>
      </c>
      <c r="D226" t="s">
        <v>31</v>
      </c>
      <c r="E226" t="s">
        <v>28</v>
      </c>
      <c r="F226" t="s">
        <v>16</v>
      </c>
      <c r="G226" s="7">
        <v>4</v>
      </c>
      <c r="H226" s="8">
        <v>40.909999999999997</v>
      </c>
      <c r="I226" s="9">
        <v>0</v>
      </c>
      <c r="J226" s="8">
        <v>163.63999999999999</v>
      </c>
      <c r="K226" s="8">
        <v>78.709999999999994</v>
      </c>
      <c r="L226" t="s">
        <v>17</v>
      </c>
    </row>
    <row r="227" spans="1:12" x14ac:dyDescent="0.25">
      <c r="A227" t="s">
        <v>465</v>
      </c>
      <c r="B227" s="6">
        <v>45545</v>
      </c>
      <c r="C227" t="s">
        <v>466</v>
      </c>
      <c r="D227" t="s">
        <v>20</v>
      </c>
      <c r="E227" t="s">
        <v>15</v>
      </c>
      <c r="F227" t="s">
        <v>16</v>
      </c>
      <c r="G227" s="7">
        <v>5</v>
      </c>
      <c r="H227" s="8">
        <v>35.24</v>
      </c>
      <c r="I227" s="9">
        <v>10</v>
      </c>
      <c r="J227" s="8">
        <v>158.58000000000001</v>
      </c>
      <c r="K227" s="8">
        <v>78.78</v>
      </c>
      <c r="L227" t="s">
        <v>17</v>
      </c>
    </row>
    <row r="228" spans="1:12" x14ac:dyDescent="0.25">
      <c r="A228" t="s">
        <v>467</v>
      </c>
      <c r="B228" s="6">
        <v>46004</v>
      </c>
      <c r="C228" t="s">
        <v>30</v>
      </c>
      <c r="D228" t="s">
        <v>31</v>
      </c>
      <c r="E228" t="s">
        <v>53</v>
      </c>
      <c r="F228" t="s">
        <v>16</v>
      </c>
      <c r="G228" s="7">
        <v>4</v>
      </c>
      <c r="H228" s="8">
        <v>33.99</v>
      </c>
      <c r="I228" s="9">
        <v>5</v>
      </c>
      <c r="J228" s="8">
        <v>129.16</v>
      </c>
      <c r="K228" s="8">
        <v>83.02</v>
      </c>
      <c r="L228" t="s">
        <v>48</v>
      </c>
    </row>
    <row r="229" spans="1:12" x14ac:dyDescent="0.25">
      <c r="A229" t="s">
        <v>468</v>
      </c>
      <c r="B229" s="6">
        <v>45628</v>
      </c>
      <c r="C229" t="s">
        <v>469</v>
      </c>
      <c r="D229" t="s">
        <v>24</v>
      </c>
      <c r="E229" t="s">
        <v>25</v>
      </c>
      <c r="F229" t="s">
        <v>16</v>
      </c>
      <c r="G229" s="7">
        <v>4</v>
      </c>
      <c r="H229" s="8">
        <v>47.3</v>
      </c>
      <c r="I229" s="9">
        <v>5</v>
      </c>
      <c r="J229" s="8">
        <v>179.74</v>
      </c>
      <c r="K229" s="8">
        <v>84.77</v>
      </c>
      <c r="L229" t="s">
        <v>17</v>
      </c>
    </row>
    <row r="230" spans="1:12" x14ac:dyDescent="0.25">
      <c r="A230" t="s">
        <v>470</v>
      </c>
      <c r="B230" s="6">
        <v>45590</v>
      </c>
      <c r="C230" t="s">
        <v>471</v>
      </c>
      <c r="D230" t="s">
        <v>31</v>
      </c>
      <c r="E230" t="s">
        <v>68</v>
      </c>
      <c r="F230" t="s">
        <v>16</v>
      </c>
      <c r="G230" s="7">
        <v>4</v>
      </c>
      <c r="H230" s="8">
        <v>47.81</v>
      </c>
      <c r="I230" s="9">
        <v>0</v>
      </c>
      <c r="J230" s="8">
        <v>191.24</v>
      </c>
      <c r="K230" s="8">
        <v>85.8</v>
      </c>
      <c r="L230" t="s">
        <v>17</v>
      </c>
    </row>
    <row r="231" spans="1:12" x14ac:dyDescent="0.25">
      <c r="A231" t="s">
        <v>472</v>
      </c>
      <c r="B231" s="6">
        <v>45737</v>
      </c>
      <c r="C231" t="s">
        <v>130</v>
      </c>
      <c r="D231" t="s">
        <v>14</v>
      </c>
      <c r="E231" t="s">
        <v>39</v>
      </c>
      <c r="F231" t="s">
        <v>16</v>
      </c>
      <c r="G231" s="7">
        <v>4</v>
      </c>
      <c r="H231" s="8">
        <v>37.78</v>
      </c>
      <c r="I231" s="9">
        <v>10</v>
      </c>
      <c r="J231" s="8">
        <v>136.01</v>
      </c>
      <c r="K231" s="8">
        <v>85.85</v>
      </c>
      <c r="L231" t="s">
        <v>33</v>
      </c>
    </row>
    <row r="232" spans="1:12" x14ac:dyDescent="0.25">
      <c r="A232" t="s">
        <v>473</v>
      </c>
      <c r="B232" s="6">
        <v>45916</v>
      </c>
      <c r="C232" t="s">
        <v>474</v>
      </c>
      <c r="D232" t="s">
        <v>20</v>
      </c>
      <c r="E232" t="s">
        <v>15</v>
      </c>
      <c r="F232" t="s">
        <v>16</v>
      </c>
      <c r="G232" s="7">
        <v>4</v>
      </c>
      <c r="H232" s="8">
        <v>42.39</v>
      </c>
      <c r="I232" s="9">
        <v>0</v>
      </c>
      <c r="J232" s="8">
        <v>169.56</v>
      </c>
      <c r="K232" s="8">
        <v>87.17</v>
      </c>
      <c r="L232" t="s">
        <v>33</v>
      </c>
    </row>
    <row r="233" spans="1:12" x14ac:dyDescent="0.25">
      <c r="A233" t="s">
        <v>475</v>
      </c>
      <c r="B233" s="6">
        <v>45969</v>
      </c>
      <c r="C233" t="s">
        <v>476</v>
      </c>
      <c r="D233" t="s">
        <v>14</v>
      </c>
      <c r="E233" t="s">
        <v>28</v>
      </c>
      <c r="F233" t="s">
        <v>16</v>
      </c>
      <c r="G233" s="7">
        <v>5</v>
      </c>
      <c r="H233" s="8">
        <v>34.380000000000003</v>
      </c>
      <c r="I233" s="9">
        <v>0</v>
      </c>
      <c r="J233" s="8">
        <v>171.9</v>
      </c>
      <c r="K233" s="8">
        <v>92.35</v>
      </c>
      <c r="L233" t="s">
        <v>33</v>
      </c>
    </row>
    <row r="234" spans="1:12" x14ac:dyDescent="0.25">
      <c r="A234" t="s">
        <v>477</v>
      </c>
      <c r="B234" s="6">
        <v>46015</v>
      </c>
      <c r="C234" t="s">
        <v>478</v>
      </c>
      <c r="D234" t="s">
        <v>24</v>
      </c>
      <c r="E234" t="s">
        <v>479</v>
      </c>
      <c r="F234" t="s">
        <v>480</v>
      </c>
      <c r="G234" s="7">
        <v>1</v>
      </c>
      <c r="H234" s="8">
        <v>15.46</v>
      </c>
      <c r="I234" s="9">
        <v>10</v>
      </c>
      <c r="J234" s="8">
        <v>13.91</v>
      </c>
      <c r="K234" s="8">
        <v>6.39</v>
      </c>
      <c r="L234" t="s">
        <v>33</v>
      </c>
    </row>
    <row r="235" spans="1:12" x14ac:dyDescent="0.25">
      <c r="A235" t="s">
        <v>481</v>
      </c>
      <c r="B235" s="6">
        <v>45641</v>
      </c>
      <c r="C235" t="s">
        <v>482</v>
      </c>
      <c r="D235" t="s">
        <v>14</v>
      </c>
      <c r="E235" t="s">
        <v>483</v>
      </c>
      <c r="F235" t="s">
        <v>480</v>
      </c>
      <c r="G235" s="7">
        <v>1</v>
      </c>
      <c r="H235" s="8">
        <v>20.79</v>
      </c>
      <c r="I235" s="9">
        <v>20</v>
      </c>
      <c r="J235" s="8">
        <v>16.63</v>
      </c>
      <c r="K235" s="8">
        <v>6.47</v>
      </c>
      <c r="L235" t="s">
        <v>48</v>
      </c>
    </row>
    <row r="236" spans="1:12" x14ac:dyDescent="0.25">
      <c r="A236" t="s">
        <v>484</v>
      </c>
      <c r="B236" s="6">
        <v>45598</v>
      </c>
      <c r="C236" t="s">
        <v>384</v>
      </c>
      <c r="D236" t="s">
        <v>24</v>
      </c>
      <c r="E236" t="s">
        <v>483</v>
      </c>
      <c r="F236" t="s">
        <v>480</v>
      </c>
      <c r="G236" s="7">
        <v>1</v>
      </c>
      <c r="H236" s="8">
        <v>24.11</v>
      </c>
      <c r="I236" s="9">
        <v>20</v>
      </c>
      <c r="J236" s="8">
        <v>19.29</v>
      </c>
      <c r="K236" s="8">
        <v>6.5</v>
      </c>
      <c r="L236" t="s">
        <v>33</v>
      </c>
    </row>
    <row r="237" spans="1:12" x14ac:dyDescent="0.25">
      <c r="A237" t="s">
        <v>485</v>
      </c>
      <c r="B237" s="6">
        <v>45598</v>
      </c>
      <c r="C237" t="s">
        <v>331</v>
      </c>
      <c r="D237" t="s">
        <v>36</v>
      </c>
      <c r="E237" t="s">
        <v>486</v>
      </c>
      <c r="F237" t="s">
        <v>480</v>
      </c>
      <c r="G237" s="7">
        <v>1</v>
      </c>
      <c r="H237" s="8">
        <v>21.2</v>
      </c>
      <c r="I237" s="9">
        <v>0</v>
      </c>
      <c r="J237" s="8">
        <v>21.2</v>
      </c>
      <c r="K237" s="8">
        <v>6.81</v>
      </c>
      <c r="L237" t="s">
        <v>33</v>
      </c>
    </row>
    <row r="238" spans="1:12" x14ac:dyDescent="0.25">
      <c r="A238" t="s">
        <v>487</v>
      </c>
      <c r="B238" s="6">
        <v>45618</v>
      </c>
      <c r="C238" t="s">
        <v>488</v>
      </c>
      <c r="D238" t="s">
        <v>24</v>
      </c>
      <c r="E238" t="s">
        <v>489</v>
      </c>
      <c r="F238" t="s">
        <v>480</v>
      </c>
      <c r="G238" s="7">
        <v>1</v>
      </c>
      <c r="H238" s="8">
        <v>16.13</v>
      </c>
      <c r="I238" s="9">
        <v>0</v>
      </c>
      <c r="J238" s="8">
        <v>16.13</v>
      </c>
      <c r="K238" s="8">
        <v>7.14</v>
      </c>
      <c r="L238" t="s">
        <v>33</v>
      </c>
    </row>
    <row r="239" spans="1:12" x14ac:dyDescent="0.25">
      <c r="A239" t="s">
        <v>490</v>
      </c>
      <c r="B239" s="6">
        <v>45704</v>
      </c>
      <c r="C239" t="s">
        <v>491</v>
      </c>
      <c r="D239" t="s">
        <v>14</v>
      </c>
      <c r="E239" t="s">
        <v>489</v>
      </c>
      <c r="F239" t="s">
        <v>480</v>
      </c>
      <c r="G239" s="7">
        <v>1</v>
      </c>
      <c r="H239" s="8">
        <v>22.47</v>
      </c>
      <c r="I239" s="9">
        <v>10</v>
      </c>
      <c r="J239" s="8">
        <v>20.22</v>
      </c>
      <c r="K239" s="8">
        <v>7.46</v>
      </c>
      <c r="L239" t="s">
        <v>17</v>
      </c>
    </row>
    <row r="240" spans="1:12" x14ac:dyDescent="0.25">
      <c r="A240" t="s">
        <v>492</v>
      </c>
      <c r="B240" s="6">
        <v>45751</v>
      </c>
      <c r="C240" t="s">
        <v>493</v>
      </c>
      <c r="D240" t="s">
        <v>36</v>
      </c>
      <c r="E240" t="s">
        <v>486</v>
      </c>
      <c r="F240" t="s">
        <v>480</v>
      </c>
      <c r="G240" s="7">
        <v>1</v>
      </c>
      <c r="H240" s="8">
        <v>16.87</v>
      </c>
      <c r="I240" s="9">
        <v>5</v>
      </c>
      <c r="J240" s="8">
        <v>16.03</v>
      </c>
      <c r="K240" s="8">
        <v>7.73</v>
      </c>
      <c r="L240" t="s">
        <v>17</v>
      </c>
    </row>
    <row r="241" spans="1:12" x14ac:dyDescent="0.25">
      <c r="A241" t="s">
        <v>494</v>
      </c>
      <c r="B241" s="6">
        <v>45310</v>
      </c>
      <c r="C241" t="s">
        <v>495</v>
      </c>
      <c r="D241" t="s">
        <v>14</v>
      </c>
      <c r="E241" t="s">
        <v>496</v>
      </c>
      <c r="F241" t="s">
        <v>480</v>
      </c>
      <c r="G241" s="7">
        <v>2</v>
      </c>
      <c r="H241" s="8">
        <v>16.5</v>
      </c>
      <c r="I241" s="9">
        <v>20</v>
      </c>
      <c r="J241" s="8">
        <v>26.4</v>
      </c>
      <c r="K241" s="8">
        <v>8.3699999999999992</v>
      </c>
      <c r="L241" t="s">
        <v>33</v>
      </c>
    </row>
    <row r="242" spans="1:12" x14ac:dyDescent="0.25">
      <c r="A242" t="s">
        <v>497</v>
      </c>
      <c r="B242" s="6">
        <v>45487</v>
      </c>
      <c r="C242" t="s">
        <v>94</v>
      </c>
      <c r="D242" t="s">
        <v>20</v>
      </c>
      <c r="E242" t="s">
        <v>496</v>
      </c>
      <c r="F242" t="s">
        <v>480</v>
      </c>
      <c r="G242" s="7">
        <v>1</v>
      </c>
      <c r="H242" s="8">
        <v>28.41</v>
      </c>
      <c r="I242" s="9">
        <v>0</v>
      </c>
      <c r="J242" s="8">
        <v>28.41</v>
      </c>
      <c r="K242" s="8">
        <v>8.9499999999999993</v>
      </c>
      <c r="L242" t="s">
        <v>33</v>
      </c>
    </row>
    <row r="243" spans="1:12" x14ac:dyDescent="0.25">
      <c r="A243" t="s">
        <v>498</v>
      </c>
      <c r="B243" s="6">
        <v>45623</v>
      </c>
      <c r="C243" t="s">
        <v>499</v>
      </c>
      <c r="D243" t="s">
        <v>36</v>
      </c>
      <c r="E243" t="s">
        <v>500</v>
      </c>
      <c r="F243" t="s">
        <v>480</v>
      </c>
      <c r="G243" s="7">
        <v>1</v>
      </c>
      <c r="H243" s="8">
        <v>21.47</v>
      </c>
      <c r="I243" s="9">
        <v>20</v>
      </c>
      <c r="J243" s="8">
        <v>17.18</v>
      </c>
      <c r="K243" s="8">
        <v>9.18</v>
      </c>
      <c r="L243" t="s">
        <v>17</v>
      </c>
    </row>
    <row r="244" spans="1:12" x14ac:dyDescent="0.25">
      <c r="A244" t="s">
        <v>501</v>
      </c>
      <c r="B244" s="6">
        <v>45620</v>
      </c>
      <c r="C244" t="s">
        <v>502</v>
      </c>
      <c r="D244" t="s">
        <v>20</v>
      </c>
      <c r="E244" t="s">
        <v>503</v>
      </c>
      <c r="F244" t="s">
        <v>480</v>
      </c>
      <c r="G244" s="7">
        <v>1</v>
      </c>
      <c r="H244" s="8">
        <v>31.5</v>
      </c>
      <c r="I244" s="9">
        <v>0</v>
      </c>
      <c r="J244" s="8">
        <v>31.5</v>
      </c>
      <c r="K244" s="8">
        <v>9.74</v>
      </c>
      <c r="L244" t="s">
        <v>17</v>
      </c>
    </row>
    <row r="245" spans="1:12" x14ac:dyDescent="0.25">
      <c r="A245" t="s">
        <v>504</v>
      </c>
      <c r="B245" s="6">
        <v>45293</v>
      </c>
      <c r="C245" t="s">
        <v>182</v>
      </c>
      <c r="D245" t="s">
        <v>24</v>
      </c>
      <c r="E245" t="s">
        <v>505</v>
      </c>
      <c r="F245" t="s">
        <v>480</v>
      </c>
      <c r="G245" s="7">
        <v>1</v>
      </c>
      <c r="H245" s="8">
        <v>27.35</v>
      </c>
      <c r="I245" s="9">
        <v>5</v>
      </c>
      <c r="J245" s="8">
        <v>25.98</v>
      </c>
      <c r="K245" s="8">
        <v>10.199999999999999</v>
      </c>
      <c r="L245" t="s">
        <v>33</v>
      </c>
    </row>
    <row r="246" spans="1:12" x14ac:dyDescent="0.25">
      <c r="A246" t="s">
        <v>506</v>
      </c>
      <c r="B246" s="6">
        <v>45651</v>
      </c>
      <c r="C246" t="s">
        <v>507</v>
      </c>
      <c r="D246" t="s">
        <v>14</v>
      </c>
      <c r="E246" t="s">
        <v>505</v>
      </c>
      <c r="F246" t="s">
        <v>480</v>
      </c>
      <c r="G246" s="7">
        <v>1</v>
      </c>
      <c r="H246" s="8">
        <v>30.6</v>
      </c>
      <c r="I246" s="9">
        <v>5</v>
      </c>
      <c r="J246" s="8">
        <v>29.07</v>
      </c>
      <c r="K246" s="8">
        <v>10.32</v>
      </c>
      <c r="L246" t="s">
        <v>33</v>
      </c>
    </row>
    <row r="247" spans="1:12" x14ac:dyDescent="0.25">
      <c r="A247" t="s">
        <v>508</v>
      </c>
      <c r="B247" s="6">
        <v>45511</v>
      </c>
      <c r="C247" t="s">
        <v>509</v>
      </c>
      <c r="D247" t="s">
        <v>24</v>
      </c>
      <c r="E247" t="s">
        <v>500</v>
      </c>
      <c r="F247" t="s">
        <v>480</v>
      </c>
      <c r="G247" s="7">
        <v>1</v>
      </c>
      <c r="H247" s="8">
        <v>20.170000000000002</v>
      </c>
      <c r="I247" s="9">
        <v>0</v>
      </c>
      <c r="J247" s="8">
        <v>20.170000000000002</v>
      </c>
      <c r="K247" s="8">
        <v>10.49</v>
      </c>
      <c r="L247" t="s">
        <v>33</v>
      </c>
    </row>
    <row r="248" spans="1:12" x14ac:dyDescent="0.25">
      <c r="A248" t="s">
        <v>510</v>
      </c>
      <c r="B248" s="6">
        <v>45454</v>
      </c>
      <c r="C248" t="s">
        <v>511</v>
      </c>
      <c r="D248" t="s">
        <v>31</v>
      </c>
      <c r="E248" t="s">
        <v>496</v>
      </c>
      <c r="F248" t="s">
        <v>480</v>
      </c>
      <c r="G248" s="7">
        <v>1</v>
      </c>
      <c r="H248" s="8">
        <v>20.92</v>
      </c>
      <c r="I248" s="9">
        <v>5</v>
      </c>
      <c r="J248" s="8">
        <v>19.87</v>
      </c>
      <c r="K248" s="8">
        <v>10.67</v>
      </c>
      <c r="L248" t="s">
        <v>33</v>
      </c>
    </row>
    <row r="249" spans="1:12" x14ac:dyDescent="0.25">
      <c r="A249" t="s">
        <v>512</v>
      </c>
      <c r="B249" s="6">
        <v>45967</v>
      </c>
      <c r="C249" t="s">
        <v>513</v>
      </c>
      <c r="D249" t="s">
        <v>31</v>
      </c>
      <c r="E249" t="s">
        <v>514</v>
      </c>
      <c r="F249" t="s">
        <v>480</v>
      </c>
      <c r="G249" s="7">
        <v>1</v>
      </c>
      <c r="H249" s="8">
        <v>26.24</v>
      </c>
      <c r="I249" s="9">
        <v>10</v>
      </c>
      <c r="J249" s="8">
        <v>23.62</v>
      </c>
      <c r="K249" s="8">
        <v>11.05</v>
      </c>
      <c r="L249" t="s">
        <v>17</v>
      </c>
    </row>
    <row r="250" spans="1:12" x14ac:dyDescent="0.25">
      <c r="A250" t="s">
        <v>515</v>
      </c>
      <c r="B250" s="6">
        <v>45359</v>
      </c>
      <c r="C250" t="s">
        <v>448</v>
      </c>
      <c r="D250" t="s">
        <v>24</v>
      </c>
      <c r="E250" t="s">
        <v>514</v>
      </c>
      <c r="F250" t="s">
        <v>480</v>
      </c>
      <c r="G250" s="7">
        <v>1</v>
      </c>
      <c r="H250" s="8">
        <v>30.67</v>
      </c>
      <c r="I250" s="9">
        <v>15</v>
      </c>
      <c r="J250" s="8">
        <v>26.07</v>
      </c>
      <c r="K250" s="8">
        <v>11.49</v>
      </c>
      <c r="L250" t="s">
        <v>33</v>
      </c>
    </row>
    <row r="251" spans="1:12" x14ac:dyDescent="0.25">
      <c r="A251" t="s">
        <v>516</v>
      </c>
      <c r="B251" s="6">
        <v>45364</v>
      </c>
      <c r="C251" t="s">
        <v>102</v>
      </c>
      <c r="D251" t="s">
        <v>24</v>
      </c>
      <c r="E251" t="s">
        <v>503</v>
      </c>
      <c r="F251" t="s">
        <v>480</v>
      </c>
      <c r="G251" s="7">
        <v>1</v>
      </c>
      <c r="H251" s="8">
        <v>38.19</v>
      </c>
      <c r="I251" s="9">
        <v>25</v>
      </c>
      <c r="J251" s="8">
        <v>28.64</v>
      </c>
      <c r="K251" s="8">
        <v>11.92</v>
      </c>
      <c r="L251" t="s">
        <v>33</v>
      </c>
    </row>
    <row r="252" spans="1:12" x14ac:dyDescent="0.25">
      <c r="A252" t="s">
        <v>517</v>
      </c>
      <c r="B252" s="6">
        <v>45628</v>
      </c>
      <c r="C252" t="s">
        <v>518</v>
      </c>
      <c r="D252" t="s">
        <v>36</v>
      </c>
      <c r="E252" t="s">
        <v>503</v>
      </c>
      <c r="F252" t="s">
        <v>480</v>
      </c>
      <c r="G252" s="7">
        <v>1</v>
      </c>
      <c r="H252" s="8">
        <v>41.98</v>
      </c>
      <c r="I252" s="9">
        <v>25</v>
      </c>
      <c r="J252" s="8">
        <v>31.49</v>
      </c>
      <c r="K252" s="8">
        <v>12.04</v>
      </c>
      <c r="L252" t="s">
        <v>17</v>
      </c>
    </row>
    <row r="253" spans="1:12" x14ac:dyDescent="0.25">
      <c r="A253" t="s">
        <v>519</v>
      </c>
      <c r="B253" s="6">
        <v>45515</v>
      </c>
      <c r="C253" t="s">
        <v>520</v>
      </c>
      <c r="D253" t="s">
        <v>24</v>
      </c>
      <c r="E253" t="s">
        <v>503</v>
      </c>
      <c r="F253" t="s">
        <v>480</v>
      </c>
      <c r="G253" s="7">
        <v>1</v>
      </c>
      <c r="H253" s="8">
        <v>47.82</v>
      </c>
      <c r="I253" s="9">
        <v>20</v>
      </c>
      <c r="J253" s="8">
        <v>38.26</v>
      </c>
      <c r="K253" s="8">
        <v>12.34</v>
      </c>
      <c r="L253" t="s">
        <v>48</v>
      </c>
    </row>
    <row r="254" spans="1:12" x14ac:dyDescent="0.25">
      <c r="A254" t="s">
        <v>521</v>
      </c>
      <c r="B254" s="6">
        <v>45395</v>
      </c>
      <c r="C254" t="s">
        <v>456</v>
      </c>
      <c r="D254" t="s">
        <v>31</v>
      </c>
      <c r="E254" t="s">
        <v>483</v>
      </c>
      <c r="F254" t="s">
        <v>480</v>
      </c>
      <c r="G254" s="7">
        <v>1</v>
      </c>
      <c r="H254" s="8">
        <v>26.13</v>
      </c>
      <c r="I254" s="9">
        <v>5</v>
      </c>
      <c r="J254" s="8">
        <v>24.82</v>
      </c>
      <c r="K254" s="8">
        <v>13.08</v>
      </c>
      <c r="L254" t="s">
        <v>33</v>
      </c>
    </row>
    <row r="255" spans="1:12" x14ac:dyDescent="0.25">
      <c r="A255" t="s">
        <v>522</v>
      </c>
      <c r="B255" s="6">
        <v>45632</v>
      </c>
      <c r="C255" t="s">
        <v>523</v>
      </c>
      <c r="D255" t="s">
        <v>14</v>
      </c>
      <c r="E255" t="s">
        <v>496</v>
      </c>
      <c r="F255" t="s">
        <v>480</v>
      </c>
      <c r="G255" s="7">
        <v>1</v>
      </c>
      <c r="H255" s="8">
        <v>37.65</v>
      </c>
      <c r="I255" s="9">
        <v>10</v>
      </c>
      <c r="J255" s="8">
        <v>33.89</v>
      </c>
      <c r="K255" s="8">
        <v>13.5</v>
      </c>
      <c r="L255" t="s">
        <v>17</v>
      </c>
    </row>
    <row r="256" spans="1:12" x14ac:dyDescent="0.25">
      <c r="A256" t="s">
        <v>524</v>
      </c>
      <c r="B256" s="6">
        <v>45511</v>
      </c>
      <c r="C256" t="s">
        <v>525</v>
      </c>
      <c r="D256" t="s">
        <v>20</v>
      </c>
      <c r="E256" t="s">
        <v>505</v>
      </c>
      <c r="F256" t="s">
        <v>480</v>
      </c>
      <c r="G256" s="7">
        <v>1</v>
      </c>
      <c r="H256" s="8">
        <v>28.32</v>
      </c>
      <c r="I256" s="9">
        <v>5</v>
      </c>
      <c r="J256" s="8">
        <v>26.9</v>
      </c>
      <c r="K256" s="8">
        <v>13.73</v>
      </c>
      <c r="L256" t="s">
        <v>48</v>
      </c>
    </row>
    <row r="257" spans="1:12" x14ac:dyDescent="0.25">
      <c r="A257" t="s">
        <v>526</v>
      </c>
      <c r="B257" s="6">
        <v>45377</v>
      </c>
      <c r="C257" t="s">
        <v>527</v>
      </c>
      <c r="D257" t="s">
        <v>31</v>
      </c>
      <c r="E257" t="s">
        <v>486</v>
      </c>
      <c r="F257" t="s">
        <v>480</v>
      </c>
      <c r="G257" s="7">
        <v>2</v>
      </c>
      <c r="H257" s="8">
        <v>29.84</v>
      </c>
      <c r="I257" s="9">
        <v>25</v>
      </c>
      <c r="J257" s="8">
        <v>44.76</v>
      </c>
      <c r="K257" s="8">
        <v>13.79</v>
      </c>
      <c r="L257" t="s">
        <v>17</v>
      </c>
    </row>
    <row r="258" spans="1:12" x14ac:dyDescent="0.25">
      <c r="A258" t="s">
        <v>528</v>
      </c>
      <c r="B258" s="6">
        <v>45500</v>
      </c>
      <c r="C258" t="s">
        <v>529</v>
      </c>
      <c r="D258" t="s">
        <v>24</v>
      </c>
      <c r="E258" t="s">
        <v>483</v>
      </c>
      <c r="F258" t="s">
        <v>480</v>
      </c>
      <c r="G258" s="7">
        <v>1</v>
      </c>
      <c r="H258" s="8">
        <v>35.83</v>
      </c>
      <c r="I258" s="9">
        <v>5</v>
      </c>
      <c r="J258" s="8">
        <v>34.04</v>
      </c>
      <c r="K258" s="8">
        <v>14.09</v>
      </c>
      <c r="L258" t="s">
        <v>33</v>
      </c>
    </row>
    <row r="259" spans="1:12" x14ac:dyDescent="0.25">
      <c r="A259" t="s">
        <v>530</v>
      </c>
      <c r="B259" s="6">
        <v>45710</v>
      </c>
      <c r="C259" t="s">
        <v>531</v>
      </c>
      <c r="D259" t="s">
        <v>36</v>
      </c>
      <c r="E259" t="s">
        <v>486</v>
      </c>
      <c r="F259" t="s">
        <v>480</v>
      </c>
      <c r="G259" s="7">
        <v>1</v>
      </c>
      <c r="H259" s="8">
        <v>44.4</v>
      </c>
      <c r="I259" s="9">
        <v>25</v>
      </c>
      <c r="J259" s="8">
        <v>33.299999999999997</v>
      </c>
      <c r="K259" s="8">
        <v>14.21</v>
      </c>
      <c r="L259" t="s">
        <v>48</v>
      </c>
    </row>
    <row r="260" spans="1:12" x14ac:dyDescent="0.25">
      <c r="A260" t="s">
        <v>532</v>
      </c>
      <c r="B260" s="6">
        <v>45961</v>
      </c>
      <c r="C260" t="s">
        <v>533</v>
      </c>
      <c r="D260" t="s">
        <v>36</v>
      </c>
      <c r="E260" t="s">
        <v>479</v>
      </c>
      <c r="F260" t="s">
        <v>480</v>
      </c>
      <c r="G260" s="7">
        <v>2</v>
      </c>
      <c r="H260" s="8">
        <v>22.08</v>
      </c>
      <c r="I260" s="9">
        <v>0</v>
      </c>
      <c r="J260" s="8">
        <v>44.16</v>
      </c>
      <c r="K260" s="8">
        <v>14.46</v>
      </c>
      <c r="L260" t="s">
        <v>33</v>
      </c>
    </row>
    <row r="261" spans="1:12" x14ac:dyDescent="0.25">
      <c r="A261" t="s">
        <v>534</v>
      </c>
      <c r="B261" s="6">
        <v>45547</v>
      </c>
      <c r="C261" t="s">
        <v>535</v>
      </c>
      <c r="D261" t="s">
        <v>31</v>
      </c>
      <c r="E261" t="s">
        <v>514</v>
      </c>
      <c r="F261" t="s">
        <v>480</v>
      </c>
      <c r="G261" s="7">
        <v>1</v>
      </c>
      <c r="H261" s="8">
        <v>44.29</v>
      </c>
      <c r="I261" s="9">
        <v>5</v>
      </c>
      <c r="J261" s="8">
        <v>42.08</v>
      </c>
      <c r="K261" s="8">
        <v>14.63</v>
      </c>
      <c r="L261" t="s">
        <v>17</v>
      </c>
    </row>
    <row r="262" spans="1:12" x14ac:dyDescent="0.25">
      <c r="A262" t="s">
        <v>536</v>
      </c>
      <c r="B262" s="6">
        <v>45986</v>
      </c>
      <c r="C262" t="s">
        <v>537</v>
      </c>
      <c r="D262" t="s">
        <v>14</v>
      </c>
      <c r="E262" t="s">
        <v>489</v>
      </c>
      <c r="F262" t="s">
        <v>480</v>
      </c>
      <c r="G262" s="7">
        <v>1</v>
      </c>
      <c r="H262" s="8">
        <v>40.14</v>
      </c>
      <c r="I262" s="9">
        <v>0</v>
      </c>
      <c r="J262" s="8">
        <v>40.14</v>
      </c>
      <c r="K262" s="8">
        <v>14.65</v>
      </c>
      <c r="L262" t="s">
        <v>33</v>
      </c>
    </row>
    <row r="263" spans="1:12" x14ac:dyDescent="0.25">
      <c r="A263" t="s">
        <v>538</v>
      </c>
      <c r="B263" s="6">
        <v>45825</v>
      </c>
      <c r="C263" t="s">
        <v>539</v>
      </c>
      <c r="D263" t="s">
        <v>14</v>
      </c>
      <c r="E263" t="s">
        <v>503</v>
      </c>
      <c r="F263" t="s">
        <v>480</v>
      </c>
      <c r="G263" s="7">
        <v>1</v>
      </c>
      <c r="H263" s="8">
        <v>37.76</v>
      </c>
      <c r="I263" s="9">
        <v>0</v>
      </c>
      <c r="J263" s="8">
        <v>37.76</v>
      </c>
      <c r="K263" s="8">
        <v>15.02</v>
      </c>
      <c r="L263" t="s">
        <v>33</v>
      </c>
    </row>
    <row r="264" spans="1:12" x14ac:dyDescent="0.25">
      <c r="A264" t="s">
        <v>540</v>
      </c>
      <c r="B264" s="6">
        <v>45644</v>
      </c>
      <c r="C264" t="s">
        <v>541</v>
      </c>
      <c r="D264" t="s">
        <v>24</v>
      </c>
      <c r="E264" t="s">
        <v>505</v>
      </c>
      <c r="F264" t="s">
        <v>480</v>
      </c>
      <c r="G264" s="7">
        <v>1</v>
      </c>
      <c r="H264" s="8">
        <v>50.57</v>
      </c>
      <c r="I264" s="9">
        <v>5</v>
      </c>
      <c r="J264" s="8">
        <v>48.04</v>
      </c>
      <c r="K264" s="8">
        <v>15.43</v>
      </c>
      <c r="L264" t="s">
        <v>17</v>
      </c>
    </row>
    <row r="265" spans="1:12" x14ac:dyDescent="0.25">
      <c r="A265" t="s">
        <v>542</v>
      </c>
      <c r="B265" s="6">
        <v>45473</v>
      </c>
      <c r="C265" t="s">
        <v>543</v>
      </c>
      <c r="D265" t="s">
        <v>36</v>
      </c>
      <c r="E265" t="s">
        <v>489</v>
      </c>
      <c r="F265" t="s">
        <v>480</v>
      </c>
      <c r="G265" s="7">
        <v>1</v>
      </c>
      <c r="H265" s="8">
        <v>34.94</v>
      </c>
      <c r="I265" s="9">
        <v>15</v>
      </c>
      <c r="J265" s="8">
        <v>29.7</v>
      </c>
      <c r="K265" s="8">
        <v>15.6</v>
      </c>
      <c r="L265" t="s">
        <v>33</v>
      </c>
    </row>
    <row r="266" spans="1:12" x14ac:dyDescent="0.25">
      <c r="A266" t="s">
        <v>544</v>
      </c>
      <c r="B266" s="6">
        <v>45461</v>
      </c>
      <c r="C266" t="s">
        <v>545</v>
      </c>
      <c r="D266" t="s">
        <v>36</v>
      </c>
      <c r="E266" t="s">
        <v>546</v>
      </c>
      <c r="F266" t="s">
        <v>480</v>
      </c>
      <c r="G266" s="7">
        <v>2</v>
      </c>
      <c r="H266" s="8">
        <v>23.98</v>
      </c>
      <c r="I266" s="9">
        <v>0</v>
      </c>
      <c r="J266" s="8">
        <v>47.96</v>
      </c>
      <c r="K266" s="8">
        <v>15.87</v>
      </c>
      <c r="L266" t="s">
        <v>33</v>
      </c>
    </row>
    <row r="267" spans="1:12" x14ac:dyDescent="0.25">
      <c r="A267" t="s">
        <v>547</v>
      </c>
      <c r="B267" s="6">
        <v>45886</v>
      </c>
      <c r="C267" t="s">
        <v>548</v>
      </c>
      <c r="D267" t="s">
        <v>14</v>
      </c>
      <c r="E267" t="s">
        <v>546</v>
      </c>
      <c r="F267" t="s">
        <v>480</v>
      </c>
      <c r="G267" s="7">
        <v>1</v>
      </c>
      <c r="H267" s="8">
        <v>55.15</v>
      </c>
      <c r="I267" s="9">
        <v>20</v>
      </c>
      <c r="J267" s="8">
        <v>44.12</v>
      </c>
      <c r="K267" s="8">
        <v>16.079999999999998</v>
      </c>
      <c r="L267" t="s">
        <v>33</v>
      </c>
    </row>
    <row r="268" spans="1:12" x14ac:dyDescent="0.25">
      <c r="A268" t="s">
        <v>549</v>
      </c>
      <c r="B268" s="6">
        <v>45470</v>
      </c>
      <c r="C268" t="s">
        <v>550</v>
      </c>
      <c r="D268" t="s">
        <v>14</v>
      </c>
      <c r="E268" t="s">
        <v>486</v>
      </c>
      <c r="F268" t="s">
        <v>480</v>
      </c>
      <c r="G268" s="7">
        <v>1</v>
      </c>
      <c r="H268" s="8">
        <v>29.71</v>
      </c>
      <c r="I268" s="9">
        <v>0</v>
      </c>
      <c r="J268" s="8">
        <v>29.71</v>
      </c>
      <c r="K268" s="8">
        <v>16.149999999999999</v>
      </c>
      <c r="L268" t="s">
        <v>33</v>
      </c>
    </row>
    <row r="269" spans="1:12" x14ac:dyDescent="0.25">
      <c r="A269" t="s">
        <v>551</v>
      </c>
      <c r="B269" s="6">
        <v>45463</v>
      </c>
      <c r="C269" t="s">
        <v>552</v>
      </c>
      <c r="D269" t="s">
        <v>20</v>
      </c>
      <c r="E269" t="s">
        <v>505</v>
      </c>
      <c r="F269" t="s">
        <v>480</v>
      </c>
      <c r="G269" s="7">
        <v>1</v>
      </c>
      <c r="H269" s="8">
        <v>46.46</v>
      </c>
      <c r="I269" s="9">
        <v>15</v>
      </c>
      <c r="J269" s="8">
        <v>39.49</v>
      </c>
      <c r="K269" s="8">
        <v>16.260000000000002</v>
      </c>
      <c r="L269" t="s">
        <v>33</v>
      </c>
    </row>
    <row r="270" spans="1:12" x14ac:dyDescent="0.25">
      <c r="A270" t="s">
        <v>553</v>
      </c>
      <c r="B270" s="6">
        <v>45608</v>
      </c>
      <c r="C270" t="s">
        <v>554</v>
      </c>
      <c r="D270" t="s">
        <v>20</v>
      </c>
      <c r="E270" t="s">
        <v>483</v>
      </c>
      <c r="F270" t="s">
        <v>480</v>
      </c>
      <c r="G270" s="7">
        <v>1</v>
      </c>
      <c r="H270" s="8">
        <v>49.4</v>
      </c>
      <c r="I270" s="9">
        <v>15</v>
      </c>
      <c r="J270" s="8">
        <v>41.99</v>
      </c>
      <c r="K270" s="8">
        <v>16.399999999999999</v>
      </c>
      <c r="L270" t="s">
        <v>48</v>
      </c>
    </row>
    <row r="271" spans="1:12" x14ac:dyDescent="0.25">
      <c r="A271" t="s">
        <v>555</v>
      </c>
      <c r="B271" s="6">
        <v>45789</v>
      </c>
      <c r="C271" t="s">
        <v>556</v>
      </c>
      <c r="D271" t="s">
        <v>20</v>
      </c>
      <c r="E271" t="s">
        <v>496</v>
      </c>
      <c r="F271" t="s">
        <v>480</v>
      </c>
      <c r="G271" s="7">
        <v>2</v>
      </c>
      <c r="H271" s="8">
        <v>24.25</v>
      </c>
      <c r="I271" s="9">
        <v>15</v>
      </c>
      <c r="J271" s="8">
        <v>41.23</v>
      </c>
      <c r="K271" s="8">
        <v>16.559999999999999</v>
      </c>
      <c r="L271" t="s">
        <v>17</v>
      </c>
    </row>
    <row r="272" spans="1:12" x14ac:dyDescent="0.25">
      <c r="A272" t="s">
        <v>557</v>
      </c>
      <c r="B272" s="6">
        <v>45755</v>
      </c>
      <c r="C272" t="s">
        <v>509</v>
      </c>
      <c r="D272" t="s">
        <v>20</v>
      </c>
      <c r="E272" t="s">
        <v>505</v>
      </c>
      <c r="F272" t="s">
        <v>480</v>
      </c>
      <c r="G272" s="7">
        <v>1</v>
      </c>
      <c r="H272" s="8">
        <v>55.21</v>
      </c>
      <c r="I272" s="9">
        <v>5</v>
      </c>
      <c r="J272" s="8">
        <v>52.45</v>
      </c>
      <c r="K272" s="8">
        <v>17.53</v>
      </c>
      <c r="L272" t="s">
        <v>33</v>
      </c>
    </row>
    <row r="273" spans="1:12" x14ac:dyDescent="0.25">
      <c r="A273" t="s">
        <v>558</v>
      </c>
      <c r="B273" s="6">
        <v>45793</v>
      </c>
      <c r="C273" t="s">
        <v>559</v>
      </c>
      <c r="D273" t="s">
        <v>36</v>
      </c>
      <c r="E273" t="s">
        <v>500</v>
      </c>
      <c r="F273" t="s">
        <v>480</v>
      </c>
      <c r="G273" s="7">
        <v>1</v>
      </c>
      <c r="H273" s="8">
        <v>41.12</v>
      </c>
      <c r="I273" s="9">
        <v>15</v>
      </c>
      <c r="J273" s="8">
        <v>34.950000000000003</v>
      </c>
      <c r="K273" s="8">
        <v>17.600000000000001</v>
      </c>
      <c r="L273" t="s">
        <v>17</v>
      </c>
    </row>
    <row r="274" spans="1:12" x14ac:dyDescent="0.25">
      <c r="A274" t="s">
        <v>560</v>
      </c>
      <c r="B274" s="6">
        <v>45942</v>
      </c>
      <c r="C274" t="s">
        <v>561</v>
      </c>
      <c r="D274" t="s">
        <v>36</v>
      </c>
      <c r="E274" t="s">
        <v>505</v>
      </c>
      <c r="F274" t="s">
        <v>480</v>
      </c>
      <c r="G274" s="7">
        <v>2</v>
      </c>
      <c r="H274" s="8">
        <v>26.99</v>
      </c>
      <c r="I274" s="9">
        <v>0</v>
      </c>
      <c r="J274" s="8">
        <v>53.98</v>
      </c>
      <c r="K274" s="8">
        <v>17.75</v>
      </c>
      <c r="L274" t="s">
        <v>33</v>
      </c>
    </row>
    <row r="275" spans="1:12" x14ac:dyDescent="0.25">
      <c r="A275" t="s">
        <v>562</v>
      </c>
      <c r="B275" s="6">
        <v>45384</v>
      </c>
      <c r="C275" t="s">
        <v>563</v>
      </c>
      <c r="D275" t="s">
        <v>14</v>
      </c>
      <c r="E275" t="s">
        <v>496</v>
      </c>
      <c r="F275" t="s">
        <v>480</v>
      </c>
      <c r="G275" s="7">
        <v>1</v>
      </c>
      <c r="H275" s="8">
        <v>41.16</v>
      </c>
      <c r="I275" s="9">
        <v>0</v>
      </c>
      <c r="J275" s="8">
        <v>41.16</v>
      </c>
      <c r="K275" s="8">
        <v>18.760000000000002</v>
      </c>
      <c r="L275" t="s">
        <v>33</v>
      </c>
    </row>
    <row r="276" spans="1:12" x14ac:dyDescent="0.25">
      <c r="A276" t="s">
        <v>564</v>
      </c>
      <c r="B276" s="6">
        <v>45991</v>
      </c>
      <c r="C276" t="s">
        <v>565</v>
      </c>
      <c r="D276" t="s">
        <v>36</v>
      </c>
      <c r="E276" t="s">
        <v>496</v>
      </c>
      <c r="F276" t="s">
        <v>480</v>
      </c>
      <c r="G276" s="7">
        <v>1</v>
      </c>
      <c r="H276" s="8">
        <v>58.99</v>
      </c>
      <c r="I276" s="9">
        <v>15</v>
      </c>
      <c r="J276" s="8">
        <v>50.14</v>
      </c>
      <c r="K276" s="8">
        <v>18.760000000000002</v>
      </c>
      <c r="L276" t="s">
        <v>17</v>
      </c>
    </row>
    <row r="277" spans="1:12" x14ac:dyDescent="0.25">
      <c r="A277" t="s">
        <v>566</v>
      </c>
      <c r="B277" s="6">
        <v>45629</v>
      </c>
      <c r="C277" t="s">
        <v>567</v>
      </c>
      <c r="D277" t="s">
        <v>31</v>
      </c>
      <c r="E277" t="s">
        <v>514</v>
      </c>
      <c r="F277" t="s">
        <v>480</v>
      </c>
      <c r="G277" s="7">
        <v>2</v>
      </c>
      <c r="H277" s="8">
        <v>20.9</v>
      </c>
      <c r="I277" s="9">
        <v>5</v>
      </c>
      <c r="J277" s="8">
        <v>39.71</v>
      </c>
      <c r="K277" s="8">
        <v>19.23</v>
      </c>
      <c r="L277" t="s">
        <v>17</v>
      </c>
    </row>
    <row r="278" spans="1:12" x14ac:dyDescent="0.25">
      <c r="A278" t="s">
        <v>568</v>
      </c>
      <c r="B278" s="6">
        <v>45595</v>
      </c>
      <c r="C278" t="s">
        <v>569</v>
      </c>
      <c r="D278" t="s">
        <v>20</v>
      </c>
      <c r="E278" t="s">
        <v>483</v>
      </c>
      <c r="F278" t="s">
        <v>480</v>
      </c>
      <c r="G278" s="7">
        <v>1</v>
      </c>
      <c r="H278" s="8">
        <v>42.57</v>
      </c>
      <c r="I278" s="9">
        <v>10</v>
      </c>
      <c r="J278" s="8">
        <v>38.31</v>
      </c>
      <c r="K278" s="8">
        <v>19.309999999999999</v>
      </c>
      <c r="L278" t="s">
        <v>33</v>
      </c>
    </row>
    <row r="279" spans="1:12" x14ac:dyDescent="0.25">
      <c r="A279" t="s">
        <v>570</v>
      </c>
      <c r="B279" s="6">
        <v>45993</v>
      </c>
      <c r="C279" t="s">
        <v>571</v>
      </c>
      <c r="D279" t="s">
        <v>14</v>
      </c>
      <c r="E279" t="s">
        <v>546</v>
      </c>
      <c r="F279" t="s">
        <v>480</v>
      </c>
      <c r="G279" s="7">
        <v>2</v>
      </c>
      <c r="H279" s="8">
        <v>19.690000000000001</v>
      </c>
      <c r="I279" s="9">
        <v>5</v>
      </c>
      <c r="J279" s="8">
        <v>37.409999999999997</v>
      </c>
      <c r="K279" s="8">
        <v>19.399999999999999</v>
      </c>
      <c r="L279" t="s">
        <v>33</v>
      </c>
    </row>
    <row r="280" spans="1:12" x14ac:dyDescent="0.25">
      <c r="A280" t="s">
        <v>572</v>
      </c>
      <c r="B280" s="6">
        <v>45632</v>
      </c>
      <c r="C280" t="s">
        <v>573</v>
      </c>
      <c r="D280" t="s">
        <v>36</v>
      </c>
      <c r="E280" t="s">
        <v>546</v>
      </c>
      <c r="F280" t="s">
        <v>480</v>
      </c>
      <c r="G280" s="7">
        <v>1</v>
      </c>
      <c r="H280" s="8">
        <v>59.95</v>
      </c>
      <c r="I280" s="9">
        <v>0</v>
      </c>
      <c r="J280" s="8">
        <v>59.95</v>
      </c>
      <c r="K280" s="8">
        <v>19.41</v>
      </c>
      <c r="L280" t="s">
        <v>33</v>
      </c>
    </row>
    <row r="281" spans="1:12" x14ac:dyDescent="0.25">
      <c r="A281" t="s">
        <v>574</v>
      </c>
      <c r="B281" s="6">
        <v>45620</v>
      </c>
      <c r="C281" t="s">
        <v>575</v>
      </c>
      <c r="D281" t="s">
        <v>24</v>
      </c>
      <c r="E281" t="s">
        <v>546</v>
      </c>
      <c r="F281" t="s">
        <v>480</v>
      </c>
      <c r="G281" s="7">
        <v>1</v>
      </c>
      <c r="H281" s="8">
        <v>55.97</v>
      </c>
      <c r="I281" s="9">
        <v>15</v>
      </c>
      <c r="J281" s="8">
        <v>47.57</v>
      </c>
      <c r="K281" s="8">
        <v>20.13</v>
      </c>
      <c r="L281" t="s">
        <v>33</v>
      </c>
    </row>
    <row r="282" spans="1:12" x14ac:dyDescent="0.25">
      <c r="A282" t="s">
        <v>576</v>
      </c>
      <c r="B282" s="6">
        <v>45987</v>
      </c>
      <c r="C282" t="s">
        <v>577</v>
      </c>
      <c r="D282" t="s">
        <v>24</v>
      </c>
      <c r="E282" t="s">
        <v>489</v>
      </c>
      <c r="F282" t="s">
        <v>480</v>
      </c>
      <c r="G282" s="7">
        <v>1</v>
      </c>
      <c r="H282" s="8">
        <v>43.57</v>
      </c>
      <c r="I282" s="9">
        <v>0</v>
      </c>
      <c r="J282" s="8">
        <v>43.57</v>
      </c>
      <c r="K282" s="8">
        <v>20.22</v>
      </c>
      <c r="L282" t="s">
        <v>33</v>
      </c>
    </row>
    <row r="283" spans="1:12" x14ac:dyDescent="0.25">
      <c r="A283" t="s">
        <v>578</v>
      </c>
      <c r="B283" s="6">
        <v>45466</v>
      </c>
      <c r="C283" t="s">
        <v>579</v>
      </c>
      <c r="D283" t="s">
        <v>31</v>
      </c>
      <c r="E283" t="s">
        <v>486</v>
      </c>
      <c r="F283" t="s">
        <v>480</v>
      </c>
      <c r="G283" s="7">
        <v>2</v>
      </c>
      <c r="H283" s="8">
        <v>44.37</v>
      </c>
      <c r="I283" s="9">
        <v>25</v>
      </c>
      <c r="J283" s="8">
        <v>66.55</v>
      </c>
      <c r="K283" s="8">
        <v>20.28</v>
      </c>
      <c r="L283" t="s">
        <v>33</v>
      </c>
    </row>
    <row r="284" spans="1:12" x14ac:dyDescent="0.25">
      <c r="A284" t="s">
        <v>580</v>
      </c>
      <c r="B284" s="6">
        <v>45736</v>
      </c>
      <c r="C284" t="s">
        <v>581</v>
      </c>
      <c r="D284" t="s">
        <v>20</v>
      </c>
      <c r="E284" t="s">
        <v>546</v>
      </c>
      <c r="F284" t="s">
        <v>480</v>
      </c>
      <c r="G284" s="7">
        <v>2</v>
      </c>
      <c r="H284" s="8">
        <v>30.53</v>
      </c>
      <c r="I284" s="9">
        <v>10</v>
      </c>
      <c r="J284" s="8">
        <v>54.95</v>
      </c>
      <c r="K284" s="8">
        <v>20.67</v>
      </c>
      <c r="L284" t="s">
        <v>48</v>
      </c>
    </row>
    <row r="285" spans="1:12" x14ac:dyDescent="0.25">
      <c r="A285" t="s">
        <v>582</v>
      </c>
      <c r="B285" s="6">
        <v>45593</v>
      </c>
      <c r="C285" t="s">
        <v>583</v>
      </c>
      <c r="D285" t="s">
        <v>20</v>
      </c>
      <c r="E285" t="s">
        <v>489</v>
      </c>
      <c r="F285" t="s">
        <v>480</v>
      </c>
      <c r="G285" s="7">
        <v>1</v>
      </c>
      <c r="H285" s="8">
        <v>57.81</v>
      </c>
      <c r="I285" s="9">
        <v>5</v>
      </c>
      <c r="J285" s="8">
        <v>54.92</v>
      </c>
      <c r="K285" s="8">
        <v>20.77</v>
      </c>
      <c r="L285" t="s">
        <v>33</v>
      </c>
    </row>
    <row r="286" spans="1:12" x14ac:dyDescent="0.25">
      <c r="A286" t="s">
        <v>584</v>
      </c>
      <c r="B286" s="6">
        <v>45649</v>
      </c>
      <c r="C286" t="s">
        <v>585</v>
      </c>
      <c r="D286" t="s">
        <v>20</v>
      </c>
      <c r="E286" t="s">
        <v>503</v>
      </c>
      <c r="F286" t="s">
        <v>480</v>
      </c>
      <c r="G286" s="7">
        <v>1</v>
      </c>
      <c r="H286" s="8">
        <v>45.28</v>
      </c>
      <c r="I286" s="9">
        <v>0</v>
      </c>
      <c r="J286" s="8">
        <v>45.28</v>
      </c>
      <c r="K286" s="8">
        <v>20.92</v>
      </c>
      <c r="L286" t="s">
        <v>33</v>
      </c>
    </row>
    <row r="287" spans="1:12" x14ac:dyDescent="0.25">
      <c r="A287" t="s">
        <v>586</v>
      </c>
      <c r="B287" s="6">
        <v>45873</v>
      </c>
      <c r="C287" t="s">
        <v>587</v>
      </c>
      <c r="D287" t="s">
        <v>36</v>
      </c>
      <c r="E287" t="s">
        <v>546</v>
      </c>
      <c r="F287" t="s">
        <v>480</v>
      </c>
      <c r="G287" s="7">
        <v>2</v>
      </c>
      <c r="H287" s="8">
        <v>25.33</v>
      </c>
      <c r="I287" s="9">
        <v>10</v>
      </c>
      <c r="J287" s="8">
        <v>45.59</v>
      </c>
      <c r="K287" s="8">
        <v>20.97</v>
      </c>
      <c r="L287" t="s">
        <v>33</v>
      </c>
    </row>
    <row r="288" spans="1:12" x14ac:dyDescent="0.25">
      <c r="A288" t="s">
        <v>588</v>
      </c>
      <c r="B288" s="6">
        <v>45325</v>
      </c>
      <c r="C288" t="s">
        <v>422</v>
      </c>
      <c r="D288" t="s">
        <v>14</v>
      </c>
      <c r="E288" t="s">
        <v>496</v>
      </c>
      <c r="F288" t="s">
        <v>480</v>
      </c>
      <c r="G288" s="7">
        <v>1</v>
      </c>
      <c r="H288" s="8">
        <v>45.6</v>
      </c>
      <c r="I288" s="9">
        <v>0</v>
      </c>
      <c r="J288" s="8">
        <v>45.6</v>
      </c>
      <c r="K288" s="8">
        <v>21.05</v>
      </c>
      <c r="L288" t="s">
        <v>33</v>
      </c>
    </row>
    <row r="289" spans="1:12" x14ac:dyDescent="0.25">
      <c r="A289" t="s">
        <v>589</v>
      </c>
      <c r="B289" s="6">
        <v>45294</v>
      </c>
      <c r="C289" t="s">
        <v>590</v>
      </c>
      <c r="D289" t="s">
        <v>31</v>
      </c>
      <c r="E289" t="s">
        <v>514</v>
      </c>
      <c r="F289" t="s">
        <v>480</v>
      </c>
      <c r="G289" s="7">
        <v>1</v>
      </c>
      <c r="H289" s="8">
        <v>46.03</v>
      </c>
      <c r="I289" s="9">
        <v>10</v>
      </c>
      <c r="J289" s="8">
        <v>41.43</v>
      </c>
      <c r="K289" s="8">
        <v>21.19</v>
      </c>
      <c r="L289" t="s">
        <v>33</v>
      </c>
    </row>
    <row r="290" spans="1:12" x14ac:dyDescent="0.25">
      <c r="A290" t="s">
        <v>591</v>
      </c>
      <c r="B290" s="6">
        <v>45573</v>
      </c>
      <c r="C290" t="s">
        <v>592</v>
      </c>
      <c r="D290" t="s">
        <v>31</v>
      </c>
      <c r="E290" t="s">
        <v>503</v>
      </c>
      <c r="F290" t="s">
        <v>480</v>
      </c>
      <c r="G290" s="7">
        <v>1</v>
      </c>
      <c r="H290" s="8">
        <v>42.04</v>
      </c>
      <c r="I290" s="9">
        <v>5</v>
      </c>
      <c r="J290" s="8">
        <v>39.94</v>
      </c>
      <c r="K290" s="8">
        <v>21.42</v>
      </c>
      <c r="L290" t="s">
        <v>17</v>
      </c>
    </row>
    <row r="291" spans="1:12" x14ac:dyDescent="0.25">
      <c r="A291" t="s">
        <v>593</v>
      </c>
      <c r="B291" s="6">
        <v>45620</v>
      </c>
      <c r="C291" t="s">
        <v>594</v>
      </c>
      <c r="D291" t="s">
        <v>20</v>
      </c>
      <c r="E291" t="s">
        <v>500</v>
      </c>
      <c r="F291" t="s">
        <v>480</v>
      </c>
      <c r="G291" s="7">
        <v>1</v>
      </c>
      <c r="H291" s="8">
        <v>62.84</v>
      </c>
      <c r="I291" s="9">
        <v>20</v>
      </c>
      <c r="J291" s="8">
        <v>50.27</v>
      </c>
      <c r="K291" s="8">
        <v>21.42</v>
      </c>
      <c r="L291" t="s">
        <v>17</v>
      </c>
    </row>
    <row r="292" spans="1:12" x14ac:dyDescent="0.25">
      <c r="A292" t="s">
        <v>595</v>
      </c>
      <c r="B292" s="6">
        <v>45990</v>
      </c>
      <c r="C292" t="s">
        <v>596</v>
      </c>
      <c r="D292" t="s">
        <v>14</v>
      </c>
      <c r="E292" t="s">
        <v>503</v>
      </c>
      <c r="F292" t="s">
        <v>480</v>
      </c>
      <c r="G292" s="7">
        <v>1</v>
      </c>
      <c r="H292" s="8">
        <v>58.74</v>
      </c>
      <c r="I292" s="9">
        <v>0</v>
      </c>
      <c r="J292" s="8">
        <v>58.74</v>
      </c>
      <c r="K292" s="8">
        <v>21.93</v>
      </c>
      <c r="L292" t="s">
        <v>17</v>
      </c>
    </row>
    <row r="293" spans="1:12" x14ac:dyDescent="0.25">
      <c r="A293" t="s">
        <v>597</v>
      </c>
      <c r="B293" s="6">
        <v>45766</v>
      </c>
      <c r="C293" t="s">
        <v>598</v>
      </c>
      <c r="D293" t="s">
        <v>14</v>
      </c>
      <c r="E293" t="s">
        <v>489</v>
      </c>
      <c r="F293" t="s">
        <v>480</v>
      </c>
      <c r="G293" s="7">
        <v>1</v>
      </c>
      <c r="H293" s="8">
        <v>43.17</v>
      </c>
      <c r="I293" s="9">
        <v>0</v>
      </c>
      <c r="J293" s="8">
        <v>43.17</v>
      </c>
      <c r="K293" s="8">
        <v>22.43</v>
      </c>
      <c r="L293" t="s">
        <v>33</v>
      </c>
    </row>
    <row r="294" spans="1:12" x14ac:dyDescent="0.25">
      <c r="A294" t="s">
        <v>599</v>
      </c>
      <c r="B294" s="6">
        <v>45445</v>
      </c>
      <c r="C294" t="s">
        <v>600</v>
      </c>
      <c r="D294" t="s">
        <v>36</v>
      </c>
      <c r="E294" t="s">
        <v>489</v>
      </c>
      <c r="F294" t="s">
        <v>480</v>
      </c>
      <c r="G294" s="7">
        <v>1</v>
      </c>
      <c r="H294" s="8">
        <v>67.5</v>
      </c>
      <c r="I294" s="9">
        <v>0</v>
      </c>
      <c r="J294" s="8">
        <v>67.5</v>
      </c>
      <c r="K294" s="8">
        <v>22.48</v>
      </c>
      <c r="L294" t="s">
        <v>33</v>
      </c>
    </row>
    <row r="295" spans="1:12" x14ac:dyDescent="0.25">
      <c r="A295" t="s">
        <v>601</v>
      </c>
      <c r="B295" s="6">
        <v>45298</v>
      </c>
      <c r="C295" t="s">
        <v>602</v>
      </c>
      <c r="D295" t="s">
        <v>20</v>
      </c>
      <c r="E295" t="s">
        <v>489</v>
      </c>
      <c r="F295" t="s">
        <v>480</v>
      </c>
      <c r="G295" s="7">
        <v>1</v>
      </c>
      <c r="H295" s="8">
        <v>67.23</v>
      </c>
      <c r="I295" s="9">
        <v>0</v>
      </c>
      <c r="J295" s="8">
        <v>67.23</v>
      </c>
      <c r="K295" s="8">
        <v>23.45</v>
      </c>
      <c r="L295" t="s">
        <v>48</v>
      </c>
    </row>
    <row r="296" spans="1:12" x14ac:dyDescent="0.25">
      <c r="A296" t="s">
        <v>603</v>
      </c>
      <c r="B296" s="6">
        <v>45420</v>
      </c>
      <c r="C296" t="s">
        <v>604</v>
      </c>
      <c r="D296" t="s">
        <v>20</v>
      </c>
      <c r="E296" t="s">
        <v>489</v>
      </c>
      <c r="F296" t="s">
        <v>480</v>
      </c>
      <c r="G296" s="7">
        <v>1</v>
      </c>
      <c r="H296" s="8">
        <v>72.900000000000006</v>
      </c>
      <c r="I296" s="9">
        <v>0</v>
      </c>
      <c r="J296" s="8">
        <v>72.900000000000006</v>
      </c>
      <c r="K296" s="8">
        <v>23.53</v>
      </c>
      <c r="L296" t="s">
        <v>17</v>
      </c>
    </row>
    <row r="297" spans="1:12" x14ac:dyDescent="0.25">
      <c r="A297" t="s">
        <v>605</v>
      </c>
      <c r="B297" s="6">
        <v>45981</v>
      </c>
      <c r="C297" t="s">
        <v>606</v>
      </c>
      <c r="D297" t="s">
        <v>36</v>
      </c>
      <c r="E297" t="s">
        <v>489</v>
      </c>
      <c r="F297" t="s">
        <v>480</v>
      </c>
      <c r="G297" s="7">
        <v>2</v>
      </c>
      <c r="H297" s="8">
        <v>24.18</v>
      </c>
      <c r="I297" s="9">
        <v>0</v>
      </c>
      <c r="J297" s="8">
        <v>48.36</v>
      </c>
      <c r="K297" s="8">
        <v>24.2</v>
      </c>
      <c r="L297" t="s">
        <v>33</v>
      </c>
    </row>
    <row r="298" spans="1:12" x14ac:dyDescent="0.25">
      <c r="A298" t="s">
        <v>607</v>
      </c>
      <c r="B298" s="6">
        <v>45404</v>
      </c>
      <c r="C298" t="s">
        <v>608</v>
      </c>
      <c r="D298" t="s">
        <v>36</v>
      </c>
      <c r="E298" t="s">
        <v>486</v>
      </c>
      <c r="F298" t="s">
        <v>480</v>
      </c>
      <c r="G298" s="7">
        <v>1</v>
      </c>
      <c r="H298" s="8">
        <v>63.15</v>
      </c>
      <c r="I298" s="9">
        <v>25</v>
      </c>
      <c r="J298" s="8">
        <v>47.36</v>
      </c>
      <c r="K298" s="8">
        <v>25.01</v>
      </c>
      <c r="L298" t="s">
        <v>17</v>
      </c>
    </row>
    <row r="299" spans="1:12" x14ac:dyDescent="0.25">
      <c r="A299" t="s">
        <v>609</v>
      </c>
      <c r="B299" s="6">
        <v>45790</v>
      </c>
      <c r="C299" t="s">
        <v>90</v>
      </c>
      <c r="D299" t="s">
        <v>14</v>
      </c>
      <c r="E299" t="s">
        <v>503</v>
      </c>
      <c r="F299" t="s">
        <v>480</v>
      </c>
      <c r="G299" s="7">
        <v>1</v>
      </c>
      <c r="H299" s="8">
        <v>84.47</v>
      </c>
      <c r="I299" s="9">
        <v>5</v>
      </c>
      <c r="J299" s="8">
        <v>80.25</v>
      </c>
      <c r="K299" s="8">
        <v>25.12</v>
      </c>
      <c r="L299" t="s">
        <v>17</v>
      </c>
    </row>
    <row r="300" spans="1:12" x14ac:dyDescent="0.25">
      <c r="A300" t="s">
        <v>610</v>
      </c>
      <c r="B300" s="6">
        <v>45513</v>
      </c>
      <c r="C300" t="s">
        <v>372</v>
      </c>
      <c r="D300" t="s">
        <v>24</v>
      </c>
      <c r="E300" t="s">
        <v>500</v>
      </c>
      <c r="F300" t="s">
        <v>480</v>
      </c>
      <c r="G300" s="7">
        <v>1</v>
      </c>
      <c r="H300" s="8">
        <v>56.18</v>
      </c>
      <c r="I300" s="9">
        <v>10</v>
      </c>
      <c r="J300" s="8">
        <v>50.56</v>
      </c>
      <c r="K300" s="8">
        <v>25.44</v>
      </c>
      <c r="L300" t="s">
        <v>33</v>
      </c>
    </row>
    <row r="301" spans="1:12" x14ac:dyDescent="0.25">
      <c r="A301" t="s">
        <v>611</v>
      </c>
      <c r="B301" s="6">
        <v>45887</v>
      </c>
      <c r="C301" t="s">
        <v>612</v>
      </c>
      <c r="D301" t="s">
        <v>14</v>
      </c>
      <c r="E301" t="s">
        <v>496</v>
      </c>
      <c r="F301" t="s">
        <v>480</v>
      </c>
      <c r="G301" s="7">
        <v>2</v>
      </c>
      <c r="H301" s="8">
        <v>42.34</v>
      </c>
      <c r="I301" s="9">
        <v>15</v>
      </c>
      <c r="J301" s="8">
        <v>71.98</v>
      </c>
      <c r="K301" s="8">
        <v>25.5</v>
      </c>
      <c r="L301" t="s">
        <v>33</v>
      </c>
    </row>
    <row r="302" spans="1:12" x14ac:dyDescent="0.25">
      <c r="A302" t="s">
        <v>613</v>
      </c>
      <c r="B302" s="6">
        <v>45525</v>
      </c>
      <c r="C302" t="s">
        <v>614</v>
      </c>
      <c r="D302" t="s">
        <v>36</v>
      </c>
      <c r="E302" t="s">
        <v>514</v>
      </c>
      <c r="F302" t="s">
        <v>480</v>
      </c>
      <c r="G302" s="7">
        <v>1</v>
      </c>
      <c r="H302" s="8">
        <v>77.14</v>
      </c>
      <c r="I302" s="9">
        <v>0</v>
      </c>
      <c r="J302" s="8">
        <v>77.14</v>
      </c>
      <c r="K302" s="8">
        <v>25.92</v>
      </c>
      <c r="L302" t="s">
        <v>33</v>
      </c>
    </row>
    <row r="303" spans="1:12" x14ac:dyDescent="0.25">
      <c r="A303" t="s">
        <v>615</v>
      </c>
      <c r="B303" s="6">
        <v>45475</v>
      </c>
      <c r="C303" t="s">
        <v>616</v>
      </c>
      <c r="D303" t="s">
        <v>14</v>
      </c>
      <c r="E303" t="s">
        <v>486</v>
      </c>
      <c r="F303" t="s">
        <v>480</v>
      </c>
      <c r="G303" s="7">
        <v>3</v>
      </c>
      <c r="H303" s="8">
        <v>27.52</v>
      </c>
      <c r="I303" s="9">
        <v>10</v>
      </c>
      <c r="J303" s="8">
        <v>74.3</v>
      </c>
      <c r="K303" s="8">
        <v>26.25</v>
      </c>
      <c r="L303" t="s">
        <v>17</v>
      </c>
    </row>
    <row r="304" spans="1:12" x14ac:dyDescent="0.25">
      <c r="A304" t="s">
        <v>617</v>
      </c>
      <c r="B304" s="6">
        <v>45612</v>
      </c>
      <c r="C304" t="s">
        <v>618</v>
      </c>
      <c r="D304" t="s">
        <v>36</v>
      </c>
      <c r="E304" t="s">
        <v>505</v>
      </c>
      <c r="F304" t="s">
        <v>480</v>
      </c>
      <c r="G304" s="7">
        <v>3</v>
      </c>
      <c r="H304" s="8">
        <v>25.64</v>
      </c>
      <c r="I304" s="9">
        <v>10</v>
      </c>
      <c r="J304" s="8">
        <v>69.23</v>
      </c>
      <c r="K304" s="8">
        <v>27.38</v>
      </c>
      <c r="L304" t="s">
        <v>33</v>
      </c>
    </row>
    <row r="305" spans="1:12" x14ac:dyDescent="0.25">
      <c r="A305" t="s">
        <v>619</v>
      </c>
      <c r="B305" s="6">
        <v>45429</v>
      </c>
      <c r="C305" t="s">
        <v>620</v>
      </c>
      <c r="D305" t="s">
        <v>36</v>
      </c>
      <c r="E305" t="s">
        <v>503</v>
      </c>
      <c r="F305" t="s">
        <v>480</v>
      </c>
      <c r="G305" s="7">
        <v>2</v>
      </c>
      <c r="H305" s="8">
        <v>37.979999999999997</v>
      </c>
      <c r="I305" s="9">
        <v>10</v>
      </c>
      <c r="J305" s="8">
        <v>68.36</v>
      </c>
      <c r="K305" s="8">
        <v>27.39</v>
      </c>
      <c r="L305" t="s">
        <v>17</v>
      </c>
    </row>
    <row r="306" spans="1:12" x14ac:dyDescent="0.25">
      <c r="A306" t="s">
        <v>621</v>
      </c>
      <c r="B306" s="6">
        <v>45316</v>
      </c>
      <c r="C306" t="s">
        <v>622</v>
      </c>
      <c r="D306" t="s">
        <v>14</v>
      </c>
      <c r="E306" t="s">
        <v>514</v>
      </c>
      <c r="F306" t="s">
        <v>480</v>
      </c>
      <c r="G306" s="7">
        <v>1</v>
      </c>
      <c r="H306" s="8">
        <v>76.22</v>
      </c>
      <c r="I306" s="9">
        <v>0</v>
      </c>
      <c r="J306" s="8">
        <v>76.22</v>
      </c>
      <c r="K306" s="8">
        <v>27.62</v>
      </c>
      <c r="L306" t="s">
        <v>17</v>
      </c>
    </row>
    <row r="307" spans="1:12" x14ac:dyDescent="0.25">
      <c r="A307" t="s">
        <v>623</v>
      </c>
      <c r="B307" s="6">
        <v>45694</v>
      </c>
      <c r="C307" t="s">
        <v>624</v>
      </c>
      <c r="D307" t="s">
        <v>24</v>
      </c>
      <c r="E307" t="s">
        <v>505</v>
      </c>
      <c r="F307" t="s">
        <v>480</v>
      </c>
      <c r="G307" s="7">
        <v>1</v>
      </c>
      <c r="H307" s="8">
        <v>86.73</v>
      </c>
      <c r="I307" s="9">
        <v>15</v>
      </c>
      <c r="J307" s="8">
        <v>73.72</v>
      </c>
      <c r="K307" s="8">
        <v>27.68</v>
      </c>
      <c r="L307" t="s">
        <v>17</v>
      </c>
    </row>
    <row r="308" spans="1:12" x14ac:dyDescent="0.25">
      <c r="A308" t="s">
        <v>625</v>
      </c>
      <c r="B308" s="6">
        <v>45812</v>
      </c>
      <c r="C308" t="s">
        <v>626</v>
      </c>
      <c r="D308" t="s">
        <v>36</v>
      </c>
      <c r="E308" t="s">
        <v>479</v>
      </c>
      <c r="F308" t="s">
        <v>480</v>
      </c>
      <c r="G308" s="7">
        <v>1</v>
      </c>
      <c r="H308" s="8">
        <v>72.98</v>
      </c>
      <c r="I308" s="9">
        <v>10</v>
      </c>
      <c r="J308" s="8">
        <v>65.680000000000007</v>
      </c>
      <c r="K308" s="8">
        <v>27.75</v>
      </c>
      <c r="L308" t="s">
        <v>33</v>
      </c>
    </row>
    <row r="309" spans="1:12" x14ac:dyDescent="0.25">
      <c r="A309" t="s">
        <v>627</v>
      </c>
      <c r="B309" s="6">
        <v>45714</v>
      </c>
      <c r="C309" t="s">
        <v>628</v>
      </c>
      <c r="D309" t="s">
        <v>24</v>
      </c>
      <c r="E309" t="s">
        <v>479</v>
      </c>
      <c r="F309" t="s">
        <v>480</v>
      </c>
      <c r="G309" s="7">
        <v>1</v>
      </c>
      <c r="H309" s="8">
        <v>83.69</v>
      </c>
      <c r="I309" s="9">
        <v>15</v>
      </c>
      <c r="J309" s="8">
        <v>71.14</v>
      </c>
      <c r="K309" s="8">
        <v>27.94</v>
      </c>
      <c r="L309" t="s">
        <v>33</v>
      </c>
    </row>
    <row r="310" spans="1:12" x14ac:dyDescent="0.25">
      <c r="A310" t="s">
        <v>629</v>
      </c>
      <c r="B310" s="6">
        <v>45402</v>
      </c>
      <c r="C310" t="s">
        <v>630</v>
      </c>
      <c r="D310" t="s">
        <v>36</v>
      </c>
      <c r="E310" t="s">
        <v>500</v>
      </c>
      <c r="F310" t="s">
        <v>480</v>
      </c>
      <c r="G310" s="7">
        <v>1</v>
      </c>
      <c r="H310" s="8">
        <v>75.39</v>
      </c>
      <c r="I310" s="9">
        <v>25</v>
      </c>
      <c r="J310" s="8">
        <v>56.54</v>
      </c>
      <c r="K310" s="8">
        <v>28.29</v>
      </c>
      <c r="L310" t="s">
        <v>33</v>
      </c>
    </row>
    <row r="311" spans="1:12" x14ac:dyDescent="0.25">
      <c r="A311" t="s">
        <v>631</v>
      </c>
      <c r="B311" s="6">
        <v>45687</v>
      </c>
      <c r="C311" t="s">
        <v>632</v>
      </c>
      <c r="D311" t="s">
        <v>24</v>
      </c>
      <c r="E311" t="s">
        <v>500</v>
      </c>
      <c r="F311" t="s">
        <v>480</v>
      </c>
      <c r="G311" s="7">
        <v>1</v>
      </c>
      <c r="H311" s="8">
        <v>80.819999999999993</v>
      </c>
      <c r="I311" s="9">
        <v>5</v>
      </c>
      <c r="J311" s="8">
        <v>76.78</v>
      </c>
      <c r="K311" s="8">
        <v>28.85</v>
      </c>
      <c r="L311" t="s">
        <v>17</v>
      </c>
    </row>
    <row r="312" spans="1:12" x14ac:dyDescent="0.25">
      <c r="A312" t="s">
        <v>633</v>
      </c>
      <c r="B312" s="6">
        <v>45444</v>
      </c>
      <c r="C312" t="s">
        <v>618</v>
      </c>
      <c r="D312" t="s">
        <v>36</v>
      </c>
      <c r="E312" t="s">
        <v>496</v>
      </c>
      <c r="F312" t="s">
        <v>480</v>
      </c>
      <c r="G312" s="7">
        <v>1</v>
      </c>
      <c r="H312" s="8">
        <v>77.89</v>
      </c>
      <c r="I312" s="9">
        <v>10</v>
      </c>
      <c r="J312" s="8">
        <v>70.099999999999994</v>
      </c>
      <c r="K312" s="8">
        <v>28.88</v>
      </c>
      <c r="L312" t="s">
        <v>17</v>
      </c>
    </row>
    <row r="313" spans="1:12" x14ac:dyDescent="0.25">
      <c r="A313" t="s">
        <v>634</v>
      </c>
      <c r="B313" s="6">
        <v>45990</v>
      </c>
      <c r="C313" t="s">
        <v>635</v>
      </c>
      <c r="D313" t="s">
        <v>14</v>
      </c>
      <c r="E313" t="s">
        <v>486</v>
      </c>
      <c r="F313" t="s">
        <v>480</v>
      </c>
      <c r="G313" s="7">
        <v>2</v>
      </c>
      <c r="H313" s="8">
        <v>48.93</v>
      </c>
      <c r="I313" s="9">
        <v>25</v>
      </c>
      <c r="J313" s="8">
        <v>73.400000000000006</v>
      </c>
      <c r="K313" s="8">
        <v>28.94</v>
      </c>
      <c r="L313" t="s">
        <v>17</v>
      </c>
    </row>
    <row r="314" spans="1:12" x14ac:dyDescent="0.25">
      <c r="A314" t="s">
        <v>636</v>
      </c>
      <c r="B314" s="6">
        <v>45618</v>
      </c>
      <c r="C314" t="s">
        <v>637</v>
      </c>
      <c r="D314" t="s">
        <v>31</v>
      </c>
      <c r="E314" t="s">
        <v>483</v>
      </c>
      <c r="F314" t="s">
        <v>480</v>
      </c>
      <c r="G314" s="7">
        <v>1</v>
      </c>
      <c r="H314" s="8">
        <v>57.01</v>
      </c>
      <c r="I314" s="9">
        <v>5</v>
      </c>
      <c r="J314" s="8">
        <v>54.16</v>
      </c>
      <c r="K314" s="8">
        <v>29.08</v>
      </c>
      <c r="L314" t="s">
        <v>33</v>
      </c>
    </row>
    <row r="315" spans="1:12" x14ac:dyDescent="0.25">
      <c r="A315" t="s">
        <v>638</v>
      </c>
      <c r="B315" s="6">
        <v>45658</v>
      </c>
      <c r="C315" t="s">
        <v>639</v>
      </c>
      <c r="D315" t="s">
        <v>14</v>
      </c>
      <c r="E315" t="s">
        <v>483</v>
      </c>
      <c r="F315" t="s">
        <v>480</v>
      </c>
      <c r="G315" s="7">
        <v>1</v>
      </c>
      <c r="H315" s="8">
        <v>74.930000000000007</v>
      </c>
      <c r="I315" s="9">
        <v>25</v>
      </c>
      <c r="J315" s="8">
        <v>56.2</v>
      </c>
      <c r="K315" s="8">
        <v>29.74</v>
      </c>
      <c r="L315" t="s">
        <v>17</v>
      </c>
    </row>
    <row r="316" spans="1:12" x14ac:dyDescent="0.25">
      <c r="A316" t="s">
        <v>640</v>
      </c>
      <c r="B316" s="6">
        <v>45570</v>
      </c>
      <c r="C316" t="s">
        <v>641</v>
      </c>
      <c r="D316" t="s">
        <v>20</v>
      </c>
      <c r="E316" t="s">
        <v>489</v>
      </c>
      <c r="F316" t="s">
        <v>480</v>
      </c>
      <c r="G316" s="7">
        <v>4</v>
      </c>
      <c r="H316" s="8">
        <v>21.51</v>
      </c>
      <c r="I316" s="9">
        <v>20</v>
      </c>
      <c r="J316" s="8">
        <v>68.83</v>
      </c>
      <c r="K316" s="8">
        <v>30.87</v>
      </c>
      <c r="L316" t="s">
        <v>17</v>
      </c>
    </row>
    <row r="317" spans="1:12" x14ac:dyDescent="0.25">
      <c r="A317" t="s">
        <v>642</v>
      </c>
      <c r="B317" s="6">
        <v>45834</v>
      </c>
      <c r="C317" t="s">
        <v>643</v>
      </c>
      <c r="D317" t="s">
        <v>36</v>
      </c>
      <c r="E317" t="s">
        <v>496</v>
      </c>
      <c r="F317" t="s">
        <v>480</v>
      </c>
      <c r="G317" s="7">
        <v>2</v>
      </c>
      <c r="H317" s="8">
        <v>36.92</v>
      </c>
      <c r="I317" s="9">
        <v>10</v>
      </c>
      <c r="J317" s="8">
        <v>66.459999999999994</v>
      </c>
      <c r="K317" s="8">
        <v>30.99</v>
      </c>
      <c r="L317" t="s">
        <v>17</v>
      </c>
    </row>
    <row r="318" spans="1:12" x14ac:dyDescent="0.25">
      <c r="A318" t="s">
        <v>644</v>
      </c>
      <c r="B318" s="6">
        <v>45650</v>
      </c>
      <c r="C318" t="s">
        <v>645</v>
      </c>
      <c r="D318" t="s">
        <v>36</v>
      </c>
      <c r="E318" t="s">
        <v>500</v>
      </c>
      <c r="F318" t="s">
        <v>480</v>
      </c>
      <c r="G318" s="7">
        <v>1</v>
      </c>
      <c r="H318" s="8">
        <v>68.930000000000007</v>
      </c>
      <c r="I318" s="9">
        <v>0</v>
      </c>
      <c r="J318" s="8">
        <v>68.930000000000007</v>
      </c>
      <c r="K318" s="8">
        <v>31.63</v>
      </c>
      <c r="L318" t="s">
        <v>48</v>
      </c>
    </row>
    <row r="319" spans="1:12" x14ac:dyDescent="0.25">
      <c r="A319" t="s">
        <v>646</v>
      </c>
      <c r="B319" s="6">
        <v>45750</v>
      </c>
      <c r="C319" t="s">
        <v>647</v>
      </c>
      <c r="D319" t="s">
        <v>24</v>
      </c>
      <c r="E319" t="s">
        <v>503</v>
      </c>
      <c r="F319" t="s">
        <v>480</v>
      </c>
      <c r="G319" s="7">
        <v>1</v>
      </c>
      <c r="H319" s="8">
        <v>74.7</v>
      </c>
      <c r="I319" s="9">
        <v>5</v>
      </c>
      <c r="J319" s="8">
        <v>70.97</v>
      </c>
      <c r="K319" s="8">
        <v>31.73</v>
      </c>
      <c r="L319" t="s">
        <v>33</v>
      </c>
    </row>
    <row r="320" spans="1:12" x14ac:dyDescent="0.25">
      <c r="A320" t="s">
        <v>648</v>
      </c>
      <c r="B320" s="6">
        <v>45777</v>
      </c>
      <c r="C320" t="s">
        <v>270</v>
      </c>
      <c r="D320" t="s">
        <v>14</v>
      </c>
      <c r="E320" t="s">
        <v>479</v>
      </c>
      <c r="F320" t="s">
        <v>480</v>
      </c>
      <c r="G320" s="7">
        <v>1</v>
      </c>
      <c r="H320" s="8">
        <v>76.27</v>
      </c>
      <c r="I320" s="9">
        <v>0</v>
      </c>
      <c r="J320" s="8">
        <v>76.27</v>
      </c>
      <c r="K320" s="8">
        <v>31.73</v>
      </c>
      <c r="L320" t="s">
        <v>17</v>
      </c>
    </row>
    <row r="321" spans="1:12" x14ac:dyDescent="0.25">
      <c r="A321" t="s">
        <v>649</v>
      </c>
      <c r="B321" s="6">
        <v>45783</v>
      </c>
      <c r="C321" t="s">
        <v>650</v>
      </c>
      <c r="D321" t="s">
        <v>14</v>
      </c>
      <c r="E321" t="s">
        <v>496</v>
      </c>
      <c r="F321" t="s">
        <v>480</v>
      </c>
      <c r="G321" s="7">
        <v>2</v>
      </c>
      <c r="H321" s="8">
        <v>47.59</v>
      </c>
      <c r="I321" s="9">
        <v>10</v>
      </c>
      <c r="J321" s="8">
        <v>85.66</v>
      </c>
      <c r="K321" s="8">
        <v>32.18</v>
      </c>
      <c r="L321" t="s">
        <v>33</v>
      </c>
    </row>
    <row r="322" spans="1:12" x14ac:dyDescent="0.25">
      <c r="A322" t="s">
        <v>651</v>
      </c>
      <c r="B322" s="6">
        <v>45396</v>
      </c>
      <c r="C322" t="s">
        <v>652</v>
      </c>
      <c r="D322" t="s">
        <v>36</v>
      </c>
      <c r="E322" t="s">
        <v>496</v>
      </c>
      <c r="F322" t="s">
        <v>480</v>
      </c>
      <c r="G322" s="7">
        <v>2</v>
      </c>
      <c r="H322" s="8">
        <v>52.04</v>
      </c>
      <c r="I322" s="9">
        <v>0</v>
      </c>
      <c r="J322" s="8">
        <v>104.08</v>
      </c>
      <c r="K322" s="8">
        <v>32.659999999999997</v>
      </c>
      <c r="L322" t="s">
        <v>33</v>
      </c>
    </row>
    <row r="323" spans="1:12" x14ac:dyDescent="0.25">
      <c r="A323" t="s">
        <v>653</v>
      </c>
      <c r="B323" s="6">
        <v>45296</v>
      </c>
      <c r="C323" t="s">
        <v>654</v>
      </c>
      <c r="D323" t="s">
        <v>31</v>
      </c>
      <c r="E323" t="s">
        <v>479</v>
      </c>
      <c r="F323" t="s">
        <v>480</v>
      </c>
      <c r="G323" s="7">
        <v>3</v>
      </c>
      <c r="H323" s="8">
        <v>34.15</v>
      </c>
      <c r="I323" s="9">
        <v>0</v>
      </c>
      <c r="J323" s="8">
        <v>102.45</v>
      </c>
      <c r="K323" s="8">
        <v>32.68</v>
      </c>
      <c r="L323" t="s">
        <v>17</v>
      </c>
    </row>
    <row r="324" spans="1:12" x14ac:dyDescent="0.25">
      <c r="A324" t="s">
        <v>655</v>
      </c>
      <c r="B324" s="6">
        <v>45532</v>
      </c>
      <c r="C324" t="s">
        <v>656</v>
      </c>
      <c r="D324" t="s">
        <v>31</v>
      </c>
      <c r="E324" t="s">
        <v>486</v>
      </c>
      <c r="F324" t="s">
        <v>480</v>
      </c>
      <c r="G324" s="7">
        <v>4</v>
      </c>
      <c r="H324" s="8">
        <v>16.68</v>
      </c>
      <c r="I324" s="9">
        <v>0</v>
      </c>
      <c r="J324" s="8">
        <v>66.72</v>
      </c>
      <c r="K324" s="8">
        <v>32.840000000000003</v>
      </c>
      <c r="L324" t="s">
        <v>17</v>
      </c>
    </row>
    <row r="325" spans="1:12" x14ac:dyDescent="0.25">
      <c r="A325" t="s">
        <v>657</v>
      </c>
      <c r="B325" s="6">
        <v>45968</v>
      </c>
      <c r="C325" t="s">
        <v>658</v>
      </c>
      <c r="D325" t="s">
        <v>24</v>
      </c>
      <c r="E325" t="s">
        <v>546</v>
      </c>
      <c r="F325" t="s">
        <v>480</v>
      </c>
      <c r="G325" s="7">
        <v>3</v>
      </c>
      <c r="H325" s="8">
        <v>37.869999999999997</v>
      </c>
      <c r="I325" s="9">
        <v>5</v>
      </c>
      <c r="J325" s="8">
        <v>107.93</v>
      </c>
      <c r="K325" s="8">
        <v>32.840000000000003</v>
      </c>
      <c r="L325" t="s">
        <v>33</v>
      </c>
    </row>
    <row r="326" spans="1:12" x14ac:dyDescent="0.25">
      <c r="A326" t="s">
        <v>659</v>
      </c>
      <c r="B326" s="6">
        <v>45668</v>
      </c>
      <c r="C326" t="s">
        <v>660</v>
      </c>
      <c r="D326" t="s">
        <v>14</v>
      </c>
      <c r="E326" t="s">
        <v>546</v>
      </c>
      <c r="F326" t="s">
        <v>480</v>
      </c>
      <c r="G326" s="7">
        <v>2</v>
      </c>
      <c r="H326" s="8">
        <v>57.71</v>
      </c>
      <c r="I326" s="9">
        <v>15</v>
      </c>
      <c r="J326" s="8">
        <v>98.11</v>
      </c>
      <c r="K326" s="8">
        <v>32.96</v>
      </c>
      <c r="L326" t="s">
        <v>33</v>
      </c>
    </row>
    <row r="327" spans="1:12" x14ac:dyDescent="0.25">
      <c r="A327" t="s">
        <v>661</v>
      </c>
      <c r="B327" s="6">
        <v>45982</v>
      </c>
      <c r="C327" t="s">
        <v>543</v>
      </c>
      <c r="D327" t="s">
        <v>36</v>
      </c>
      <c r="E327" t="s">
        <v>489</v>
      </c>
      <c r="F327" t="s">
        <v>480</v>
      </c>
      <c r="G327" s="7">
        <v>1</v>
      </c>
      <c r="H327" s="8">
        <v>64.7</v>
      </c>
      <c r="I327" s="9">
        <v>5</v>
      </c>
      <c r="J327" s="8">
        <v>61.47</v>
      </c>
      <c r="K327" s="8">
        <v>33.049999999999997</v>
      </c>
      <c r="L327" t="s">
        <v>17</v>
      </c>
    </row>
    <row r="328" spans="1:12" x14ac:dyDescent="0.25">
      <c r="A328" t="s">
        <v>662</v>
      </c>
      <c r="B328" s="6">
        <v>45686</v>
      </c>
      <c r="C328" t="s">
        <v>663</v>
      </c>
      <c r="D328" t="s">
        <v>31</v>
      </c>
      <c r="E328" t="s">
        <v>514</v>
      </c>
      <c r="F328" t="s">
        <v>480</v>
      </c>
      <c r="G328" s="7">
        <v>2</v>
      </c>
      <c r="H328" s="8">
        <v>45.63</v>
      </c>
      <c r="I328" s="9">
        <v>0</v>
      </c>
      <c r="J328" s="8">
        <v>91.26</v>
      </c>
      <c r="K328" s="8">
        <v>33.31</v>
      </c>
      <c r="L328" t="s">
        <v>48</v>
      </c>
    </row>
    <row r="329" spans="1:12" x14ac:dyDescent="0.25">
      <c r="A329" t="s">
        <v>664</v>
      </c>
      <c r="B329" s="6">
        <v>45454</v>
      </c>
      <c r="C329" t="s">
        <v>665</v>
      </c>
      <c r="D329" t="s">
        <v>31</v>
      </c>
      <c r="E329" t="s">
        <v>496</v>
      </c>
      <c r="F329" t="s">
        <v>480</v>
      </c>
      <c r="G329" s="7">
        <v>3</v>
      </c>
      <c r="H329" s="8">
        <v>35.24</v>
      </c>
      <c r="I329" s="9">
        <v>10</v>
      </c>
      <c r="J329" s="8">
        <v>95.15</v>
      </c>
      <c r="K329" s="8">
        <v>33.31</v>
      </c>
      <c r="L329" t="s">
        <v>17</v>
      </c>
    </row>
    <row r="330" spans="1:12" x14ac:dyDescent="0.25">
      <c r="A330" t="s">
        <v>666</v>
      </c>
      <c r="B330" s="6">
        <v>45482</v>
      </c>
      <c r="C330" t="s">
        <v>667</v>
      </c>
      <c r="D330" t="s">
        <v>20</v>
      </c>
      <c r="E330" t="s">
        <v>514</v>
      </c>
      <c r="F330" t="s">
        <v>480</v>
      </c>
      <c r="G330" s="7">
        <v>2</v>
      </c>
      <c r="H330" s="8">
        <v>34.590000000000003</v>
      </c>
      <c r="I330" s="9">
        <v>0</v>
      </c>
      <c r="J330" s="8">
        <v>69.180000000000007</v>
      </c>
      <c r="K330" s="8">
        <v>33.340000000000003</v>
      </c>
      <c r="L330" t="s">
        <v>33</v>
      </c>
    </row>
    <row r="331" spans="1:12" x14ac:dyDescent="0.25">
      <c r="A331" t="s">
        <v>668</v>
      </c>
      <c r="B331" s="6">
        <v>45603</v>
      </c>
      <c r="C331" t="s">
        <v>669</v>
      </c>
      <c r="D331" t="s">
        <v>36</v>
      </c>
      <c r="E331" t="s">
        <v>546</v>
      </c>
      <c r="F331" t="s">
        <v>480</v>
      </c>
      <c r="G331" s="7">
        <v>2</v>
      </c>
      <c r="H331" s="8">
        <v>38.06</v>
      </c>
      <c r="I331" s="9">
        <v>0</v>
      </c>
      <c r="J331" s="8">
        <v>76.12</v>
      </c>
      <c r="K331" s="8">
        <v>33.340000000000003</v>
      </c>
      <c r="L331" t="s">
        <v>33</v>
      </c>
    </row>
    <row r="332" spans="1:12" x14ac:dyDescent="0.25">
      <c r="A332" t="s">
        <v>670</v>
      </c>
      <c r="B332" s="6">
        <v>45636</v>
      </c>
      <c r="C332" t="s">
        <v>671</v>
      </c>
      <c r="D332" t="s">
        <v>36</v>
      </c>
      <c r="E332" t="s">
        <v>546</v>
      </c>
      <c r="F332" t="s">
        <v>480</v>
      </c>
      <c r="G332" s="7">
        <v>2</v>
      </c>
      <c r="H332" s="8">
        <v>58.85</v>
      </c>
      <c r="I332" s="9">
        <v>5</v>
      </c>
      <c r="J332" s="8">
        <v>111.82</v>
      </c>
      <c r="K332" s="8">
        <v>33.79</v>
      </c>
      <c r="L332" t="s">
        <v>33</v>
      </c>
    </row>
    <row r="333" spans="1:12" x14ac:dyDescent="0.25">
      <c r="A333" t="s">
        <v>672</v>
      </c>
      <c r="B333" s="6">
        <v>45348</v>
      </c>
      <c r="C333" t="s">
        <v>146</v>
      </c>
      <c r="D333" t="s">
        <v>31</v>
      </c>
      <c r="E333" t="s">
        <v>514</v>
      </c>
      <c r="F333" t="s">
        <v>480</v>
      </c>
      <c r="G333" s="7">
        <v>3</v>
      </c>
      <c r="H333" s="8">
        <v>31.02</v>
      </c>
      <c r="I333" s="9">
        <v>0</v>
      </c>
      <c r="J333" s="8">
        <v>93.06</v>
      </c>
      <c r="K333" s="8">
        <v>34.82</v>
      </c>
      <c r="L333" t="s">
        <v>33</v>
      </c>
    </row>
    <row r="334" spans="1:12" x14ac:dyDescent="0.25">
      <c r="A334" t="s">
        <v>673</v>
      </c>
      <c r="B334" s="6">
        <v>45375</v>
      </c>
      <c r="C334" t="s">
        <v>674</v>
      </c>
      <c r="D334" t="s">
        <v>14</v>
      </c>
      <c r="E334" t="s">
        <v>496</v>
      </c>
      <c r="F334" t="s">
        <v>480</v>
      </c>
      <c r="G334" s="7">
        <v>2</v>
      </c>
      <c r="H334" s="8">
        <v>63.36</v>
      </c>
      <c r="I334" s="9">
        <v>10</v>
      </c>
      <c r="J334" s="8">
        <v>114.05</v>
      </c>
      <c r="K334" s="8">
        <v>35.049999999999997</v>
      </c>
      <c r="L334" t="s">
        <v>33</v>
      </c>
    </row>
    <row r="335" spans="1:12" x14ac:dyDescent="0.25">
      <c r="A335" t="s">
        <v>675</v>
      </c>
      <c r="B335" s="6">
        <v>45626</v>
      </c>
      <c r="C335" t="s">
        <v>676</v>
      </c>
      <c r="D335" t="s">
        <v>14</v>
      </c>
      <c r="E335" t="s">
        <v>479</v>
      </c>
      <c r="F335" t="s">
        <v>480</v>
      </c>
      <c r="G335" s="7">
        <v>1</v>
      </c>
      <c r="H335" s="8">
        <v>82.02</v>
      </c>
      <c r="I335" s="9">
        <v>10</v>
      </c>
      <c r="J335" s="8">
        <v>73.819999999999993</v>
      </c>
      <c r="K335" s="8">
        <v>35.1</v>
      </c>
      <c r="L335" t="s">
        <v>17</v>
      </c>
    </row>
    <row r="336" spans="1:12" x14ac:dyDescent="0.25">
      <c r="A336" t="s">
        <v>677</v>
      </c>
      <c r="B336" s="6">
        <v>45756</v>
      </c>
      <c r="C336" t="s">
        <v>678</v>
      </c>
      <c r="D336" t="s">
        <v>14</v>
      </c>
      <c r="E336" t="s">
        <v>503</v>
      </c>
      <c r="F336" t="s">
        <v>480</v>
      </c>
      <c r="G336" s="7">
        <v>4</v>
      </c>
      <c r="H336" s="8">
        <v>20.399999999999999</v>
      </c>
      <c r="I336" s="9">
        <v>20</v>
      </c>
      <c r="J336" s="8">
        <v>65.28</v>
      </c>
      <c r="K336" s="8">
        <v>35.17</v>
      </c>
      <c r="L336" t="s">
        <v>33</v>
      </c>
    </row>
    <row r="337" spans="1:12" x14ac:dyDescent="0.25">
      <c r="A337" t="s">
        <v>679</v>
      </c>
      <c r="B337" s="6">
        <v>45384</v>
      </c>
      <c r="C337" t="s">
        <v>680</v>
      </c>
      <c r="D337" t="s">
        <v>20</v>
      </c>
      <c r="E337" t="s">
        <v>503</v>
      </c>
      <c r="F337" t="s">
        <v>480</v>
      </c>
      <c r="G337" s="7">
        <v>4</v>
      </c>
      <c r="H337" s="8">
        <v>33.92</v>
      </c>
      <c r="I337" s="9">
        <v>20</v>
      </c>
      <c r="J337" s="8">
        <v>108.54</v>
      </c>
      <c r="K337" s="8">
        <v>35.409999999999997</v>
      </c>
      <c r="L337" t="s">
        <v>17</v>
      </c>
    </row>
    <row r="338" spans="1:12" x14ac:dyDescent="0.25">
      <c r="A338" t="s">
        <v>681</v>
      </c>
      <c r="B338" s="6">
        <v>45726</v>
      </c>
      <c r="C338" t="s">
        <v>414</v>
      </c>
      <c r="D338" t="s">
        <v>24</v>
      </c>
      <c r="E338" t="s">
        <v>486</v>
      </c>
      <c r="F338" t="s">
        <v>480</v>
      </c>
      <c r="G338" s="7">
        <v>2</v>
      </c>
      <c r="H338" s="8">
        <v>37.99</v>
      </c>
      <c r="I338" s="9">
        <v>0</v>
      </c>
      <c r="J338" s="8">
        <v>75.98</v>
      </c>
      <c r="K338" s="8">
        <v>36.229999999999997</v>
      </c>
      <c r="L338" t="s">
        <v>33</v>
      </c>
    </row>
    <row r="339" spans="1:12" x14ac:dyDescent="0.25">
      <c r="A339" t="s">
        <v>682</v>
      </c>
      <c r="B339" s="6">
        <v>45941</v>
      </c>
      <c r="C339" t="s">
        <v>244</v>
      </c>
      <c r="D339" t="s">
        <v>24</v>
      </c>
      <c r="E339" t="s">
        <v>489</v>
      </c>
      <c r="F339" t="s">
        <v>480</v>
      </c>
      <c r="G339" s="7">
        <v>1</v>
      </c>
      <c r="H339" s="8">
        <v>89.58</v>
      </c>
      <c r="I339" s="9">
        <v>5</v>
      </c>
      <c r="J339" s="8">
        <v>85.1</v>
      </c>
      <c r="K339" s="8">
        <v>36.68</v>
      </c>
      <c r="L339" t="s">
        <v>33</v>
      </c>
    </row>
    <row r="340" spans="1:12" x14ac:dyDescent="0.25">
      <c r="A340" t="s">
        <v>683</v>
      </c>
      <c r="B340" s="6">
        <v>45443</v>
      </c>
      <c r="C340" t="s">
        <v>684</v>
      </c>
      <c r="D340" t="s">
        <v>31</v>
      </c>
      <c r="E340" t="s">
        <v>505</v>
      </c>
      <c r="F340" t="s">
        <v>480</v>
      </c>
      <c r="G340" s="7">
        <v>1</v>
      </c>
      <c r="H340" s="8">
        <v>84.2</v>
      </c>
      <c r="I340" s="9">
        <v>10</v>
      </c>
      <c r="J340" s="8">
        <v>75.78</v>
      </c>
      <c r="K340" s="8">
        <v>37.01</v>
      </c>
      <c r="L340" t="s">
        <v>17</v>
      </c>
    </row>
    <row r="341" spans="1:12" x14ac:dyDescent="0.25">
      <c r="A341" t="s">
        <v>685</v>
      </c>
      <c r="B341" s="6">
        <v>45395</v>
      </c>
      <c r="C341" t="s">
        <v>647</v>
      </c>
      <c r="D341" t="s">
        <v>14</v>
      </c>
      <c r="E341" t="s">
        <v>479</v>
      </c>
      <c r="F341" t="s">
        <v>480</v>
      </c>
      <c r="G341" s="7">
        <v>1</v>
      </c>
      <c r="H341" s="8">
        <v>80.02</v>
      </c>
      <c r="I341" s="9">
        <v>0</v>
      </c>
      <c r="J341" s="8">
        <v>80.02</v>
      </c>
      <c r="K341" s="8">
        <v>37.630000000000003</v>
      </c>
      <c r="L341" t="s">
        <v>17</v>
      </c>
    </row>
    <row r="342" spans="1:12" x14ac:dyDescent="0.25">
      <c r="A342" t="s">
        <v>686</v>
      </c>
      <c r="B342" s="6">
        <v>45791</v>
      </c>
      <c r="C342" t="s">
        <v>228</v>
      </c>
      <c r="D342" t="s">
        <v>20</v>
      </c>
      <c r="E342" t="s">
        <v>546</v>
      </c>
      <c r="F342" t="s">
        <v>480</v>
      </c>
      <c r="G342" s="7">
        <v>3</v>
      </c>
      <c r="H342" s="8">
        <v>33.76</v>
      </c>
      <c r="I342" s="9">
        <v>10</v>
      </c>
      <c r="J342" s="8">
        <v>91.15</v>
      </c>
      <c r="K342" s="8">
        <v>37.630000000000003</v>
      </c>
      <c r="L342" t="s">
        <v>33</v>
      </c>
    </row>
    <row r="343" spans="1:12" x14ac:dyDescent="0.25">
      <c r="A343" t="s">
        <v>687</v>
      </c>
      <c r="B343" s="6">
        <v>45919</v>
      </c>
      <c r="C343" t="s">
        <v>678</v>
      </c>
      <c r="D343" t="s">
        <v>36</v>
      </c>
      <c r="E343" t="s">
        <v>514</v>
      </c>
      <c r="F343" t="s">
        <v>480</v>
      </c>
      <c r="G343" s="7">
        <v>2</v>
      </c>
      <c r="H343" s="8">
        <v>44.81</v>
      </c>
      <c r="I343" s="9">
        <v>5</v>
      </c>
      <c r="J343" s="8">
        <v>85.14</v>
      </c>
      <c r="K343" s="8">
        <v>37.76</v>
      </c>
      <c r="L343" t="s">
        <v>17</v>
      </c>
    </row>
    <row r="344" spans="1:12" x14ac:dyDescent="0.25">
      <c r="A344" t="s">
        <v>688</v>
      </c>
      <c r="B344" s="6">
        <v>45481</v>
      </c>
      <c r="C344" t="s">
        <v>689</v>
      </c>
      <c r="D344" t="s">
        <v>14</v>
      </c>
      <c r="E344" t="s">
        <v>505</v>
      </c>
      <c r="F344" t="s">
        <v>480</v>
      </c>
      <c r="G344" s="7">
        <v>1</v>
      </c>
      <c r="H344" s="8">
        <v>88.51</v>
      </c>
      <c r="I344" s="9">
        <v>5</v>
      </c>
      <c r="J344" s="8">
        <v>84.08</v>
      </c>
      <c r="K344" s="8">
        <v>37.93</v>
      </c>
      <c r="L344" t="s">
        <v>48</v>
      </c>
    </row>
    <row r="345" spans="1:12" x14ac:dyDescent="0.25">
      <c r="A345" t="s">
        <v>690</v>
      </c>
      <c r="B345" s="6">
        <v>45343</v>
      </c>
      <c r="C345" t="s">
        <v>691</v>
      </c>
      <c r="D345" t="s">
        <v>24</v>
      </c>
      <c r="E345" t="s">
        <v>546</v>
      </c>
      <c r="F345" t="s">
        <v>480</v>
      </c>
      <c r="G345" s="7">
        <v>1</v>
      </c>
      <c r="H345" s="8">
        <v>84.93</v>
      </c>
      <c r="I345" s="9">
        <v>15</v>
      </c>
      <c r="J345" s="8">
        <v>72.19</v>
      </c>
      <c r="K345" s="8">
        <v>37.94</v>
      </c>
      <c r="L345" t="s">
        <v>17</v>
      </c>
    </row>
    <row r="346" spans="1:12" x14ac:dyDescent="0.25">
      <c r="A346" t="s">
        <v>692</v>
      </c>
      <c r="B346" s="6">
        <v>45448</v>
      </c>
      <c r="C346" t="s">
        <v>693</v>
      </c>
      <c r="D346" t="s">
        <v>20</v>
      </c>
      <c r="E346" t="s">
        <v>496</v>
      </c>
      <c r="F346" t="s">
        <v>480</v>
      </c>
      <c r="G346" s="7">
        <v>1</v>
      </c>
      <c r="H346" s="8">
        <v>88.48</v>
      </c>
      <c r="I346" s="9">
        <v>20</v>
      </c>
      <c r="J346" s="8">
        <v>70.78</v>
      </c>
      <c r="K346" s="8">
        <v>38.46</v>
      </c>
      <c r="L346" t="s">
        <v>17</v>
      </c>
    </row>
    <row r="347" spans="1:12" x14ac:dyDescent="0.25">
      <c r="A347" t="s">
        <v>694</v>
      </c>
      <c r="B347" s="6">
        <v>45733</v>
      </c>
      <c r="C347" t="s">
        <v>695</v>
      </c>
      <c r="D347" t="s">
        <v>14</v>
      </c>
      <c r="E347" t="s">
        <v>486</v>
      </c>
      <c r="F347" t="s">
        <v>480</v>
      </c>
      <c r="G347" s="7">
        <v>1</v>
      </c>
      <c r="H347" s="8">
        <v>70.489999999999995</v>
      </c>
      <c r="I347" s="9">
        <v>0</v>
      </c>
      <c r="J347" s="8">
        <v>70.489999999999995</v>
      </c>
      <c r="K347" s="8">
        <v>38.74</v>
      </c>
      <c r="L347" t="s">
        <v>17</v>
      </c>
    </row>
    <row r="348" spans="1:12" x14ac:dyDescent="0.25">
      <c r="A348" t="s">
        <v>696</v>
      </c>
      <c r="B348" s="6">
        <v>45298</v>
      </c>
      <c r="C348" t="s">
        <v>697</v>
      </c>
      <c r="D348" t="s">
        <v>24</v>
      </c>
      <c r="E348" t="s">
        <v>514</v>
      </c>
      <c r="F348" t="s">
        <v>480</v>
      </c>
      <c r="G348" s="7">
        <v>3</v>
      </c>
      <c r="H348" s="8">
        <v>40.79</v>
      </c>
      <c r="I348" s="9">
        <v>0</v>
      </c>
      <c r="J348" s="8">
        <v>122.37</v>
      </c>
      <c r="K348" s="8">
        <v>39.15</v>
      </c>
      <c r="L348" t="s">
        <v>33</v>
      </c>
    </row>
    <row r="349" spans="1:12" x14ac:dyDescent="0.25">
      <c r="A349" t="s">
        <v>698</v>
      </c>
      <c r="B349" s="6">
        <v>45292</v>
      </c>
      <c r="C349" t="s">
        <v>699</v>
      </c>
      <c r="D349" t="s">
        <v>36</v>
      </c>
      <c r="E349" t="s">
        <v>489</v>
      </c>
      <c r="F349" t="s">
        <v>480</v>
      </c>
      <c r="G349" s="7">
        <v>2</v>
      </c>
      <c r="H349" s="8">
        <v>64.89</v>
      </c>
      <c r="I349" s="9">
        <v>10</v>
      </c>
      <c r="J349" s="8">
        <v>116.8</v>
      </c>
      <c r="K349" s="8">
        <v>39.409999999999997</v>
      </c>
      <c r="L349" t="s">
        <v>17</v>
      </c>
    </row>
    <row r="350" spans="1:12" x14ac:dyDescent="0.25">
      <c r="A350" t="s">
        <v>700</v>
      </c>
      <c r="B350" s="6">
        <v>45349</v>
      </c>
      <c r="C350" t="s">
        <v>270</v>
      </c>
      <c r="D350" t="s">
        <v>20</v>
      </c>
      <c r="E350" t="s">
        <v>546</v>
      </c>
      <c r="F350" t="s">
        <v>480</v>
      </c>
      <c r="G350" s="7">
        <v>2</v>
      </c>
      <c r="H350" s="8">
        <v>58.02</v>
      </c>
      <c r="I350" s="9">
        <v>25</v>
      </c>
      <c r="J350" s="8">
        <v>87.03</v>
      </c>
      <c r="K350" s="8">
        <v>40.72</v>
      </c>
      <c r="L350" t="s">
        <v>33</v>
      </c>
    </row>
    <row r="351" spans="1:12" x14ac:dyDescent="0.25">
      <c r="A351" t="s">
        <v>701</v>
      </c>
      <c r="B351" s="6">
        <v>45396</v>
      </c>
      <c r="C351" t="s">
        <v>702</v>
      </c>
      <c r="D351" t="s">
        <v>36</v>
      </c>
      <c r="E351" t="s">
        <v>500</v>
      </c>
      <c r="F351" t="s">
        <v>480</v>
      </c>
      <c r="G351" s="7">
        <v>3</v>
      </c>
      <c r="H351" s="8">
        <v>60.2</v>
      </c>
      <c r="I351" s="9">
        <v>25</v>
      </c>
      <c r="J351" s="8">
        <v>135.44999999999999</v>
      </c>
      <c r="K351" s="8">
        <v>40.909999999999997</v>
      </c>
      <c r="L351" t="s">
        <v>48</v>
      </c>
    </row>
    <row r="352" spans="1:12" x14ac:dyDescent="0.25">
      <c r="A352" t="s">
        <v>703</v>
      </c>
      <c r="B352" s="6">
        <v>46015</v>
      </c>
      <c r="C352" t="s">
        <v>656</v>
      </c>
      <c r="D352" t="s">
        <v>36</v>
      </c>
      <c r="E352" t="s">
        <v>479</v>
      </c>
      <c r="F352" t="s">
        <v>480</v>
      </c>
      <c r="G352" s="7">
        <v>1</v>
      </c>
      <c r="H352" s="8">
        <v>86.97</v>
      </c>
      <c r="I352" s="9">
        <v>0</v>
      </c>
      <c r="J352" s="8">
        <v>86.97</v>
      </c>
      <c r="K352" s="8">
        <v>40.98</v>
      </c>
      <c r="L352" t="s">
        <v>17</v>
      </c>
    </row>
    <row r="353" spans="1:12" x14ac:dyDescent="0.25">
      <c r="A353" t="s">
        <v>704</v>
      </c>
      <c r="B353" s="6">
        <v>45950</v>
      </c>
      <c r="C353" t="s">
        <v>705</v>
      </c>
      <c r="D353" t="s">
        <v>14</v>
      </c>
      <c r="E353" t="s">
        <v>486</v>
      </c>
      <c r="F353" t="s">
        <v>480</v>
      </c>
      <c r="G353" s="7">
        <v>2</v>
      </c>
      <c r="H353" s="8">
        <v>67.459999999999994</v>
      </c>
      <c r="I353" s="9">
        <v>25</v>
      </c>
      <c r="J353" s="8">
        <v>101.19</v>
      </c>
      <c r="K353" s="8">
        <v>41.09</v>
      </c>
      <c r="L353" t="s">
        <v>33</v>
      </c>
    </row>
    <row r="354" spans="1:12" x14ac:dyDescent="0.25">
      <c r="A354" t="s">
        <v>706</v>
      </c>
      <c r="B354" s="6">
        <v>45394</v>
      </c>
      <c r="C354" t="s">
        <v>707</v>
      </c>
      <c r="D354" t="s">
        <v>20</v>
      </c>
      <c r="E354" t="s">
        <v>500</v>
      </c>
      <c r="F354" t="s">
        <v>480</v>
      </c>
      <c r="G354" s="7">
        <v>2</v>
      </c>
      <c r="H354" s="8">
        <v>71.84</v>
      </c>
      <c r="I354" s="9">
        <v>5</v>
      </c>
      <c r="J354" s="8">
        <v>136.5</v>
      </c>
      <c r="K354" s="8">
        <v>41.55</v>
      </c>
      <c r="L354" t="s">
        <v>17</v>
      </c>
    </row>
    <row r="355" spans="1:12" x14ac:dyDescent="0.25">
      <c r="A355" t="s">
        <v>708</v>
      </c>
      <c r="B355" s="6">
        <v>45651</v>
      </c>
      <c r="C355" t="s">
        <v>709</v>
      </c>
      <c r="D355" t="s">
        <v>36</v>
      </c>
      <c r="E355" t="s">
        <v>503</v>
      </c>
      <c r="F355" t="s">
        <v>480</v>
      </c>
      <c r="G355" s="7">
        <v>2</v>
      </c>
      <c r="H355" s="8">
        <v>52.91</v>
      </c>
      <c r="I355" s="9">
        <v>10</v>
      </c>
      <c r="J355" s="8">
        <v>95.24</v>
      </c>
      <c r="K355" s="8">
        <v>41.68</v>
      </c>
      <c r="L355" t="s">
        <v>33</v>
      </c>
    </row>
    <row r="356" spans="1:12" x14ac:dyDescent="0.25">
      <c r="A356" t="s">
        <v>710</v>
      </c>
      <c r="B356" s="6">
        <v>45604</v>
      </c>
      <c r="C356" t="s">
        <v>196</v>
      </c>
      <c r="D356" t="s">
        <v>14</v>
      </c>
      <c r="E356" t="s">
        <v>505</v>
      </c>
      <c r="F356" t="s">
        <v>480</v>
      </c>
      <c r="G356" s="7">
        <v>2</v>
      </c>
      <c r="H356" s="8">
        <v>72.95</v>
      </c>
      <c r="I356" s="9">
        <v>10</v>
      </c>
      <c r="J356" s="8">
        <v>131.31</v>
      </c>
      <c r="K356" s="8">
        <v>42.45</v>
      </c>
      <c r="L356" t="s">
        <v>33</v>
      </c>
    </row>
    <row r="357" spans="1:12" x14ac:dyDescent="0.25">
      <c r="A357" t="s">
        <v>711</v>
      </c>
      <c r="B357" s="6">
        <v>45402</v>
      </c>
      <c r="C357" t="s">
        <v>712</v>
      </c>
      <c r="D357" t="s">
        <v>24</v>
      </c>
      <c r="E357" t="s">
        <v>546</v>
      </c>
      <c r="F357" t="s">
        <v>480</v>
      </c>
      <c r="G357" s="7">
        <v>2</v>
      </c>
      <c r="H357" s="8">
        <v>54.14</v>
      </c>
      <c r="I357" s="9">
        <v>0</v>
      </c>
      <c r="J357" s="8">
        <v>108.28</v>
      </c>
      <c r="K357" s="8">
        <v>43.23</v>
      </c>
      <c r="L357" t="s">
        <v>33</v>
      </c>
    </row>
    <row r="358" spans="1:12" x14ac:dyDescent="0.25">
      <c r="A358" t="s">
        <v>713</v>
      </c>
      <c r="B358" s="6">
        <v>45757</v>
      </c>
      <c r="C358" t="s">
        <v>639</v>
      </c>
      <c r="D358" t="s">
        <v>36</v>
      </c>
      <c r="E358" t="s">
        <v>483</v>
      </c>
      <c r="F358" t="s">
        <v>480</v>
      </c>
      <c r="G358" s="7">
        <v>2</v>
      </c>
      <c r="H358" s="8">
        <v>48.95</v>
      </c>
      <c r="I358" s="9">
        <v>5</v>
      </c>
      <c r="J358" s="8">
        <v>93.01</v>
      </c>
      <c r="K358" s="8">
        <v>43.42</v>
      </c>
      <c r="L358" t="s">
        <v>33</v>
      </c>
    </row>
    <row r="359" spans="1:12" x14ac:dyDescent="0.25">
      <c r="A359" t="s">
        <v>714</v>
      </c>
      <c r="B359" s="6">
        <v>45301</v>
      </c>
      <c r="C359" t="s">
        <v>715</v>
      </c>
      <c r="D359" t="s">
        <v>24</v>
      </c>
      <c r="E359" t="s">
        <v>514</v>
      </c>
      <c r="F359" t="s">
        <v>480</v>
      </c>
      <c r="G359" s="7">
        <v>2</v>
      </c>
      <c r="H359" s="8">
        <v>50.79</v>
      </c>
      <c r="I359" s="9">
        <v>5</v>
      </c>
      <c r="J359" s="8">
        <v>96.5</v>
      </c>
      <c r="K359" s="8">
        <v>43.48</v>
      </c>
      <c r="L359" t="s">
        <v>17</v>
      </c>
    </row>
    <row r="360" spans="1:12" x14ac:dyDescent="0.25">
      <c r="A360" t="s">
        <v>716</v>
      </c>
      <c r="B360" s="6">
        <v>45709</v>
      </c>
      <c r="C360" t="s">
        <v>717</v>
      </c>
      <c r="D360" t="s">
        <v>20</v>
      </c>
      <c r="E360" t="s">
        <v>503</v>
      </c>
      <c r="F360" t="s">
        <v>480</v>
      </c>
      <c r="G360" s="7">
        <v>5</v>
      </c>
      <c r="H360" s="8">
        <v>32.21</v>
      </c>
      <c r="I360" s="9">
        <v>20</v>
      </c>
      <c r="J360" s="8">
        <v>128.84</v>
      </c>
      <c r="K360" s="8">
        <v>43.69</v>
      </c>
      <c r="L360" t="s">
        <v>33</v>
      </c>
    </row>
    <row r="361" spans="1:12" x14ac:dyDescent="0.25">
      <c r="A361" t="s">
        <v>718</v>
      </c>
      <c r="B361" s="6">
        <v>45624</v>
      </c>
      <c r="C361" t="s">
        <v>529</v>
      </c>
      <c r="D361" t="s">
        <v>14</v>
      </c>
      <c r="E361" t="s">
        <v>546</v>
      </c>
      <c r="F361" t="s">
        <v>480</v>
      </c>
      <c r="G361" s="7">
        <v>2</v>
      </c>
      <c r="H361" s="8">
        <v>59.61</v>
      </c>
      <c r="I361" s="9">
        <v>15</v>
      </c>
      <c r="J361" s="8">
        <v>101.34</v>
      </c>
      <c r="K361" s="8">
        <v>45.43</v>
      </c>
      <c r="L361" t="s">
        <v>17</v>
      </c>
    </row>
    <row r="362" spans="1:12" x14ac:dyDescent="0.25">
      <c r="A362" t="s">
        <v>719</v>
      </c>
      <c r="B362" s="6">
        <v>45981</v>
      </c>
      <c r="C362" t="s">
        <v>720</v>
      </c>
      <c r="D362" t="s">
        <v>24</v>
      </c>
      <c r="E362" t="s">
        <v>546</v>
      </c>
      <c r="F362" t="s">
        <v>480</v>
      </c>
      <c r="G362" s="7">
        <v>2</v>
      </c>
      <c r="H362" s="8">
        <v>46.18</v>
      </c>
      <c r="I362" s="9">
        <v>0</v>
      </c>
      <c r="J362" s="8">
        <v>92.36</v>
      </c>
      <c r="K362" s="8">
        <v>45.51</v>
      </c>
      <c r="L362" t="s">
        <v>17</v>
      </c>
    </row>
    <row r="363" spans="1:12" x14ac:dyDescent="0.25">
      <c r="A363" t="s">
        <v>721</v>
      </c>
      <c r="B363" s="6">
        <v>45647</v>
      </c>
      <c r="C363" t="s">
        <v>722</v>
      </c>
      <c r="D363" t="s">
        <v>14</v>
      </c>
      <c r="E363" t="s">
        <v>505</v>
      </c>
      <c r="F363" t="s">
        <v>480</v>
      </c>
      <c r="G363" s="7">
        <v>2</v>
      </c>
      <c r="H363" s="8">
        <v>42.26</v>
      </c>
      <c r="I363" s="9">
        <v>0</v>
      </c>
      <c r="J363" s="8">
        <v>84.52</v>
      </c>
      <c r="K363" s="8">
        <v>45.64</v>
      </c>
      <c r="L363" t="s">
        <v>17</v>
      </c>
    </row>
    <row r="364" spans="1:12" x14ac:dyDescent="0.25">
      <c r="A364" t="s">
        <v>723</v>
      </c>
      <c r="B364" s="6">
        <v>45630</v>
      </c>
      <c r="C364" t="s">
        <v>724</v>
      </c>
      <c r="D364" t="s">
        <v>20</v>
      </c>
      <c r="E364" t="s">
        <v>479</v>
      </c>
      <c r="F364" t="s">
        <v>480</v>
      </c>
      <c r="G364" s="7">
        <v>2</v>
      </c>
      <c r="H364" s="8">
        <v>63.08</v>
      </c>
      <c r="I364" s="9">
        <v>15</v>
      </c>
      <c r="J364" s="8">
        <v>107.24</v>
      </c>
      <c r="K364" s="8">
        <v>45.68</v>
      </c>
      <c r="L364" t="s">
        <v>17</v>
      </c>
    </row>
    <row r="365" spans="1:12" x14ac:dyDescent="0.25">
      <c r="A365" t="s">
        <v>725</v>
      </c>
      <c r="B365" s="6">
        <v>45669</v>
      </c>
      <c r="C365" t="s">
        <v>726</v>
      </c>
      <c r="D365" t="s">
        <v>14</v>
      </c>
      <c r="E365" t="s">
        <v>514</v>
      </c>
      <c r="F365" t="s">
        <v>480</v>
      </c>
      <c r="G365" s="7">
        <v>2</v>
      </c>
      <c r="H365" s="8">
        <v>62.72</v>
      </c>
      <c r="I365" s="9">
        <v>5</v>
      </c>
      <c r="J365" s="8">
        <v>119.17</v>
      </c>
      <c r="K365" s="8">
        <v>46.71</v>
      </c>
      <c r="L365" t="s">
        <v>33</v>
      </c>
    </row>
    <row r="366" spans="1:12" x14ac:dyDescent="0.25">
      <c r="A366" t="s">
        <v>727</v>
      </c>
      <c r="B366" s="6">
        <v>45302</v>
      </c>
      <c r="C366" t="s">
        <v>569</v>
      </c>
      <c r="D366" t="s">
        <v>24</v>
      </c>
      <c r="E366" t="s">
        <v>500</v>
      </c>
      <c r="F366" t="s">
        <v>480</v>
      </c>
      <c r="G366" s="7">
        <v>5</v>
      </c>
      <c r="H366" s="8">
        <v>26.63</v>
      </c>
      <c r="I366" s="9">
        <v>15</v>
      </c>
      <c r="J366" s="8">
        <v>113.18</v>
      </c>
      <c r="K366" s="8">
        <v>47.3</v>
      </c>
      <c r="L366" t="s">
        <v>33</v>
      </c>
    </row>
    <row r="367" spans="1:12" x14ac:dyDescent="0.25">
      <c r="A367" t="s">
        <v>728</v>
      </c>
      <c r="B367" s="6">
        <v>45759</v>
      </c>
      <c r="C367" t="s">
        <v>729</v>
      </c>
      <c r="D367" t="s">
        <v>24</v>
      </c>
      <c r="E367" t="s">
        <v>546</v>
      </c>
      <c r="F367" t="s">
        <v>480</v>
      </c>
      <c r="G367" s="7">
        <v>5</v>
      </c>
      <c r="H367" s="8">
        <v>28.02</v>
      </c>
      <c r="I367" s="9">
        <v>20</v>
      </c>
      <c r="J367" s="8">
        <v>112.08</v>
      </c>
      <c r="K367" s="8">
        <v>48.17</v>
      </c>
      <c r="L367" t="s">
        <v>33</v>
      </c>
    </row>
    <row r="368" spans="1:12" x14ac:dyDescent="0.25">
      <c r="A368" t="s">
        <v>730</v>
      </c>
      <c r="B368" s="6">
        <v>45543</v>
      </c>
      <c r="C368" t="s">
        <v>731</v>
      </c>
      <c r="D368" t="s">
        <v>31</v>
      </c>
      <c r="E368" t="s">
        <v>496</v>
      </c>
      <c r="F368" t="s">
        <v>480</v>
      </c>
      <c r="G368" s="7">
        <v>2</v>
      </c>
      <c r="H368" s="8">
        <v>51.46</v>
      </c>
      <c r="I368" s="9">
        <v>0</v>
      </c>
      <c r="J368" s="8">
        <v>102.92</v>
      </c>
      <c r="K368" s="8">
        <v>48.46</v>
      </c>
      <c r="L368" t="s">
        <v>33</v>
      </c>
    </row>
    <row r="369" spans="1:12" x14ac:dyDescent="0.25">
      <c r="A369" t="s">
        <v>732</v>
      </c>
      <c r="B369" s="6">
        <v>45605</v>
      </c>
      <c r="C369" t="s">
        <v>733</v>
      </c>
      <c r="D369" t="s">
        <v>14</v>
      </c>
      <c r="E369" t="s">
        <v>500</v>
      </c>
      <c r="F369" t="s">
        <v>480</v>
      </c>
      <c r="G369" s="7">
        <v>2</v>
      </c>
      <c r="H369" s="8">
        <v>65.89</v>
      </c>
      <c r="I369" s="9">
        <v>25</v>
      </c>
      <c r="J369" s="8">
        <v>98.84</v>
      </c>
      <c r="K369" s="8">
        <v>50.13</v>
      </c>
      <c r="L369" t="s">
        <v>33</v>
      </c>
    </row>
    <row r="370" spans="1:12" x14ac:dyDescent="0.25">
      <c r="A370" t="s">
        <v>734</v>
      </c>
      <c r="B370" s="6">
        <v>45972</v>
      </c>
      <c r="C370" t="s">
        <v>735</v>
      </c>
      <c r="D370" t="s">
        <v>31</v>
      </c>
      <c r="E370" t="s">
        <v>489</v>
      </c>
      <c r="F370" t="s">
        <v>480</v>
      </c>
      <c r="G370" s="7">
        <v>3</v>
      </c>
      <c r="H370" s="8">
        <v>50.3</v>
      </c>
      <c r="I370" s="9">
        <v>5</v>
      </c>
      <c r="J370" s="8">
        <v>143.35</v>
      </c>
      <c r="K370" s="8">
        <v>50.19</v>
      </c>
      <c r="L370" t="s">
        <v>33</v>
      </c>
    </row>
    <row r="371" spans="1:12" x14ac:dyDescent="0.25">
      <c r="A371" t="s">
        <v>736</v>
      </c>
      <c r="B371" s="6">
        <v>45740</v>
      </c>
      <c r="C371" t="s">
        <v>737</v>
      </c>
      <c r="D371" t="s">
        <v>20</v>
      </c>
      <c r="E371" t="s">
        <v>486</v>
      </c>
      <c r="F371" t="s">
        <v>480</v>
      </c>
      <c r="G371" s="7">
        <v>2</v>
      </c>
      <c r="H371" s="8">
        <v>82.56</v>
      </c>
      <c r="I371" s="9">
        <v>5</v>
      </c>
      <c r="J371" s="8">
        <v>156.86000000000001</v>
      </c>
      <c r="K371" s="8">
        <v>50.48</v>
      </c>
      <c r="L371" t="s">
        <v>33</v>
      </c>
    </row>
    <row r="372" spans="1:12" x14ac:dyDescent="0.25">
      <c r="A372" t="s">
        <v>738</v>
      </c>
      <c r="B372" s="6">
        <v>45549</v>
      </c>
      <c r="C372" t="s">
        <v>739</v>
      </c>
      <c r="D372" t="s">
        <v>31</v>
      </c>
      <c r="E372" t="s">
        <v>503</v>
      </c>
      <c r="F372" t="s">
        <v>480</v>
      </c>
      <c r="G372" s="7">
        <v>3</v>
      </c>
      <c r="H372" s="8">
        <v>35.11</v>
      </c>
      <c r="I372" s="9">
        <v>5</v>
      </c>
      <c r="J372" s="8">
        <v>100.06</v>
      </c>
      <c r="K372" s="8">
        <v>50.5</v>
      </c>
      <c r="L372" t="s">
        <v>33</v>
      </c>
    </row>
    <row r="373" spans="1:12" x14ac:dyDescent="0.25">
      <c r="A373" t="s">
        <v>740</v>
      </c>
      <c r="B373" s="6">
        <v>45753</v>
      </c>
      <c r="C373" t="s">
        <v>325</v>
      </c>
      <c r="D373" t="s">
        <v>20</v>
      </c>
      <c r="E373" t="s">
        <v>505</v>
      </c>
      <c r="F373" t="s">
        <v>480</v>
      </c>
      <c r="G373" s="7">
        <v>4</v>
      </c>
      <c r="H373" s="8">
        <v>34.840000000000003</v>
      </c>
      <c r="I373" s="9">
        <v>0</v>
      </c>
      <c r="J373" s="8">
        <v>139.36000000000001</v>
      </c>
      <c r="K373" s="8">
        <v>51.74</v>
      </c>
      <c r="L373" t="s">
        <v>17</v>
      </c>
    </row>
    <row r="374" spans="1:12" x14ac:dyDescent="0.25">
      <c r="A374" t="s">
        <v>741</v>
      </c>
      <c r="B374" s="6">
        <v>45952</v>
      </c>
      <c r="C374" t="s">
        <v>742</v>
      </c>
      <c r="D374" t="s">
        <v>20</v>
      </c>
      <c r="E374" t="s">
        <v>496</v>
      </c>
      <c r="F374" t="s">
        <v>480</v>
      </c>
      <c r="G374" s="7">
        <v>2</v>
      </c>
      <c r="H374" s="8">
        <v>53.16</v>
      </c>
      <c r="I374" s="9">
        <v>10</v>
      </c>
      <c r="J374" s="8">
        <v>95.69</v>
      </c>
      <c r="K374" s="8">
        <v>52.38</v>
      </c>
      <c r="L374" t="s">
        <v>17</v>
      </c>
    </row>
    <row r="375" spans="1:12" x14ac:dyDescent="0.25">
      <c r="A375" t="s">
        <v>743</v>
      </c>
      <c r="B375" s="6">
        <v>45903</v>
      </c>
      <c r="C375" t="s">
        <v>744</v>
      </c>
      <c r="D375" t="s">
        <v>31</v>
      </c>
      <c r="E375" t="s">
        <v>479</v>
      </c>
      <c r="F375" t="s">
        <v>480</v>
      </c>
      <c r="G375" s="7">
        <v>4</v>
      </c>
      <c r="H375" s="8">
        <v>31.81</v>
      </c>
      <c r="I375" s="9">
        <v>10</v>
      </c>
      <c r="J375" s="8">
        <v>114.52</v>
      </c>
      <c r="K375" s="8">
        <v>53.36</v>
      </c>
      <c r="L375" t="s">
        <v>48</v>
      </c>
    </row>
    <row r="376" spans="1:12" x14ac:dyDescent="0.25">
      <c r="A376" t="s">
        <v>745</v>
      </c>
      <c r="B376" s="6">
        <v>45547</v>
      </c>
      <c r="C376" t="s">
        <v>746</v>
      </c>
      <c r="D376" t="s">
        <v>14</v>
      </c>
      <c r="E376" t="s">
        <v>500</v>
      </c>
      <c r="F376" t="s">
        <v>480</v>
      </c>
      <c r="G376" s="7">
        <v>2</v>
      </c>
      <c r="H376" s="8">
        <v>71.77</v>
      </c>
      <c r="I376" s="9">
        <v>25</v>
      </c>
      <c r="J376" s="8">
        <v>107.66</v>
      </c>
      <c r="K376" s="8">
        <v>53.41</v>
      </c>
      <c r="L376" t="s">
        <v>17</v>
      </c>
    </row>
    <row r="377" spans="1:12" x14ac:dyDescent="0.25">
      <c r="A377" t="s">
        <v>747</v>
      </c>
      <c r="B377" s="6">
        <v>45460</v>
      </c>
      <c r="C377" t="s">
        <v>748</v>
      </c>
      <c r="D377" t="s">
        <v>24</v>
      </c>
      <c r="E377" t="s">
        <v>500</v>
      </c>
      <c r="F377" t="s">
        <v>480</v>
      </c>
      <c r="G377" s="7">
        <v>2</v>
      </c>
      <c r="H377" s="8">
        <v>70.23</v>
      </c>
      <c r="I377" s="9">
        <v>15</v>
      </c>
      <c r="J377" s="8">
        <v>119.39</v>
      </c>
      <c r="K377" s="8">
        <v>53.87</v>
      </c>
      <c r="L377" t="s">
        <v>17</v>
      </c>
    </row>
    <row r="378" spans="1:12" x14ac:dyDescent="0.25">
      <c r="A378" t="s">
        <v>749</v>
      </c>
      <c r="B378" s="6">
        <v>45817</v>
      </c>
      <c r="C378" t="s">
        <v>750</v>
      </c>
      <c r="D378" t="s">
        <v>20</v>
      </c>
      <c r="E378" t="s">
        <v>496</v>
      </c>
      <c r="F378" t="s">
        <v>480</v>
      </c>
      <c r="G378" s="7">
        <v>2</v>
      </c>
      <c r="H378" s="8">
        <v>88.79</v>
      </c>
      <c r="I378" s="9">
        <v>10</v>
      </c>
      <c r="J378" s="8">
        <v>159.82</v>
      </c>
      <c r="K378" s="8">
        <v>54.49</v>
      </c>
      <c r="L378" t="s">
        <v>17</v>
      </c>
    </row>
    <row r="379" spans="1:12" x14ac:dyDescent="0.25">
      <c r="A379" t="s">
        <v>751</v>
      </c>
      <c r="B379" s="6">
        <v>45603</v>
      </c>
      <c r="C379" t="s">
        <v>337</v>
      </c>
      <c r="D379" t="s">
        <v>24</v>
      </c>
      <c r="E379" t="s">
        <v>489</v>
      </c>
      <c r="F379" t="s">
        <v>480</v>
      </c>
      <c r="G379" s="7">
        <v>3</v>
      </c>
      <c r="H379" s="8">
        <v>47.44</v>
      </c>
      <c r="I379" s="9">
        <v>5</v>
      </c>
      <c r="J379" s="8">
        <v>135.19999999999999</v>
      </c>
      <c r="K379" s="8">
        <v>59.6</v>
      </c>
      <c r="L379" t="s">
        <v>33</v>
      </c>
    </row>
    <row r="380" spans="1:12" x14ac:dyDescent="0.25">
      <c r="A380" t="s">
        <v>752</v>
      </c>
      <c r="B380" s="6">
        <v>45970</v>
      </c>
      <c r="C380" t="s">
        <v>753</v>
      </c>
      <c r="D380" t="s">
        <v>20</v>
      </c>
      <c r="E380" t="s">
        <v>489</v>
      </c>
      <c r="F380" t="s">
        <v>480</v>
      </c>
      <c r="G380" s="7">
        <v>2</v>
      </c>
      <c r="H380" s="8">
        <v>57.29</v>
      </c>
      <c r="I380" s="9">
        <v>0</v>
      </c>
      <c r="J380" s="8">
        <v>114.58</v>
      </c>
      <c r="K380" s="8">
        <v>60.08</v>
      </c>
      <c r="L380" t="s">
        <v>33</v>
      </c>
    </row>
    <row r="381" spans="1:12" x14ac:dyDescent="0.25">
      <c r="A381" t="s">
        <v>754</v>
      </c>
      <c r="B381" s="6">
        <v>45722</v>
      </c>
      <c r="C381" t="s">
        <v>755</v>
      </c>
      <c r="D381" t="s">
        <v>20</v>
      </c>
      <c r="E381" t="s">
        <v>483</v>
      </c>
      <c r="F381" t="s">
        <v>480</v>
      </c>
      <c r="G381" s="7">
        <v>3</v>
      </c>
      <c r="H381" s="8">
        <v>63.3</v>
      </c>
      <c r="I381" s="9">
        <v>15</v>
      </c>
      <c r="J381" s="8">
        <v>161.41</v>
      </c>
      <c r="K381" s="8">
        <v>60.19</v>
      </c>
      <c r="L381" t="s">
        <v>17</v>
      </c>
    </row>
    <row r="382" spans="1:12" x14ac:dyDescent="0.25">
      <c r="A382" t="s">
        <v>756</v>
      </c>
      <c r="B382" s="6">
        <v>45551</v>
      </c>
      <c r="C382" t="s">
        <v>757</v>
      </c>
      <c r="D382" t="s">
        <v>20</v>
      </c>
      <c r="E382" t="s">
        <v>486</v>
      </c>
      <c r="F382" t="s">
        <v>480</v>
      </c>
      <c r="G382" s="7">
        <v>2</v>
      </c>
      <c r="H382" s="8">
        <v>73.319999999999993</v>
      </c>
      <c r="I382" s="9">
        <v>15</v>
      </c>
      <c r="J382" s="8">
        <v>124.64</v>
      </c>
      <c r="K382" s="8">
        <v>60.35</v>
      </c>
      <c r="L382" t="s">
        <v>17</v>
      </c>
    </row>
    <row r="383" spans="1:12" x14ac:dyDescent="0.25">
      <c r="A383" t="s">
        <v>758</v>
      </c>
      <c r="B383" s="6">
        <v>45944</v>
      </c>
      <c r="C383" t="s">
        <v>759</v>
      </c>
      <c r="D383" t="s">
        <v>36</v>
      </c>
      <c r="E383" t="s">
        <v>479</v>
      </c>
      <c r="F383" t="s">
        <v>480</v>
      </c>
      <c r="G383" s="7">
        <v>3</v>
      </c>
      <c r="H383" s="8">
        <v>41.47</v>
      </c>
      <c r="I383" s="9">
        <v>10</v>
      </c>
      <c r="J383" s="8">
        <v>111.97</v>
      </c>
      <c r="K383" s="8">
        <v>61.29</v>
      </c>
      <c r="L383" t="s">
        <v>17</v>
      </c>
    </row>
    <row r="384" spans="1:12" x14ac:dyDescent="0.25">
      <c r="A384" t="s">
        <v>760</v>
      </c>
      <c r="B384" s="6">
        <v>45669</v>
      </c>
      <c r="C384" t="s">
        <v>761</v>
      </c>
      <c r="D384" t="s">
        <v>14</v>
      </c>
      <c r="E384" t="s">
        <v>479</v>
      </c>
      <c r="F384" t="s">
        <v>480</v>
      </c>
      <c r="G384" s="7">
        <v>3</v>
      </c>
      <c r="H384" s="8">
        <v>70.55</v>
      </c>
      <c r="I384" s="9">
        <v>10</v>
      </c>
      <c r="J384" s="8">
        <v>190.49</v>
      </c>
      <c r="K384" s="8">
        <v>61.47</v>
      </c>
      <c r="L384" t="s">
        <v>33</v>
      </c>
    </row>
    <row r="385" spans="1:12" x14ac:dyDescent="0.25">
      <c r="A385" t="s">
        <v>762</v>
      </c>
      <c r="B385" s="6">
        <v>45616</v>
      </c>
      <c r="C385" t="s">
        <v>235</v>
      </c>
      <c r="D385" t="s">
        <v>36</v>
      </c>
      <c r="E385" t="s">
        <v>514</v>
      </c>
      <c r="F385" t="s">
        <v>480</v>
      </c>
      <c r="G385" s="7">
        <v>2</v>
      </c>
      <c r="H385" s="8">
        <v>64.239999999999995</v>
      </c>
      <c r="I385" s="9">
        <v>0</v>
      </c>
      <c r="J385" s="8">
        <v>128.47999999999999</v>
      </c>
      <c r="K385" s="8">
        <v>61.89</v>
      </c>
      <c r="L385" t="s">
        <v>33</v>
      </c>
    </row>
    <row r="386" spans="1:12" x14ac:dyDescent="0.25">
      <c r="A386" t="s">
        <v>763</v>
      </c>
      <c r="B386" s="6">
        <v>45326</v>
      </c>
      <c r="C386" t="s">
        <v>764</v>
      </c>
      <c r="D386" t="s">
        <v>14</v>
      </c>
      <c r="E386" t="s">
        <v>486</v>
      </c>
      <c r="F386" t="s">
        <v>480</v>
      </c>
      <c r="G386" s="7">
        <v>2</v>
      </c>
      <c r="H386" s="8">
        <v>60</v>
      </c>
      <c r="I386" s="9">
        <v>0</v>
      </c>
      <c r="J386" s="8">
        <v>120</v>
      </c>
      <c r="K386" s="8">
        <v>63.11</v>
      </c>
      <c r="L386" t="s">
        <v>48</v>
      </c>
    </row>
    <row r="387" spans="1:12" x14ac:dyDescent="0.25">
      <c r="A387" t="s">
        <v>765</v>
      </c>
      <c r="B387" s="6">
        <v>45560</v>
      </c>
      <c r="C387" t="s">
        <v>19</v>
      </c>
      <c r="D387" t="s">
        <v>14</v>
      </c>
      <c r="E387" t="s">
        <v>546</v>
      </c>
      <c r="F387" t="s">
        <v>480</v>
      </c>
      <c r="G387" s="7">
        <v>3</v>
      </c>
      <c r="H387" s="8">
        <v>52.53</v>
      </c>
      <c r="I387" s="9">
        <v>0</v>
      </c>
      <c r="J387" s="8">
        <v>157.59</v>
      </c>
      <c r="K387" s="8">
        <v>63.84</v>
      </c>
      <c r="L387" t="s">
        <v>17</v>
      </c>
    </row>
    <row r="388" spans="1:12" x14ac:dyDescent="0.25">
      <c r="A388" t="s">
        <v>766</v>
      </c>
      <c r="B388" s="6">
        <v>45630</v>
      </c>
      <c r="C388" t="s">
        <v>429</v>
      </c>
      <c r="D388" t="s">
        <v>14</v>
      </c>
      <c r="E388" t="s">
        <v>505</v>
      </c>
      <c r="F388" t="s">
        <v>480</v>
      </c>
      <c r="G388" s="7">
        <v>2</v>
      </c>
      <c r="H388" s="8">
        <v>80.599999999999994</v>
      </c>
      <c r="I388" s="9">
        <v>25</v>
      </c>
      <c r="J388" s="8">
        <v>120.9</v>
      </c>
      <c r="K388" s="8">
        <v>63.98</v>
      </c>
      <c r="L388" t="s">
        <v>17</v>
      </c>
    </row>
    <row r="389" spans="1:12" x14ac:dyDescent="0.25">
      <c r="A389" t="s">
        <v>767</v>
      </c>
      <c r="B389" s="6">
        <v>45628</v>
      </c>
      <c r="C389" t="s">
        <v>556</v>
      </c>
      <c r="D389" t="s">
        <v>20</v>
      </c>
      <c r="E389" t="s">
        <v>496</v>
      </c>
      <c r="F389" t="s">
        <v>480</v>
      </c>
      <c r="G389" s="7">
        <v>2</v>
      </c>
      <c r="H389" s="8">
        <v>83.04</v>
      </c>
      <c r="I389" s="9">
        <v>20</v>
      </c>
      <c r="J389" s="8">
        <v>132.86000000000001</v>
      </c>
      <c r="K389" s="8">
        <v>64.19</v>
      </c>
      <c r="L389" t="s">
        <v>17</v>
      </c>
    </row>
    <row r="390" spans="1:12" x14ac:dyDescent="0.25">
      <c r="A390" t="s">
        <v>768</v>
      </c>
      <c r="B390" s="6">
        <v>45558</v>
      </c>
      <c r="C390" t="s">
        <v>769</v>
      </c>
      <c r="D390" t="s">
        <v>36</v>
      </c>
      <c r="E390" t="s">
        <v>546</v>
      </c>
      <c r="F390" t="s">
        <v>480</v>
      </c>
      <c r="G390" s="7">
        <v>2</v>
      </c>
      <c r="H390" s="8">
        <v>68.489999999999995</v>
      </c>
      <c r="I390" s="9">
        <v>5</v>
      </c>
      <c r="J390" s="8">
        <v>130.13</v>
      </c>
      <c r="K390" s="8">
        <v>64.42</v>
      </c>
      <c r="L390" t="s">
        <v>33</v>
      </c>
    </row>
    <row r="391" spans="1:12" x14ac:dyDescent="0.25">
      <c r="A391" t="s">
        <v>770</v>
      </c>
      <c r="B391" s="6">
        <v>45633</v>
      </c>
      <c r="C391" t="s">
        <v>471</v>
      </c>
      <c r="D391" t="s">
        <v>14</v>
      </c>
      <c r="E391" t="s">
        <v>489</v>
      </c>
      <c r="F391" t="s">
        <v>480</v>
      </c>
      <c r="G391" s="7">
        <v>2</v>
      </c>
      <c r="H391" s="8">
        <v>75.09</v>
      </c>
      <c r="I391" s="9">
        <v>5</v>
      </c>
      <c r="J391" s="8">
        <v>142.66999999999999</v>
      </c>
      <c r="K391" s="8">
        <v>64.540000000000006</v>
      </c>
      <c r="L391" t="s">
        <v>17</v>
      </c>
    </row>
    <row r="392" spans="1:12" x14ac:dyDescent="0.25">
      <c r="A392" t="s">
        <v>771</v>
      </c>
      <c r="B392" s="6">
        <v>45609</v>
      </c>
      <c r="C392" t="s">
        <v>772</v>
      </c>
      <c r="D392" t="s">
        <v>20</v>
      </c>
      <c r="E392" t="s">
        <v>500</v>
      </c>
      <c r="F392" t="s">
        <v>480</v>
      </c>
      <c r="G392" s="7">
        <v>2</v>
      </c>
      <c r="H392" s="8">
        <v>63.15</v>
      </c>
      <c r="I392" s="9">
        <v>0</v>
      </c>
      <c r="J392" s="8">
        <v>126.3</v>
      </c>
      <c r="K392" s="8">
        <v>65.33</v>
      </c>
      <c r="L392" t="s">
        <v>33</v>
      </c>
    </row>
    <row r="393" spans="1:12" x14ac:dyDescent="0.25">
      <c r="A393" t="s">
        <v>773</v>
      </c>
      <c r="B393" s="6">
        <v>46012</v>
      </c>
      <c r="C393" t="s">
        <v>774</v>
      </c>
      <c r="D393" t="s">
        <v>31</v>
      </c>
      <c r="E393" t="s">
        <v>483</v>
      </c>
      <c r="F393" t="s">
        <v>480</v>
      </c>
      <c r="G393" s="7">
        <v>4</v>
      </c>
      <c r="H393" s="8">
        <v>53.56</v>
      </c>
      <c r="I393" s="9">
        <v>0</v>
      </c>
      <c r="J393" s="8">
        <v>214.24</v>
      </c>
      <c r="K393" s="8">
        <v>66.34</v>
      </c>
      <c r="L393" t="s">
        <v>33</v>
      </c>
    </row>
    <row r="394" spans="1:12" x14ac:dyDescent="0.25">
      <c r="A394" t="s">
        <v>775</v>
      </c>
      <c r="B394" s="6">
        <v>45449</v>
      </c>
      <c r="C394" t="s">
        <v>776</v>
      </c>
      <c r="D394" t="s">
        <v>14</v>
      </c>
      <c r="E394" t="s">
        <v>505</v>
      </c>
      <c r="F394" t="s">
        <v>480</v>
      </c>
      <c r="G394" s="7">
        <v>2</v>
      </c>
      <c r="H394" s="8">
        <v>73.61</v>
      </c>
      <c r="I394" s="9">
        <v>10</v>
      </c>
      <c r="J394" s="8">
        <v>132.5</v>
      </c>
      <c r="K394" s="8">
        <v>66.41</v>
      </c>
      <c r="L394" t="s">
        <v>48</v>
      </c>
    </row>
    <row r="395" spans="1:12" x14ac:dyDescent="0.25">
      <c r="A395" t="s">
        <v>777</v>
      </c>
      <c r="B395" s="6">
        <v>45782</v>
      </c>
      <c r="C395" t="s">
        <v>778</v>
      </c>
      <c r="D395" t="s">
        <v>24</v>
      </c>
      <c r="E395" t="s">
        <v>514</v>
      </c>
      <c r="F395" t="s">
        <v>480</v>
      </c>
      <c r="G395" s="7">
        <v>2</v>
      </c>
      <c r="H395" s="8">
        <v>67.790000000000006</v>
      </c>
      <c r="I395" s="9">
        <v>5</v>
      </c>
      <c r="J395" s="8">
        <v>128.80000000000001</v>
      </c>
      <c r="K395" s="8">
        <v>68.5</v>
      </c>
      <c r="L395" t="s">
        <v>17</v>
      </c>
    </row>
    <row r="396" spans="1:12" x14ac:dyDescent="0.25">
      <c r="A396" t="s">
        <v>779</v>
      </c>
      <c r="B396" s="6">
        <v>45881</v>
      </c>
      <c r="C396" t="s">
        <v>454</v>
      </c>
      <c r="D396" t="s">
        <v>14</v>
      </c>
      <c r="E396" t="s">
        <v>483</v>
      </c>
      <c r="F396" t="s">
        <v>480</v>
      </c>
      <c r="G396" s="7">
        <v>2</v>
      </c>
      <c r="H396" s="8">
        <v>81.45</v>
      </c>
      <c r="I396" s="9">
        <v>10</v>
      </c>
      <c r="J396" s="8">
        <v>146.61000000000001</v>
      </c>
      <c r="K396" s="8">
        <v>69.739999999999995</v>
      </c>
      <c r="L396" t="s">
        <v>33</v>
      </c>
    </row>
    <row r="397" spans="1:12" x14ac:dyDescent="0.25">
      <c r="A397" t="s">
        <v>780</v>
      </c>
      <c r="B397" s="6">
        <v>45479</v>
      </c>
      <c r="C397" t="s">
        <v>781</v>
      </c>
      <c r="D397" t="s">
        <v>14</v>
      </c>
      <c r="E397" t="s">
        <v>483</v>
      </c>
      <c r="F397" t="s">
        <v>480</v>
      </c>
      <c r="G397" s="7">
        <v>3</v>
      </c>
      <c r="H397" s="8">
        <v>81.239999999999995</v>
      </c>
      <c r="I397" s="9">
        <v>15</v>
      </c>
      <c r="J397" s="8">
        <v>207.16</v>
      </c>
      <c r="K397" s="8">
        <v>72.27</v>
      </c>
      <c r="L397" t="s">
        <v>33</v>
      </c>
    </row>
    <row r="398" spans="1:12" x14ac:dyDescent="0.25">
      <c r="A398" t="s">
        <v>782</v>
      </c>
      <c r="B398" s="6">
        <v>45720</v>
      </c>
      <c r="C398" t="s">
        <v>783</v>
      </c>
      <c r="D398" t="s">
        <v>36</v>
      </c>
      <c r="E398" t="s">
        <v>514</v>
      </c>
      <c r="F398" t="s">
        <v>480</v>
      </c>
      <c r="G398" s="7">
        <v>3</v>
      </c>
      <c r="H398" s="8">
        <v>74.78</v>
      </c>
      <c r="I398" s="9">
        <v>25</v>
      </c>
      <c r="J398" s="8">
        <v>168.26</v>
      </c>
      <c r="K398" s="8">
        <v>73.87</v>
      </c>
      <c r="L398" t="s">
        <v>17</v>
      </c>
    </row>
    <row r="399" spans="1:12" x14ac:dyDescent="0.25">
      <c r="A399" t="s">
        <v>784</v>
      </c>
      <c r="B399" s="6">
        <v>45849</v>
      </c>
      <c r="C399" t="s">
        <v>785</v>
      </c>
      <c r="D399" t="s">
        <v>31</v>
      </c>
      <c r="E399" t="s">
        <v>496</v>
      </c>
      <c r="F399" t="s">
        <v>480</v>
      </c>
      <c r="G399" s="7">
        <v>3</v>
      </c>
      <c r="H399" s="8">
        <v>49.67</v>
      </c>
      <c r="I399" s="9">
        <v>0</v>
      </c>
      <c r="J399" s="8">
        <v>149.01</v>
      </c>
      <c r="K399" s="8">
        <v>73.92</v>
      </c>
      <c r="L399" t="s">
        <v>33</v>
      </c>
    </row>
    <row r="400" spans="1:12" x14ac:dyDescent="0.25">
      <c r="A400" t="s">
        <v>786</v>
      </c>
      <c r="B400" s="6">
        <v>45312</v>
      </c>
      <c r="C400" t="s">
        <v>148</v>
      </c>
      <c r="D400" t="s">
        <v>31</v>
      </c>
      <c r="E400" t="s">
        <v>503</v>
      </c>
      <c r="F400" t="s">
        <v>480</v>
      </c>
      <c r="G400" s="7">
        <v>4</v>
      </c>
      <c r="H400" s="8">
        <v>56.04</v>
      </c>
      <c r="I400" s="9">
        <v>10</v>
      </c>
      <c r="J400" s="8">
        <v>201.74</v>
      </c>
      <c r="K400" s="8">
        <v>73.98</v>
      </c>
      <c r="L400" t="s">
        <v>17</v>
      </c>
    </row>
    <row r="401" spans="1:12" x14ac:dyDescent="0.25">
      <c r="A401" t="s">
        <v>787</v>
      </c>
      <c r="B401" s="6">
        <v>45970</v>
      </c>
      <c r="C401" t="s">
        <v>788</v>
      </c>
      <c r="D401" t="s">
        <v>20</v>
      </c>
      <c r="E401" t="s">
        <v>479</v>
      </c>
      <c r="F401" t="s">
        <v>480</v>
      </c>
      <c r="G401" s="7">
        <v>5</v>
      </c>
      <c r="H401" s="8">
        <v>39.28</v>
      </c>
      <c r="I401" s="9">
        <v>0</v>
      </c>
      <c r="J401" s="8">
        <v>196.4</v>
      </c>
      <c r="K401" s="8">
        <v>74.62</v>
      </c>
      <c r="L401" t="s">
        <v>33</v>
      </c>
    </row>
    <row r="402" spans="1:12" x14ac:dyDescent="0.25">
      <c r="A402" t="s">
        <v>789</v>
      </c>
      <c r="B402" s="6">
        <v>45473</v>
      </c>
      <c r="C402" t="s">
        <v>790</v>
      </c>
      <c r="D402" t="s">
        <v>36</v>
      </c>
      <c r="E402" t="s">
        <v>479</v>
      </c>
      <c r="F402" t="s">
        <v>480</v>
      </c>
      <c r="G402" s="7">
        <v>2</v>
      </c>
      <c r="H402" s="8">
        <v>88.54</v>
      </c>
      <c r="I402" s="9">
        <v>15</v>
      </c>
      <c r="J402" s="8">
        <v>150.52000000000001</v>
      </c>
      <c r="K402" s="8">
        <v>76.930000000000007</v>
      </c>
      <c r="L402" t="s">
        <v>17</v>
      </c>
    </row>
    <row r="403" spans="1:12" x14ac:dyDescent="0.25">
      <c r="A403" t="s">
        <v>791</v>
      </c>
      <c r="B403" s="6">
        <v>45860</v>
      </c>
      <c r="C403" t="s">
        <v>792</v>
      </c>
      <c r="D403" t="s">
        <v>24</v>
      </c>
      <c r="E403" t="s">
        <v>486</v>
      </c>
      <c r="F403" t="s">
        <v>480</v>
      </c>
      <c r="G403" s="7">
        <v>5</v>
      </c>
      <c r="H403" s="8">
        <v>28.93</v>
      </c>
      <c r="I403" s="9">
        <v>0</v>
      </c>
      <c r="J403" s="8">
        <v>144.65</v>
      </c>
      <c r="K403" s="8">
        <v>77.59</v>
      </c>
      <c r="L403" t="s">
        <v>17</v>
      </c>
    </row>
    <row r="404" spans="1:12" x14ac:dyDescent="0.25">
      <c r="A404" t="s">
        <v>793</v>
      </c>
      <c r="B404" s="6">
        <v>45369</v>
      </c>
      <c r="C404" t="s">
        <v>794</v>
      </c>
      <c r="D404" t="s">
        <v>14</v>
      </c>
      <c r="E404" t="s">
        <v>503</v>
      </c>
      <c r="F404" t="s">
        <v>480</v>
      </c>
      <c r="G404" s="7">
        <v>3</v>
      </c>
      <c r="H404" s="8">
        <v>62.5</v>
      </c>
      <c r="I404" s="9">
        <v>10</v>
      </c>
      <c r="J404" s="8">
        <v>168.75</v>
      </c>
      <c r="K404" s="8">
        <v>78.3</v>
      </c>
      <c r="L404" t="s">
        <v>33</v>
      </c>
    </row>
    <row r="405" spans="1:12" x14ac:dyDescent="0.25">
      <c r="A405" t="s">
        <v>795</v>
      </c>
      <c r="B405" s="6">
        <v>45565</v>
      </c>
      <c r="C405" t="s">
        <v>796</v>
      </c>
      <c r="D405" t="s">
        <v>36</v>
      </c>
      <c r="E405" t="s">
        <v>486</v>
      </c>
      <c r="F405" t="s">
        <v>480</v>
      </c>
      <c r="G405" s="7">
        <v>3</v>
      </c>
      <c r="H405" s="8">
        <v>64.069999999999993</v>
      </c>
      <c r="I405" s="9">
        <v>0</v>
      </c>
      <c r="J405" s="8">
        <v>192.21</v>
      </c>
      <c r="K405" s="8">
        <v>78.680000000000007</v>
      </c>
      <c r="L405" t="s">
        <v>17</v>
      </c>
    </row>
    <row r="406" spans="1:12" x14ac:dyDescent="0.25">
      <c r="A406" t="s">
        <v>797</v>
      </c>
      <c r="B406" s="6">
        <v>45941</v>
      </c>
      <c r="C406" t="s">
        <v>798</v>
      </c>
      <c r="D406" t="s">
        <v>20</v>
      </c>
      <c r="E406" t="s">
        <v>500</v>
      </c>
      <c r="F406" t="s">
        <v>480</v>
      </c>
      <c r="G406" s="7">
        <v>3</v>
      </c>
      <c r="H406" s="8">
        <v>61.98</v>
      </c>
      <c r="I406" s="9">
        <v>20</v>
      </c>
      <c r="J406" s="8">
        <v>148.75</v>
      </c>
      <c r="K406" s="8">
        <v>79.930000000000007</v>
      </c>
      <c r="L406" t="s">
        <v>17</v>
      </c>
    </row>
    <row r="407" spans="1:12" x14ac:dyDescent="0.25">
      <c r="A407" t="s">
        <v>799</v>
      </c>
      <c r="B407" s="6">
        <v>45486</v>
      </c>
      <c r="C407" t="s">
        <v>800</v>
      </c>
      <c r="D407" t="s">
        <v>14</v>
      </c>
      <c r="E407" t="s">
        <v>486</v>
      </c>
      <c r="F407" t="s">
        <v>480</v>
      </c>
      <c r="G407" s="7">
        <v>3</v>
      </c>
      <c r="H407" s="8">
        <v>60.62</v>
      </c>
      <c r="I407" s="9">
        <v>0</v>
      </c>
      <c r="J407" s="8">
        <v>181.86</v>
      </c>
      <c r="K407" s="8">
        <v>84.52</v>
      </c>
      <c r="L407" t="s">
        <v>17</v>
      </c>
    </row>
    <row r="408" spans="1:12" x14ac:dyDescent="0.25">
      <c r="A408" t="s">
        <v>801</v>
      </c>
      <c r="B408" s="6">
        <v>45831</v>
      </c>
      <c r="C408" t="s">
        <v>715</v>
      </c>
      <c r="D408" t="s">
        <v>20</v>
      </c>
      <c r="E408" t="s">
        <v>486</v>
      </c>
      <c r="F408" t="s">
        <v>480</v>
      </c>
      <c r="G408" s="7">
        <v>3</v>
      </c>
      <c r="H408" s="8">
        <v>66.8</v>
      </c>
      <c r="I408" s="9">
        <v>10</v>
      </c>
      <c r="J408" s="8">
        <v>180.36</v>
      </c>
      <c r="K408" s="8">
        <v>85.36</v>
      </c>
      <c r="L408" t="s">
        <v>33</v>
      </c>
    </row>
    <row r="409" spans="1:12" x14ac:dyDescent="0.25">
      <c r="A409" t="s">
        <v>802</v>
      </c>
      <c r="B409" s="6">
        <v>45627</v>
      </c>
      <c r="C409" t="s">
        <v>803</v>
      </c>
      <c r="D409" t="s">
        <v>36</v>
      </c>
      <c r="E409" t="s">
        <v>479</v>
      </c>
      <c r="F409" t="s">
        <v>480</v>
      </c>
      <c r="G409" s="7">
        <v>2</v>
      </c>
      <c r="H409" s="8">
        <v>80.599999999999994</v>
      </c>
      <c r="I409" s="9">
        <v>0</v>
      </c>
      <c r="J409" s="8">
        <v>161.19999999999999</v>
      </c>
      <c r="K409" s="8">
        <v>85.53</v>
      </c>
      <c r="L409" t="s">
        <v>33</v>
      </c>
    </row>
    <row r="410" spans="1:12" x14ac:dyDescent="0.25">
      <c r="A410" t="s">
        <v>804</v>
      </c>
      <c r="B410" s="6">
        <v>45647</v>
      </c>
      <c r="C410" t="s">
        <v>805</v>
      </c>
      <c r="D410" t="s">
        <v>14</v>
      </c>
      <c r="E410" t="s">
        <v>489</v>
      </c>
      <c r="F410" t="s">
        <v>480</v>
      </c>
      <c r="G410" s="7">
        <v>3</v>
      </c>
      <c r="H410" s="8">
        <v>87.22</v>
      </c>
      <c r="I410" s="9">
        <v>5</v>
      </c>
      <c r="J410" s="8">
        <v>248.58</v>
      </c>
      <c r="K410" s="8">
        <v>85.85</v>
      </c>
      <c r="L410" t="s">
        <v>33</v>
      </c>
    </row>
    <row r="411" spans="1:12" x14ac:dyDescent="0.25">
      <c r="A411" t="s">
        <v>806</v>
      </c>
      <c r="B411" s="6">
        <v>45503</v>
      </c>
      <c r="C411" t="s">
        <v>637</v>
      </c>
      <c r="D411" t="s">
        <v>36</v>
      </c>
      <c r="E411" t="s">
        <v>479</v>
      </c>
      <c r="F411" t="s">
        <v>480</v>
      </c>
      <c r="G411" s="7">
        <v>2</v>
      </c>
      <c r="H411" s="8">
        <v>83.66</v>
      </c>
      <c r="I411" s="9">
        <v>0</v>
      </c>
      <c r="J411" s="8">
        <v>167.32</v>
      </c>
      <c r="K411" s="8">
        <v>87.61</v>
      </c>
      <c r="L411" t="s">
        <v>17</v>
      </c>
    </row>
    <row r="412" spans="1:12" x14ac:dyDescent="0.25">
      <c r="A412" t="s">
        <v>807</v>
      </c>
      <c r="B412" s="6">
        <v>45388</v>
      </c>
      <c r="C412" t="s">
        <v>808</v>
      </c>
      <c r="D412" t="s">
        <v>24</v>
      </c>
      <c r="E412" t="s">
        <v>486</v>
      </c>
      <c r="F412" t="s">
        <v>480</v>
      </c>
      <c r="G412" s="7">
        <v>5</v>
      </c>
      <c r="H412" s="8">
        <v>52.55</v>
      </c>
      <c r="I412" s="9">
        <v>0</v>
      </c>
      <c r="J412" s="8">
        <v>262.75</v>
      </c>
      <c r="K412" s="8">
        <v>90.22</v>
      </c>
      <c r="L412" t="s">
        <v>17</v>
      </c>
    </row>
    <row r="413" spans="1:12" x14ac:dyDescent="0.25">
      <c r="A413" t="s">
        <v>809</v>
      </c>
      <c r="B413" s="6">
        <v>45775</v>
      </c>
      <c r="C413" t="s">
        <v>810</v>
      </c>
      <c r="D413" t="s">
        <v>36</v>
      </c>
      <c r="E413" t="s">
        <v>496</v>
      </c>
      <c r="F413" t="s">
        <v>480</v>
      </c>
      <c r="G413" s="7">
        <v>3</v>
      </c>
      <c r="H413" s="8">
        <v>62.83</v>
      </c>
      <c r="I413" s="9">
        <v>5</v>
      </c>
      <c r="J413" s="8">
        <v>179.07</v>
      </c>
      <c r="K413" s="8">
        <v>93.39</v>
      </c>
      <c r="L413" t="s">
        <v>33</v>
      </c>
    </row>
    <row r="414" spans="1:12" x14ac:dyDescent="0.25">
      <c r="A414" t="s">
        <v>811</v>
      </c>
      <c r="B414" s="6">
        <v>45802</v>
      </c>
      <c r="C414" t="s">
        <v>709</v>
      </c>
      <c r="D414" t="s">
        <v>20</v>
      </c>
      <c r="E414" t="s">
        <v>496</v>
      </c>
      <c r="F414" t="s">
        <v>480</v>
      </c>
      <c r="G414" s="7">
        <v>4</v>
      </c>
      <c r="H414" s="8">
        <v>72.11</v>
      </c>
      <c r="I414" s="9">
        <v>15</v>
      </c>
      <c r="J414" s="8">
        <v>245.17</v>
      </c>
      <c r="K414" s="8">
        <v>94.32</v>
      </c>
      <c r="L414" t="s">
        <v>17</v>
      </c>
    </row>
    <row r="415" spans="1:12" x14ac:dyDescent="0.25">
      <c r="A415" t="s">
        <v>812</v>
      </c>
      <c r="B415" s="6">
        <v>45948</v>
      </c>
      <c r="C415" t="s">
        <v>813</v>
      </c>
      <c r="D415" t="s">
        <v>36</v>
      </c>
      <c r="E415" t="s">
        <v>500</v>
      </c>
      <c r="F415" t="s">
        <v>480</v>
      </c>
      <c r="G415" s="7">
        <v>3</v>
      </c>
      <c r="H415" s="8">
        <v>80.78</v>
      </c>
      <c r="I415" s="9">
        <v>0</v>
      </c>
      <c r="J415" s="8">
        <v>242.34</v>
      </c>
      <c r="K415" s="8">
        <v>98.58</v>
      </c>
      <c r="L415" t="s">
        <v>33</v>
      </c>
    </row>
    <row r="416" spans="1:12" x14ac:dyDescent="0.25">
      <c r="A416" t="s">
        <v>814</v>
      </c>
      <c r="B416" s="6">
        <v>45838</v>
      </c>
      <c r="C416" t="s">
        <v>178</v>
      </c>
      <c r="D416" t="s">
        <v>24</v>
      </c>
      <c r="E416" t="s">
        <v>500</v>
      </c>
      <c r="F416" t="s">
        <v>480</v>
      </c>
      <c r="G416" s="7">
        <v>3</v>
      </c>
      <c r="H416" s="8">
        <v>89.82</v>
      </c>
      <c r="I416" s="9">
        <v>10</v>
      </c>
      <c r="J416" s="8">
        <v>242.51</v>
      </c>
      <c r="K416" s="8">
        <v>99.73</v>
      </c>
      <c r="L416" t="s">
        <v>33</v>
      </c>
    </row>
    <row r="417" spans="1:12" x14ac:dyDescent="0.25">
      <c r="A417" t="s">
        <v>815</v>
      </c>
      <c r="B417" s="6">
        <v>45679</v>
      </c>
      <c r="C417" t="s">
        <v>816</v>
      </c>
      <c r="D417" t="s">
        <v>14</v>
      </c>
      <c r="E417" t="s">
        <v>514</v>
      </c>
      <c r="F417" t="s">
        <v>480</v>
      </c>
      <c r="G417" s="7">
        <v>3</v>
      </c>
      <c r="H417" s="8">
        <v>76.22</v>
      </c>
      <c r="I417" s="9">
        <v>10</v>
      </c>
      <c r="J417" s="8">
        <v>205.79</v>
      </c>
      <c r="K417" s="8">
        <v>100.29</v>
      </c>
      <c r="L417" t="s">
        <v>17</v>
      </c>
    </row>
    <row r="418" spans="1:12" x14ac:dyDescent="0.25">
      <c r="A418" t="s">
        <v>817</v>
      </c>
      <c r="B418" s="6">
        <v>45824</v>
      </c>
      <c r="C418" t="s">
        <v>818</v>
      </c>
      <c r="D418" t="s">
        <v>36</v>
      </c>
      <c r="E418" t="s">
        <v>500</v>
      </c>
      <c r="F418" t="s">
        <v>480</v>
      </c>
      <c r="G418" s="7">
        <v>5</v>
      </c>
      <c r="H418" s="8">
        <v>47.36</v>
      </c>
      <c r="I418" s="9">
        <v>10</v>
      </c>
      <c r="J418" s="8">
        <v>213.12</v>
      </c>
      <c r="K418" s="8">
        <v>116.36</v>
      </c>
      <c r="L418" t="s">
        <v>33</v>
      </c>
    </row>
    <row r="419" spans="1:12" x14ac:dyDescent="0.25">
      <c r="A419" t="s">
        <v>819</v>
      </c>
      <c r="B419" s="6">
        <v>45887</v>
      </c>
      <c r="C419" t="s">
        <v>820</v>
      </c>
      <c r="D419" t="s">
        <v>20</v>
      </c>
      <c r="E419" t="s">
        <v>483</v>
      </c>
      <c r="F419" t="s">
        <v>480</v>
      </c>
      <c r="G419" s="7">
        <v>3</v>
      </c>
      <c r="H419" s="8">
        <v>87.91</v>
      </c>
      <c r="I419" s="9">
        <v>0</v>
      </c>
      <c r="J419" s="8">
        <v>263.73</v>
      </c>
      <c r="K419" s="8">
        <v>117.07</v>
      </c>
      <c r="L419" t="s">
        <v>33</v>
      </c>
    </row>
    <row r="420" spans="1:12" x14ac:dyDescent="0.25">
      <c r="A420" t="s">
        <v>821</v>
      </c>
      <c r="B420" s="6">
        <v>45617</v>
      </c>
      <c r="C420" t="s">
        <v>796</v>
      </c>
      <c r="D420" t="s">
        <v>14</v>
      </c>
      <c r="E420" t="s">
        <v>479</v>
      </c>
      <c r="F420" t="s">
        <v>480</v>
      </c>
      <c r="G420" s="7">
        <v>4</v>
      </c>
      <c r="H420" s="8">
        <v>84.26</v>
      </c>
      <c r="I420" s="9">
        <v>10</v>
      </c>
      <c r="J420" s="8">
        <v>303.33999999999997</v>
      </c>
      <c r="K420" s="8">
        <v>129.85</v>
      </c>
      <c r="L420" t="s">
        <v>17</v>
      </c>
    </row>
    <row r="421" spans="1:12" x14ac:dyDescent="0.25">
      <c r="A421" t="s">
        <v>822</v>
      </c>
      <c r="B421" s="6">
        <v>45466</v>
      </c>
      <c r="C421" t="s">
        <v>823</v>
      </c>
      <c r="D421" t="s">
        <v>31</v>
      </c>
      <c r="E421" t="s">
        <v>514</v>
      </c>
      <c r="F421" t="s">
        <v>480</v>
      </c>
      <c r="G421" s="7">
        <v>4</v>
      </c>
      <c r="H421" s="8">
        <v>85.7</v>
      </c>
      <c r="I421" s="9">
        <v>5</v>
      </c>
      <c r="J421" s="8">
        <v>325.66000000000003</v>
      </c>
      <c r="K421" s="8">
        <v>138.62</v>
      </c>
      <c r="L421" t="s">
        <v>33</v>
      </c>
    </row>
    <row r="422" spans="1:12" x14ac:dyDescent="0.25">
      <c r="A422" t="s">
        <v>824</v>
      </c>
      <c r="B422" s="6">
        <v>45606</v>
      </c>
      <c r="C422" t="s">
        <v>248</v>
      </c>
      <c r="D422" t="s">
        <v>14</v>
      </c>
      <c r="E422" t="s">
        <v>546</v>
      </c>
      <c r="F422" t="s">
        <v>480</v>
      </c>
      <c r="G422" s="7">
        <v>4</v>
      </c>
      <c r="H422" s="8">
        <v>85.36</v>
      </c>
      <c r="I422" s="9">
        <v>10</v>
      </c>
      <c r="J422" s="8">
        <v>307.3</v>
      </c>
      <c r="K422" s="8">
        <v>139.85</v>
      </c>
      <c r="L422" t="s">
        <v>33</v>
      </c>
    </row>
    <row r="423" spans="1:12" x14ac:dyDescent="0.25">
      <c r="A423" t="s">
        <v>825</v>
      </c>
      <c r="B423" s="6">
        <v>45916</v>
      </c>
      <c r="C423" t="s">
        <v>826</v>
      </c>
      <c r="D423" t="s">
        <v>36</v>
      </c>
      <c r="E423" t="s">
        <v>486</v>
      </c>
      <c r="F423" t="s">
        <v>480</v>
      </c>
      <c r="G423" s="7">
        <v>5</v>
      </c>
      <c r="H423" s="8">
        <v>73.12</v>
      </c>
      <c r="I423" s="9">
        <v>0</v>
      </c>
      <c r="J423" s="8">
        <v>365.6</v>
      </c>
      <c r="K423" s="8">
        <v>150.05000000000001</v>
      </c>
      <c r="L423" t="s">
        <v>33</v>
      </c>
    </row>
    <row r="424" spans="1:12" x14ac:dyDescent="0.25">
      <c r="A424" t="s">
        <v>827</v>
      </c>
      <c r="B424" s="6">
        <v>45698</v>
      </c>
      <c r="C424" t="s">
        <v>828</v>
      </c>
      <c r="D424" t="s">
        <v>36</v>
      </c>
      <c r="E424" t="s">
        <v>514</v>
      </c>
      <c r="F424" t="s">
        <v>480</v>
      </c>
      <c r="G424" s="7">
        <v>4</v>
      </c>
      <c r="H424" s="8">
        <v>85.61</v>
      </c>
      <c r="I424" s="9">
        <v>15</v>
      </c>
      <c r="J424" s="8">
        <v>291.07</v>
      </c>
      <c r="K424" s="8">
        <v>159.84</v>
      </c>
      <c r="L424" t="s">
        <v>33</v>
      </c>
    </row>
    <row r="425" spans="1:12" x14ac:dyDescent="0.25">
      <c r="A425" t="s">
        <v>829</v>
      </c>
      <c r="B425" s="6">
        <v>45423</v>
      </c>
      <c r="C425" t="s">
        <v>478</v>
      </c>
      <c r="D425" t="s">
        <v>36</v>
      </c>
      <c r="E425" t="s">
        <v>546</v>
      </c>
      <c r="F425" t="s">
        <v>480</v>
      </c>
      <c r="G425" s="7">
        <v>4</v>
      </c>
      <c r="H425" s="8">
        <v>85.61</v>
      </c>
      <c r="I425" s="9">
        <v>0</v>
      </c>
      <c r="J425" s="8">
        <v>342.44</v>
      </c>
      <c r="K425" s="8">
        <v>166.62</v>
      </c>
      <c r="L425" t="s">
        <v>33</v>
      </c>
    </row>
    <row r="426" spans="1:12" x14ac:dyDescent="0.25">
      <c r="A426" t="s">
        <v>830</v>
      </c>
      <c r="B426" s="6">
        <v>45942</v>
      </c>
      <c r="C426" t="s">
        <v>831</v>
      </c>
      <c r="D426" t="s">
        <v>20</v>
      </c>
      <c r="E426" t="s">
        <v>832</v>
      </c>
      <c r="F426" t="s">
        <v>833</v>
      </c>
      <c r="G426" s="7">
        <v>1</v>
      </c>
      <c r="H426" s="8">
        <v>25.83</v>
      </c>
      <c r="I426" s="9">
        <v>0</v>
      </c>
      <c r="J426" s="8">
        <v>25.83</v>
      </c>
      <c r="K426" s="8">
        <v>2.27</v>
      </c>
      <c r="L426" t="s">
        <v>17</v>
      </c>
    </row>
    <row r="427" spans="1:12" x14ac:dyDescent="0.25">
      <c r="A427" t="s">
        <v>834</v>
      </c>
      <c r="B427" s="6">
        <v>45735</v>
      </c>
      <c r="C427" t="s">
        <v>794</v>
      </c>
      <c r="D427" t="s">
        <v>36</v>
      </c>
      <c r="E427" t="s">
        <v>835</v>
      </c>
      <c r="F427" t="s">
        <v>833</v>
      </c>
      <c r="G427" s="7">
        <v>1</v>
      </c>
      <c r="H427" s="8">
        <v>28.5</v>
      </c>
      <c r="I427" s="9">
        <v>5</v>
      </c>
      <c r="J427" s="8">
        <v>27.08</v>
      </c>
      <c r="K427" s="8">
        <v>2.76</v>
      </c>
      <c r="L427" t="s">
        <v>33</v>
      </c>
    </row>
    <row r="428" spans="1:12" x14ac:dyDescent="0.25">
      <c r="A428" t="s">
        <v>836</v>
      </c>
      <c r="B428" s="6">
        <v>45378</v>
      </c>
      <c r="C428" t="s">
        <v>488</v>
      </c>
      <c r="D428" t="s">
        <v>31</v>
      </c>
      <c r="E428" t="s">
        <v>837</v>
      </c>
      <c r="F428" t="s">
        <v>833</v>
      </c>
      <c r="G428" s="7">
        <v>1</v>
      </c>
      <c r="H428" s="8">
        <v>32.61</v>
      </c>
      <c r="I428" s="9">
        <v>0</v>
      </c>
      <c r="J428" s="8">
        <v>32.61</v>
      </c>
      <c r="K428" s="8">
        <v>2.87</v>
      </c>
      <c r="L428" t="s">
        <v>33</v>
      </c>
    </row>
    <row r="429" spans="1:12" x14ac:dyDescent="0.25">
      <c r="A429" t="s">
        <v>838</v>
      </c>
      <c r="B429" s="6">
        <v>45946</v>
      </c>
      <c r="C429" t="s">
        <v>839</v>
      </c>
      <c r="D429" t="s">
        <v>31</v>
      </c>
      <c r="E429" t="s">
        <v>840</v>
      </c>
      <c r="F429" t="s">
        <v>833</v>
      </c>
      <c r="G429" s="7">
        <v>1</v>
      </c>
      <c r="H429" s="8">
        <v>31.51</v>
      </c>
      <c r="I429" s="9">
        <v>20</v>
      </c>
      <c r="J429" s="8">
        <v>25.21</v>
      </c>
      <c r="K429" s="8">
        <v>2.89</v>
      </c>
      <c r="L429" t="s">
        <v>33</v>
      </c>
    </row>
    <row r="430" spans="1:12" x14ac:dyDescent="0.25">
      <c r="A430" t="s">
        <v>841</v>
      </c>
      <c r="B430" s="6">
        <v>45709</v>
      </c>
      <c r="C430" t="s">
        <v>842</v>
      </c>
      <c r="D430" t="s">
        <v>24</v>
      </c>
      <c r="E430" t="s">
        <v>843</v>
      </c>
      <c r="F430" t="s">
        <v>833</v>
      </c>
      <c r="G430" s="7">
        <v>1</v>
      </c>
      <c r="H430" s="8">
        <v>27.06</v>
      </c>
      <c r="I430" s="9">
        <v>15</v>
      </c>
      <c r="J430" s="8">
        <v>23</v>
      </c>
      <c r="K430" s="8">
        <v>2.96</v>
      </c>
      <c r="L430" t="s">
        <v>33</v>
      </c>
    </row>
    <row r="431" spans="1:12" x14ac:dyDescent="0.25">
      <c r="A431" t="s">
        <v>844</v>
      </c>
      <c r="B431" s="6">
        <v>45772</v>
      </c>
      <c r="C431" t="s">
        <v>845</v>
      </c>
      <c r="D431" t="s">
        <v>36</v>
      </c>
      <c r="E431" t="s">
        <v>846</v>
      </c>
      <c r="F431" t="s">
        <v>833</v>
      </c>
      <c r="G431" s="7">
        <v>1</v>
      </c>
      <c r="H431" s="8">
        <v>29.41</v>
      </c>
      <c r="I431" s="9">
        <v>5</v>
      </c>
      <c r="J431" s="8">
        <v>27.94</v>
      </c>
      <c r="K431" s="8">
        <v>4.01</v>
      </c>
      <c r="L431" t="s">
        <v>17</v>
      </c>
    </row>
    <row r="432" spans="1:12" x14ac:dyDescent="0.25">
      <c r="A432" t="s">
        <v>847</v>
      </c>
      <c r="B432" s="6">
        <v>45420</v>
      </c>
      <c r="C432" t="s">
        <v>495</v>
      </c>
      <c r="D432" t="s">
        <v>31</v>
      </c>
      <c r="E432" t="s">
        <v>848</v>
      </c>
      <c r="F432" t="s">
        <v>833</v>
      </c>
      <c r="G432" s="7">
        <v>1</v>
      </c>
      <c r="H432" s="8">
        <v>24.59</v>
      </c>
      <c r="I432" s="9">
        <v>0</v>
      </c>
      <c r="J432" s="8">
        <v>24.59</v>
      </c>
      <c r="K432" s="8">
        <v>4.07</v>
      </c>
      <c r="L432" t="s">
        <v>48</v>
      </c>
    </row>
    <row r="433" spans="1:12" x14ac:dyDescent="0.25">
      <c r="A433" t="s">
        <v>849</v>
      </c>
      <c r="B433" s="6">
        <v>45763</v>
      </c>
      <c r="C433" t="s">
        <v>850</v>
      </c>
      <c r="D433" t="s">
        <v>20</v>
      </c>
      <c r="E433" t="s">
        <v>843</v>
      </c>
      <c r="F433" t="s">
        <v>833</v>
      </c>
      <c r="G433" s="7">
        <v>1</v>
      </c>
      <c r="H433" s="8">
        <v>25.46</v>
      </c>
      <c r="I433" s="9">
        <v>20</v>
      </c>
      <c r="J433" s="8">
        <v>20.37</v>
      </c>
      <c r="K433" s="8">
        <v>4.1900000000000004</v>
      </c>
      <c r="L433" t="s">
        <v>33</v>
      </c>
    </row>
    <row r="434" spans="1:12" x14ac:dyDescent="0.25">
      <c r="A434" t="s">
        <v>851</v>
      </c>
      <c r="B434" s="6">
        <v>45744</v>
      </c>
      <c r="C434" t="s">
        <v>852</v>
      </c>
      <c r="D434" t="s">
        <v>24</v>
      </c>
      <c r="E434" t="s">
        <v>840</v>
      </c>
      <c r="F434" t="s">
        <v>833</v>
      </c>
      <c r="G434" s="7">
        <v>1</v>
      </c>
      <c r="H434" s="8">
        <v>27.08</v>
      </c>
      <c r="I434" s="9">
        <v>10</v>
      </c>
      <c r="J434" s="8">
        <v>24.37</v>
      </c>
      <c r="K434" s="8">
        <v>4.58</v>
      </c>
      <c r="L434" t="s">
        <v>17</v>
      </c>
    </row>
    <row r="435" spans="1:12" x14ac:dyDescent="0.25">
      <c r="A435" t="s">
        <v>853</v>
      </c>
      <c r="B435" s="6">
        <v>45327</v>
      </c>
      <c r="C435" t="s">
        <v>190</v>
      </c>
      <c r="D435" t="s">
        <v>14</v>
      </c>
      <c r="E435" t="s">
        <v>846</v>
      </c>
      <c r="F435" t="s">
        <v>833</v>
      </c>
      <c r="G435" s="7">
        <v>1</v>
      </c>
      <c r="H435" s="8">
        <v>32.4</v>
      </c>
      <c r="I435" s="9">
        <v>0</v>
      </c>
      <c r="J435" s="8">
        <v>32.4</v>
      </c>
      <c r="K435" s="8">
        <v>4.82</v>
      </c>
      <c r="L435" t="s">
        <v>17</v>
      </c>
    </row>
    <row r="436" spans="1:12" x14ac:dyDescent="0.25">
      <c r="A436" t="s">
        <v>854</v>
      </c>
      <c r="B436" s="6">
        <v>45915</v>
      </c>
      <c r="C436" t="s">
        <v>855</v>
      </c>
      <c r="D436" t="s">
        <v>36</v>
      </c>
      <c r="E436" t="s">
        <v>856</v>
      </c>
      <c r="F436" t="s">
        <v>833</v>
      </c>
      <c r="G436" s="7">
        <v>1</v>
      </c>
      <c r="H436" s="8">
        <v>56.73</v>
      </c>
      <c r="I436" s="9">
        <v>0</v>
      </c>
      <c r="J436" s="8">
        <v>56.73</v>
      </c>
      <c r="K436" s="8">
        <v>4.9800000000000004</v>
      </c>
      <c r="L436" t="s">
        <v>33</v>
      </c>
    </row>
    <row r="437" spans="1:12" x14ac:dyDescent="0.25">
      <c r="A437" t="s">
        <v>857</v>
      </c>
      <c r="B437" s="6">
        <v>45432</v>
      </c>
      <c r="C437" t="s">
        <v>746</v>
      </c>
      <c r="D437" t="s">
        <v>20</v>
      </c>
      <c r="E437" t="s">
        <v>858</v>
      </c>
      <c r="F437" t="s">
        <v>833</v>
      </c>
      <c r="G437" s="7">
        <v>2</v>
      </c>
      <c r="H437" s="8">
        <v>24.86</v>
      </c>
      <c r="I437" s="9">
        <v>10</v>
      </c>
      <c r="J437" s="8">
        <v>44.75</v>
      </c>
      <c r="K437" s="8">
        <v>5.17</v>
      </c>
      <c r="L437" t="s">
        <v>33</v>
      </c>
    </row>
    <row r="438" spans="1:12" x14ac:dyDescent="0.25">
      <c r="A438" t="s">
        <v>859</v>
      </c>
      <c r="B438" s="6">
        <v>45860</v>
      </c>
      <c r="C438" t="s">
        <v>35</v>
      </c>
      <c r="D438" t="s">
        <v>24</v>
      </c>
      <c r="E438" t="s">
        <v>860</v>
      </c>
      <c r="F438" t="s">
        <v>833</v>
      </c>
      <c r="G438" s="7">
        <v>1</v>
      </c>
      <c r="H438" s="8">
        <v>37.9</v>
      </c>
      <c r="I438" s="9">
        <v>0</v>
      </c>
      <c r="J438" s="8">
        <v>37.9</v>
      </c>
      <c r="K438" s="8">
        <v>5.28</v>
      </c>
      <c r="L438" t="s">
        <v>17</v>
      </c>
    </row>
    <row r="439" spans="1:12" x14ac:dyDescent="0.25">
      <c r="A439" t="s">
        <v>861</v>
      </c>
      <c r="B439" s="6">
        <v>45360</v>
      </c>
      <c r="C439" t="s">
        <v>272</v>
      </c>
      <c r="D439" t="s">
        <v>36</v>
      </c>
      <c r="E439" t="s">
        <v>843</v>
      </c>
      <c r="F439" t="s">
        <v>833</v>
      </c>
      <c r="G439" s="7">
        <v>2</v>
      </c>
      <c r="H439" s="8">
        <v>22.59</v>
      </c>
      <c r="I439" s="9">
        <v>10</v>
      </c>
      <c r="J439" s="8">
        <v>40.659999999999997</v>
      </c>
      <c r="K439" s="8">
        <v>5.5</v>
      </c>
      <c r="L439" t="s">
        <v>17</v>
      </c>
    </row>
    <row r="440" spans="1:12" x14ac:dyDescent="0.25">
      <c r="A440" t="s">
        <v>862</v>
      </c>
      <c r="B440" s="6">
        <v>45936</v>
      </c>
      <c r="C440" t="s">
        <v>863</v>
      </c>
      <c r="D440" t="s">
        <v>36</v>
      </c>
      <c r="E440" t="s">
        <v>860</v>
      </c>
      <c r="F440" t="s">
        <v>833</v>
      </c>
      <c r="G440" s="7">
        <v>3</v>
      </c>
      <c r="H440" s="8">
        <v>25.01</v>
      </c>
      <c r="I440" s="9">
        <v>10</v>
      </c>
      <c r="J440" s="8">
        <v>67.53</v>
      </c>
      <c r="K440" s="8">
        <v>5.62</v>
      </c>
      <c r="L440" t="s">
        <v>33</v>
      </c>
    </row>
    <row r="441" spans="1:12" x14ac:dyDescent="0.25">
      <c r="A441" t="s">
        <v>864</v>
      </c>
      <c r="B441" s="6">
        <v>46007</v>
      </c>
      <c r="C441" t="s">
        <v>138</v>
      </c>
      <c r="D441" t="s">
        <v>31</v>
      </c>
      <c r="E441" t="s">
        <v>858</v>
      </c>
      <c r="F441" t="s">
        <v>833</v>
      </c>
      <c r="G441" s="7">
        <v>1</v>
      </c>
      <c r="H441" s="8">
        <v>67.91</v>
      </c>
      <c r="I441" s="9">
        <v>5</v>
      </c>
      <c r="J441" s="8">
        <v>64.510000000000005</v>
      </c>
      <c r="K441" s="8">
        <v>5.68</v>
      </c>
      <c r="L441" t="s">
        <v>33</v>
      </c>
    </row>
    <row r="442" spans="1:12" x14ac:dyDescent="0.25">
      <c r="A442" t="s">
        <v>865</v>
      </c>
      <c r="B442" s="6">
        <v>45619</v>
      </c>
      <c r="C442" t="s">
        <v>38</v>
      </c>
      <c r="D442" t="s">
        <v>14</v>
      </c>
      <c r="E442" t="s">
        <v>835</v>
      </c>
      <c r="F442" t="s">
        <v>833</v>
      </c>
      <c r="G442" s="7">
        <v>2</v>
      </c>
      <c r="H442" s="8">
        <v>29.03</v>
      </c>
      <c r="I442" s="9">
        <v>0</v>
      </c>
      <c r="J442" s="8">
        <v>58.06</v>
      </c>
      <c r="K442" s="8">
        <v>5.71</v>
      </c>
      <c r="L442" t="s">
        <v>33</v>
      </c>
    </row>
    <row r="443" spans="1:12" x14ac:dyDescent="0.25">
      <c r="A443" t="s">
        <v>866</v>
      </c>
      <c r="B443" s="6">
        <v>45914</v>
      </c>
      <c r="C443" t="s">
        <v>867</v>
      </c>
      <c r="D443" t="s">
        <v>24</v>
      </c>
      <c r="E443" t="s">
        <v>848</v>
      </c>
      <c r="F443" t="s">
        <v>833</v>
      </c>
      <c r="G443" s="7">
        <v>1</v>
      </c>
      <c r="H443" s="8">
        <v>32.770000000000003</v>
      </c>
      <c r="I443" s="9">
        <v>0</v>
      </c>
      <c r="J443" s="8">
        <v>32.770000000000003</v>
      </c>
      <c r="K443" s="8">
        <v>5.77</v>
      </c>
      <c r="L443" t="s">
        <v>48</v>
      </c>
    </row>
    <row r="444" spans="1:12" x14ac:dyDescent="0.25">
      <c r="A444" t="s">
        <v>868</v>
      </c>
      <c r="B444" s="6">
        <v>45628</v>
      </c>
      <c r="C444" t="s">
        <v>823</v>
      </c>
      <c r="D444" t="s">
        <v>14</v>
      </c>
      <c r="E444" t="s">
        <v>840</v>
      </c>
      <c r="F444" t="s">
        <v>833</v>
      </c>
      <c r="G444" s="7">
        <v>1</v>
      </c>
      <c r="H444" s="8">
        <v>23.97</v>
      </c>
      <c r="I444" s="9">
        <v>0</v>
      </c>
      <c r="J444" s="8">
        <v>23.97</v>
      </c>
      <c r="K444" s="8">
        <v>5.84</v>
      </c>
      <c r="L444" t="s">
        <v>33</v>
      </c>
    </row>
    <row r="445" spans="1:12" x14ac:dyDescent="0.25">
      <c r="A445" t="s">
        <v>869</v>
      </c>
      <c r="B445" s="6">
        <v>45939</v>
      </c>
      <c r="C445" t="s">
        <v>870</v>
      </c>
      <c r="D445" t="s">
        <v>20</v>
      </c>
      <c r="E445" t="s">
        <v>835</v>
      </c>
      <c r="F445" t="s">
        <v>833</v>
      </c>
      <c r="G445" s="7">
        <v>2</v>
      </c>
      <c r="H445" s="8">
        <v>21.71</v>
      </c>
      <c r="I445" s="9">
        <v>20</v>
      </c>
      <c r="J445" s="8">
        <v>34.74</v>
      </c>
      <c r="K445" s="8">
        <v>5.91</v>
      </c>
      <c r="L445" t="s">
        <v>33</v>
      </c>
    </row>
    <row r="446" spans="1:12" x14ac:dyDescent="0.25">
      <c r="A446" t="s">
        <v>871</v>
      </c>
      <c r="B446" s="6">
        <v>45775</v>
      </c>
      <c r="C446" t="s">
        <v>872</v>
      </c>
      <c r="D446" t="s">
        <v>14</v>
      </c>
      <c r="E446" t="s">
        <v>840</v>
      </c>
      <c r="F446" t="s">
        <v>833</v>
      </c>
      <c r="G446" s="7">
        <v>1</v>
      </c>
      <c r="H446" s="8">
        <v>85.01</v>
      </c>
      <c r="I446" s="9">
        <v>10</v>
      </c>
      <c r="J446" s="8">
        <v>76.510000000000005</v>
      </c>
      <c r="K446" s="8">
        <v>6.61</v>
      </c>
      <c r="L446" t="s">
        <v>17</v>
      </c>
    </row>
    <row r="447" spans="1:12" x14ac:dyDescent="0.25">
      <c r="A447" t="s">
        <v>873</v>
      </c>
      <c r="B447" s="6">
        <v>45803</v>
      </c>
      <c r="C447" t="s">
        <v>874</v>
      </c>
      <c r="D447" t="s">
        <v>36</v>
      </c>
      <c r="E447" t="s">
        <v>837</v>
      </c>
      <c r="F447" t="s">
        <v>833</v>
      </c>
      <c r="G447" s="7">
        <v>1</v>
      </c>
      <c r="H447" s="8">
        <v>89.84</v>
      </c>
      <c r="I447" s="9">
        <v>25</v>
      </c>
      <c r="J447" s="8">
        <v>67.38</v>
      </c>
      <c r="K447" s="8">
        <v>6.62</v>
      </c>
      <c r="L447" t="s">
        <v>33</v>
      </c>
    </row>
    <row r="448" spans="1:12" x14ac:dyDescent="0.25">
      <c r="A448" t="s">
        <v>875</v>
      </c>
      <c r="B448" s="6">
        <v>45901</v>
      </c>
      <c r="C448" t="s">
        <v>876</v>
      </c>
      <c r="D448" t="s">
        <v>14</v>
      </c>
      <c r="E448" t="s">
        <v>840</v>
      </c>
      <c r="F448" t="s">
        <v>833</v>
      </c>
      <c r="G448" s="7">
        <v>1</v>
      </c>
      <c r="H448" s="8">
        <v>35.56</v>
      </c>
      <c r="I448" s="9">
        <v>5</v>
      </c>
      <c r="J448" s="8">
        <v>33.78</v>
      </c>
      <c r="K448" s="8">
        <v>7.32</v>
      </c>
      <c r="L448" t="s">
        <v>33</v>
      </c>
    </row>
    <row r="449" spans="1:12" x14ac:dyDescent="0.25">
      <c r="A449" t="s">
        <v>877</v>
      </c>
      <c r="B449" s="6">
        <v>45363</v>
      </c>
      <c r="C449" t="s">
        <v>345</v>
      </c>
      <c r="D449" t="s">
        <v>31</v>
      </c>
      <c r="E449" t="s">
        <v>856</v>
      </c>
      <c r="F449" t="s">
        <v>833</v>
      </c>
      <c r="G449" s="7">
        <v>2</v>
      </c>
      <c r="H449" s="8">
        <v>26.91</v>
      </c>
      <c r="I449" s="9">
        <v>20</v>
      </c>
      <c r="J449" s="8">
        <v>43.06</v>
      </c>
      <c r="K449" s="8">
        <v>7.34</v>
      </c>
      <c r="L449" t="s">
        <v>17</v>
      </c>
    </row>
    <row r="450" spans="1:12" x14ac:dyDescent="0.25">
      <c r="A450" t="s">
        <v>878</v>
      </c>
      <c r="B450" s="6">
        <v>45345</v>
      </c>
      <c r="C450" t="s">
        <v>280</v>
      </c>
      <c r="D450" t="s">
        <v>36</v>
      </c>
      <c r="E450" t="s">
        <v>860</v>
      </c>
      <c r="F450" t="s">
        <v>833</v>
      </c>
      <c r="G450" s="7">
        <v>2</v>
      </c>
      <c r="H450" s="8">
        <v>27.17</v>
      </c>
      <c r="I450" s="9">
        <v>5</v>
      </c>
      <c r="J450" s="8">
        <v>51.62</v>
      </c>
      <c r="K450" s="8">
        <v>7.61</v>
      </c>
      <c r="L450" t="s">
        <v>33</v>
      </c>
    </row>
    <row r="451" spans="1:12" x14ac:dyDescent="0.25">
      <c r="A451" t="s">
        <v>879</v>
      </c>
      <c r="B451" s="6">
        <v>45913</v>
      </c>
      <c r="C451" t="s">
        <v>880</v>
      </c>
      <c r="D451" t="s">
        <v>36</v>
      </c>
      <c r="E451" t="s">
        <v>835</v>
      </c>
      <c r="F451" t="s">
        <v>833</v>
      </c>
      <c r="G451" s="7">
        <v>1</v>
      </c>
      <c r="H451" s="8">
        <v>37.14</v>
      </c>
      <c r="I451" s="9">
        <v>5</v>
      </c>
      <c r="J451" s="8">
        <v>35.28</v>
      </c>
      <c r="K451" s="8">
        <v>7.62</v>
      </c>
      <c r="L451" t="s">
        <v>48</v>
      </c>
    </row>
    <row r="452" spans="1:12" x14ac:dyDescent="0.25">
      <c r="A452" t="s">
        <v>881</v>
      </c>
      <c r="B452" s="6">
        <v>46019</v>
      </c>
      <c r="C452" t="s">
        <v>882</v>
      </c>
      <c r="D452" t="s">
        <v>24</v>
      </c>
      <c r="E452" t="s">
        <v>858</v>
      </c>
      <c r="F452" t="s">
        <v>833</v>
      </c>
      <c r="G452" s="7">
        <v>2</v>
      </c>
      <c r="H452" s="8">
        <v>52.43</v>
      </c>
      <c r="I452" s="9">
        <v>10</v>
      </c>
      <c r="J452" s="8">
        <v>94.37</v>
      </c>
      <c r="K452" s="8">
        <v>7.94</v>
      </c>
      <c r="L452" t="s">
        <v>48</v>
      </c>
    </row>
    <row r="453" spans="1:12" x14ac:dyDescent="0.25">
      <c r="A453" t="s">
        <v>883</v>
      </c>
      <c r="B453" s="6">
        <v>45470</v>
      </c>
      <c r="C453" t="s">
        <v>884</v>
      </c>
      <c r="D453" t="s">
        <v>24</v>
      </c>
      <c r="E453" t="s">
        <v>835</v>
      </c>
      <c r="F453" t="s">
        <v>833</v>
      </c>
      <c r="G453" s="7">
        <v>1</v>
      </c>
      <c r="H453" s="8">
        <v>44.85</v>
      </c>
      <c r="I453" s="9">
        <v>10</v>
      </c>
      <c r="J453" s="8">
        <v>40.369999999999997</v>
      </c>
      <c r="K453" s="8">
        <v>8.14</v>
      </c>
      <c r="L453" t="s">
        <v>17</v>
      </c>
    </row>
    <row r="454" spans="1:12" x14ac:dyDescent="0.25">
      <c r="A454" t="s">
        <v>885</v>
      </c>
      <c r="B454" s="6">
        <v>45724</v>
      </c>
      <c r="C454" t="s">
        <v>886</v>
      </c>
      <c r="D454" t="s">
        <v>24</v>
      </c>
      <c r="E454" t="s">
        <v>840</v>
      </c>
      <c r="F454" t="s">
        <v>833</v>
      </c>
      <c r="G454" s="7">
        <v>1</v>
      </c>
      <c r="H454" s="8">
        <v>114.13</v>
      </c>
      <c r="I454" s="9">
        <v>15</v>
      </c>
      <c r="J454" s="8">
        <v>97.01</v>
      </c>
      <c r="K454" s="8">
        <v>8.17</v>
      </c>
      <c r="L454" t="s">
        <v>17</v>
      </c>
    </row>
    <row r="455" spans="1:12" x14ac:dyDescent="0.25">
      <c r="A455" t="s">
        <v>887</v>
      </c>
      <c r="B455" s="6">
        <v>45658</v>
      </c>
      <c r="C455" t="s">
        <v>92</v>
      </c>
      <c r="D455" t="s">
        <v>31</v>
      </c>
      <c r="E455" t="s">
        <v>832</v>
      </c>
      <c r="F455" t="s">
        <v>833</v>
      </c>
      <c r="G455" s="7">
        <v>1</v>
      </c>
      <c r="H455" s="8">
        <v>54.46</v>
      </c>
      <c r="I455" s="9">
        <v>10</v>
      </c>
      <c r="J455" s="8">
        <v>49.01</v>
      </c>
      <c r="K455" s="8">
        <v>8.35</v>
      </c>
      <c r="L455" t="s">
        <v>33</v>
      </c>
    </row>
    <row r="456" spans="1:12" x14ac:dyDescent="0.25">
      <c r="A456" t="s">
        <v>888</v>
      </c>
      <c r="B456" s="6">
        <v>45898</v>
      </c>
      <c r="C456" t="s">
        <v>889</v>
      </c>
      <c r="D456" t="s">
        <v>24</v>
      </c>
      <c r="E456" t="s">
        <v>846</v>
      </c>
      <c r="F456" t="s">
        <v>833</v>
      </c>
      <c r="G456" s="7">
        <v>1</v>
      </c>
      <c r="H456" s="8">
        <v>45.48</v>
      </c>
      <c r="I456" s="9">
        <v>15</v>
      </c>
      <c r="J456" s="8">
        <v>38.659999999999997</v>
      </c>
      <c r="K456" s="8">
        <v>8.41</v>
      </c>
      <c r="L456" t="s">
        <v>33</v>
      </c>
    </row>
    <row r="457" spans="1:12" x14ac:dyDescent="0.25">
      <c r="A457" t="s">
        <v>890</v>
      </c>
      <c r="B457" s="6">
        <v>45298</v>
      </c>
      <c r="C457" t="s">
        <v>891</v>
      </c>
      <c r="D457" t="s">
        <v>24</v>
      </c>
      <c r="E457" t="s">
        <v>856</v>
      </c>
      <c r="F457" t="s">
        <v>833</v>
      </c>
      <c r="G457" s="7">
        <v>1</v>
      </c>
      <c r="H457" s="8">
        <v>85.98</v>
      </c>
      <c r="I457" s="9">
        <v>10</v>
      </c>
      <c r="J457" s="8">
        <v>77.38</v>
      </c>
      <c r="K457" s="8">
        <v>8.8800000000000008</v>
      </c>
      <c r="L457" t="s">
        <v>17</v>
      </c>
    </row>
    <row r="458" spans="1:12" x14ac:dyDescent="0.25">
      <c r="A458" t="s">
        <v>892</v>
      </c>
      <c r="B458" s="6">
        <v>45477</v>
      </c>
      <c r="C458" t="s">
        <v>893</v>
      </c>
      <c r="D458" t="s">
        <v>31</v>
      </c>
      <c r="E458" t="s">
        <v>843</v>
      </c>
      <c r="F458" t="s">
        <v>833</v>
      </c>
      <c r="G458" s="7">
        <v>1</v>
      </c>
      <c r="H458" s="8">
        <v>75.17</v>
      </c>
      <c r="I458" s="9">
        <v>15</v>
      </c>
      <c r="J458" s="8">
        <v>63.89</v>
      </c>
      <c r="K458" s="8">
        <v>9.31</v>
      </c>
      <c r="L458" t="s">
        <v>33</v>
      </c>
    </row>
    <row r="459" spans="1:12" x14ac:dyDescent="0.25">
      <c r="A459" t="s">
        <v>894</v>
      </c>
      <c r="B459" s="6">
        <v>45625</v>
      </c>
      <c r="C459" t="s">
        <v>895</v>
      </c>
      <c r="D459" t="s">
        <v>36</v>
      </c>
      <c r="E459" t="s">
        <v>835</v>
      </c>
      <c r="F459" t="s">
        <v>833</v>
      </c>
      <c r="G459" s="7">
        <v>2</v>
      </c>
      <c r="H459" s="8">
        <v>44.76</v>
      </c>
      <c r="I459" s="9">
        <v>20</v>
      </c>
      <c r="J459" s="8">
        <v>71.62</v>
      </c>
      <c r="K459" s="8">
        <v>9.39</v>
      </c>
      <c r="L459" t="s">
        <v>48</v>
      </c>
    </row>
    <row r="460" spans="1:12" x14ac:dyDescent="0.25">
      <c r="A460" t="s">
        <v>896</v>
      </c>
      <c r="B460" s="6">
        <v>45626</v>
      </c>
      <c r="C460" t="s">
        <v>897</v>
      </c>
      <c r="D460" t="s">
        <v>20</v>
      </c>
      <c r="E460" t="s">
        <v>846</v>
      </c>
      <c r="F460" t="s">
        <v>833</v>
      </c>
      <c r="G460" s="7">
        <v>1</v>
      </c>
      <c r="H460" s="8">
        <v>51.95</v>
      </c>
      <c r="I460" s="9">
        <v>5</v>
      </c>
      <c r="J460" s="8">
        <v>49.35</v>
      </c>
      <c r="K460" s="8">
        <v>9.4499999999999993</v>
      </c>
      <c r="L460" t="s">
        <v>48</v>
      </c>
    </row>
    <row r="461" spans="1:12" x14ac:dyDescent="0.25">
      <c r="A461" t="s">
        <v>898</v>
      </c>
      <c r="B461" s="6">
        <v>45742</v>
      </c>
      <c r="C461" t="s">
        <v>899</v>
      </c>
      <c r="D461" t="s">
        <v>14</v>
      </c>
      <c r="E461" t="s">
        <v>832</v>
      </c>
      <c r="F461" t="s">
        <v>833</v>
      </c>
      <c r="G461" s="7">
        <v>3</v>
      </c>
      <c r="H461" s="8">
        <v>29.39</v>
      </c>
      <c r="I461" s="9">
        <v>5</v>
      </c>
      <c r="J461" s="8">
        <v>83.76</v>
      </c>
      <c r="K461" s="8">
        <v>9.49</v>
      </c>
      <c r="L461" t="s">
        <v>33</v>
      </c>
    </row>
    <row r="462" spans="1:12" x14ac:dyDescent="0.25">
      <c r="A462" t="s">
        <v>900</v>
      </c>
      <c r="B462" s="6">
        <v>45864</v>
      </c>
      <c r="C462" t="s">
        <v>130</v>
      </c>
      <c r="D462" t="s">
        <v>20</v>
      </c>
      <c r="E462" t="s">
        <v>832</v>
      </c>
      <c r="F462" t="s">
        <v>833</v>
      </c>
      <c r="G462" s="7">
        <v>1</v>
      </c>
      <c r="H462" s="8">
        <v>51.42</v>
      </c>
      <c r="I462" s="9">
        <v>0</v>
      </c>
      <c r="J462" s="8">
        <v>51.42</v>
      </c>
      <c r="K462" s="8">
        <v>10.65</v>
      </c>
      <c r="L462" t="s">
        <v>33</v>
      </c>
    </row>
    <row r="463" spans="1:12" x14ac:dyDescent="0.25">
      <c r="A463" t="s">
        <v>901</v>
      </c>
      <c r="B463" s="6">
        <v>45633</v>
      </c>
      <c r="C463" t="s">
        <v>902</v>
      </c>
      <c r="D463" t="s">
        <v>36</v>
      </c>
      <c r="E463" t="s">
        <v>858</v>
      </c>
      <c r="F463" t="s">
        <v>833</v>
      </c>
      <c r="G463" s="7">
        <v>2</v>
      </c>
      <c r="H463" s="8">
        <v>29.6</v>
      </c>
      <c r="I463" s="9">
        <v>0</v>
      </c>
      <c r="J463" s="8">
        <v>59.2</v>
      </c>
      <c r="K463" s="8">
        <v>10.69</v>
      </c>
      <c r="L463" t="s">
        <v>33</v>
      </c>
    </row>
    <row r="464" spans="1:12" x14ac:dyDescent="0.25">
      <c r="A464" t="s">
        <v>903</v>
      </c>
      <c r="B464" s="6">
        <v>45881</v>
      </c>
      <c r="C464" t="s">
        <v>233</v>
      </c>
      <c r="D464" t="s">
        <v>36</v>
      </c>
      <c r="E464" t="s">
        <v>856</v>
      </c>
      <c r="F464" t="s">
        <v>833</v>
      </c>
      <c r="G464" s="7">
        <v>2</v>
      </c>
      <c r="H464" s="8">
        <v>39.04</v>
      </c>
      <c r="I464" s="9">
        <v>0</v>
      </c>
      <c r="J464" s="8">
        <v>78.08</v>
      </c>
      <c r="K464" s="8">
        <v>10.7</v>
      </c>
      <c r="L464" t="s">
        <v>33</v>
      </c>
    </row>
    <row r="465" spans="1:12" x14ac:dyDescent="0.25">
      <c r="A465" t="s">
        <v>904</v>
      </c>
      <c r="B465" s="6">
        <v>45308</v>
      </c>
      <c r="C465" t="s">
        <v>905</v>
      </c>
      <c r="D465" t="s">
        <v>20</v>
      </c>
      <c r="E465" t="s">
        <v>848</v>
      </c>
      <c r="F465" t="s">
        <v>833</v>
      </c>
      <c r="G465" s="7">
        <v>1</v>
      </c>
      <c r="H465" s="8">
        <v>115.81</v>
      </c>
      <c r="I465" s="9">
        <v>20</v>
      </c>
      <c r="J465" s="8">
        <v>92.65</v>
      </c>
      <c r="K465" s="8">
        <v>10.94</v>
      </c>
      <c r="L465" t="s">
        <v>33</v>
      </c>
    </row>
    <row r="466" spans="1:12" x14ac:dyDescent="0.25">
      <c r="A466" t="s">
        <v>906</v>
      </c>
      <c r="B466" s="6">
        <v>45910</v>
      </c>
      <c r="C466" t="s">
        <v>907</v>
      </c>
      <c r="D466" t="s">
        <v>31</v>
      </c>
      <c r="E466" t="s">
        <v>832</v>
      </c>
      <c r="F466" t="s">
        <v>833</v>
      </c>
      <c r="G466" s="7">
        <v>1</v>
      </c>
      <c r="H466" s="8">
        <v>70.52</v>
      </c>
      <c r="I466" s="9">
        <v>20</v>
      </c>
      <c r="J466" s="8">
        <v>56.42</v>
      </c>
      <c r="K466" s="8">
        <v>11.21</v>
      </c>
      <c r="L466" t="s">
        <v>17</v>
      </c>
    </row>
    <row r="467" spans="1:12" x14ac:dyDescent="0.25">
      <c r="A467" t="s">
        <v>908</v>
      </c>
      <c r="B467" s="6">
        <v>45333</v>
      </c>
      <c r="C467" t="s">
        <v>909</v>
      </c>
      <c r="D467" t="s">
        <v>20</v>
      </c>
      <c r="E467" t="s">
        <v>832</v>
      </c>
      <c r="F467" t="s">
        <v>833</v>
      </c>
      <c r="G467" s="7">
        <v>1</v>
      </c>
      <c r="H467" s="8">
        <v>89.98</v>
      </c>
      <c r="I467" s="9">
        <v>0</v>
      </c>
      <c r="J467" s="8">
        <v>89.98</v>
      </c>
      <c r="K467" s="8">
        <v>11.46</v>
      </c>
      <c r="L467" t="s">
        <v>33</v>
      </c>
    </row>
    <row r="468" spans="1:12" x14ac:dyDescent="0.25">
      <c r="A468" t="s">
        <v>910</v>
      </c>
      <c r="B468" s="6">
        <v>45509</v>
      </c>
      <c r="C468" t="s">
        <v>911</v>
      </c>
      <c r="D468" t="s">
        <v>31</v>
      </c>
      <c r="E468" t="s">
        <v>840</v>
      </c>
      <c r="F468" t="s">
        <v>833</v>
      </c>
      <c r="G468" s="7">
        <v>1</v>
      </c>
      <c r="H468" s="8">
        <v>77.989999999999995</v>
      </c>
      <c r="I468" s="9">
        <v>5</v>
      </c>
      <c r="J468" s="8">
        <v>74.09</v>
      </c>
      <c r="K468" s="8">
        <v>11.77</v>
      </c>
      <c r="L468" t="s">
        <v>33</v>
      </c>
    </row>
    <row r="469" spans="1:12" x14ac:dyDescent="0.25">
      <c r="A469" t="s">
        <v>912</v>
      </c>
      <c r="B469" s="6">
        <v>45641</v>
      </c>
      <c r="C469" t="s">
        <v>913</v>
      </c>
      <c r="D469" t="s">
        <v>20</v>
      </c>
      <c r="E469" t="s">
        <v>858</v>
      </c>
      <c r="F469" t="s">
        <v>833</v>
      </c>
      <c r="G469" s="7">
        <v>1</v>
      </c>
      <c r="H469" s="8">
        <v>74.36</v>
      </c>
      <c r="I469" s="9">
        <v>5</v>
      </c>
      <c r="J469" s="8">
        <v>70.64</v>
      </c>
      <c r="K469" s="8">
        <v>11.78</v>
      </c>
      <c r="L469" t="s">
        <v>33</v>
      </c>
    </row>
    <row r="470" spans="1:12" x14ac:dyDescent="0.25">
      <c r="A470" t="s">
        <v>914</v>
      </c>
      <c r="B470" s="6">
        <v>45391</v>
      </c>
      <c r="C470" t="s">
        <v>915</v>
      </c>
      <c r="D470" t="s">
        <v>20</v>
      </c>
      <c r="E470" t="s">
        <v>858</v>
      </c>
      <c r="F470" t="s">
        <v>833</v>
      </c>
      <c r="G470" s="7">
        <v>3</v>
      </c>
      <c r="H470" s="8">
        <v>61.28</v>
      </c>
      <c r="I470" s="9">
        <v>20</v>
      </c>
      <c r="J470" s="8">
        <v>147.07</v>
      </c>
      <c r="K470" s="8">
        <v>11.82</v>
      </c>
      <c r="L470" t="s">
        <v>48</v>
      </c>
    </row>
    <row r="471" spans="1:12" x14ac:dyDescent="0.25">
      <c r="A471" t="s">
        <v>916</v>
      </c>
      <c r="B471" s="6">
        <v>45694</v>
      </c>
      <c r="C471" t="s">
        <v>917</v>
      </c>
      <c r="D471" t="s">
        <v>24</v>
      </c>
      <c r="E471" t="s">
        <v>846</v>
      </c>
      <c r="F471" t="s">
        <v>833</v>
      </c>
      <c r="G471" s="7">
        <v>1</v>
      </c>
      <c r="H471" s="8">
        <v>50.52</v>
      </c>
      <c r="I471" s="9">
        <v>5</v>
      </c>
      <c r="J471" s="8">
        <v>47.99</v>
      </c>
      <c r="K471" s="8">
        <v>11.89</v>
      </c>
      <c r="L471" t="s">
        <v>48</v>
      </c>
    </row>
    <row r="472" spans="1:12" x14ac:dyDescent="0.25">
      <c r="A472" t="s">
        <v>918</v>
      </c>
      <c r="B472" s="6">
        <v>46013</v>
      </c>
      <c r="C472" t="s">
        <v>919</v>
      </c>
      <c r="D472" t="s">
        <v>24</v>
      </c>
      <c r="E472" t="s">
        <v>843</v>
      </c>
      <c r="F472" t="s">
        <v>833</v>
      </c>
      <c r="G472" s="7">
        <v>1</v>
      </c>
      <c r="H472" s="8">
        <v>141.1</v>
      </c>
      <c r="I472" s="9">
        <v>0</v>
      </c>
      <c r="J472" s="8">
        <v>141.1</v>
      </c>
      <c r="K472" s="8">
        <v>12.27</v>
      </c>
      <c r="L472" t="s">
        <v>48</v>
      </c>
    </row>
    <row r="473" spans="1:12" x14ac:dyDescent="0.25">
      <c r="A473" t="s">
        <v>920</v>
      </c>
      <c r="B473" s="6">
        <v>45551</v>
      </c>
      <c r="C473" t="s">
        <v>921</v>
      </c>
      <c r="D473" t="s">
        <v>14</v>
      </c>
      <c r="E473" t="s">
        <v>846</v>
      </c>
      <c r="F473" t="s">
        <v>833</v>
      </c>
      <c r="G473" s="7">
        <v>1</v>
      </c>
      <c r="H473" s="8">
        <v>119.01</v>
      </c>
      <c r="I473" s="9">
        <v>15</v>
      </c>
      <c r="J473" s="8">
        <v>101.16</v>
      </c>
      <c r="K473" s="8">
        <v>12.83</v>
      </c>
      <c r="L473" t="s">
        <v>17</v>
      </c>
    </row>
    <row r="474" spans="1:12" x14ac:dyDescent="0.25">
      <c r="A474" t="s">
        <v>922</v>
      </c>
      <c r="B474" s="6">
        <v>45305</v>
      </c>
      <c r="C474" t="s">
        <v>923</v>
      </c>
      <c r="D474" t="s">
        <v>36</v>
      </c>
      <c r="E474" t="s">
        <v>840</v>
      </c>
      <c r="F474" t="s">
        <v>833</v>
      </c>
      <c r="G474" s="7">
        <v>2</v>
      </c>
      <c r="H474" s="8">
        <v>63.76</v>
      </c>
      <c r="I474" s="9">
        <v>0</v>
      </c>
      <c r="J474" s="8">
        <v>127.52</v>
      </c>
      <c r="K474" s="8">
        <v>13.01</v>
      </c>
      <c r="L474" t="s">
        <v>48</v>
      </c>
    </row>
    <row r="475" spans="1:12" x14ac:dyDescent="0.25">
      <c r="A475" t="s">
        <v>924</v>
      </c>
      <c r="B475" s="6">
        <v>45758</v>
      </c>
      <c r="C475" t="s">
        <v>925</v>
      </c>
      <c r="D475" t="s">
        <v>14</v>
      </c>
      <c r="E475" t="s">
        <v>832</v>
      </c>
      <c r="F475" t="s">
        <v>833</v>
      </c>
      <c r="G475" s="7">
        <v>3</v>
      </c>
      <c r="H475" s="8">
        <v>53.52</v>
      </c>
      <c r="I475" s="9">
        <v>25</v>
      </c>
      <c r="J475" s="8">
        <v>120.42</v>
      </c>
      <c r="K475" s="8">
        <v>13.3</v>
      </c>
      <c r="L475" t="s">
        <v>33</v>
      </c>
    </row>
    <row r="476" spans="1:12" x14ac:dyDescent="0.25">
      <c r="A476" t="s">
        <v>926</v>
      </c>
      <c r="B476" s="6">
        <v>46000</v>
      </c>
      <c r="C476" t="s">
        <v>927</v>
      </c>
      <c r="D476" t="s">
        <v>14</v>
      </c>
      <c r="E476" t="s">
        <v>856</v>
      </c>
      <c r="F476" t="s">
        <v>833</v>
      </c>
      <c r="G476" s="7">
        <v>1</v>
      </c>
      <c r="H476" s="8">
        <v>67.05</v>
      </c>
      <c r="I476" s="9">
        <v>0</v>
      </c>
      <c r="J476" s="8">
        <v>67.05</v>
      </c>
      <c r="K476" s="8">
        <v>13.69</v>
      </c>
      <c r="L476" t="s">
        <v>33</v>
      </c>
    </row>
    <row r="477" spans="1:12" x14ac:dyDescent="0.25">
      <c r="A477" t="s">
        <v>928</v>
      </c>
      <c r="B477" s="6">
        <v>45345</v>
      </c>
      <c r="C477" t="s">
        <v>929</v>
      </c>
      <c r="D477" t="s">
        <v>31</v>
      </c>
      <c r="E477" t="s">
        <v>858</v>
      </c>
      <c r="F477" t="s">
        <v>833</v>
      </c>
      <c r="G477" s="7">
        <v>1</v>
      </c>
      <c r="H477" s="8">
        <v>67.12</v>
      </c>
      <c r="I477" s="9">
        <v>10</v>
      </c>
      <c r="J477" s="8">
        <v>60.41</v>
      </c>
      <c r="K477" s="8">
        <v>13.73</v>
      </c>
      <c r="L477" t="s">
        <v>17</v>
      </c>
    </row>
    <row r="478" spans="1:12" x14ac:dyDescent="0.25">
      <c r="A478" t="s">
        <v>930</v>
      </c>
      <c r="B478" s="6">
        <v>45569</v>
      </c>
      <c r="C478" t="s">
        <v>399</v>
      </c>
      <c r="D478" t="s">
        <v>20</v>
      </c>
      <c r="E478" t="s">
        <v>846</v>
      </c>
      <c r="F478" t="s">
        <v>833</v>
      </c>
      <c r="G478" s="7">
        <v>1</v>
      </c>
      <c r="H478" s="8">
        <v>98.41</v>
      </c>
      <c r="I478" s="9">
        <v>15</v>
      </c>
      <c r="J478" s="8">
        <v>83.65</v>
      </c>
      <c r="K478" s="8">
        <v>13.75</v>
      </c>
      <c r="L478" t="s">
        <v>33</v>
      </c>
    </row>
    <row r="479" spans="1:12" x14ac:dyDescent="0.25">
      <c r="A479" t="s">
        <v>931</v>
      </c>
      <c r="B479" s="6">
        <v>45712</v>
      </c>
      <c r="C479" t="s">
        <v>932</v>
      </c>
      <c r="D479" t="s">
        <v>31</v>
      </c>
      <c r="E479" t="s">
        <v>856</v>
      </c>
      <c r="F479" t="s">
        <v>833</v>
      </c>
      <c r="G479" s="7">
        <v>2</v>
      </c>
      <c r="H479" s="8">
        <v>38.1</v>
      </c>
      <c r="I479" s="9">
        <v>10</v>
      </c>
      <c r="J479" s="8">
        <v>68.58</v>
      </c>
      <c r="K479" s="8">
        <v>14.14</v>
      </c>
      <c r="L479" t="s">
        <v>48</v>
      </c>
    </row>
    <row r="480" spans="1:12" x14ac:dyDescent="0.25">
      <c r="A480" t="s">
        <v>933</v>
      </c>
      <c r="B480" s="6">
        <v>45879</v>
      </c>
      <c r="C480" t="s">
        <v>471</v>
      </c>
      <c r="D480" t="s">
        <v>24</v>
      </c>
      <c r="E480" t="s">
        <v>840</v>
      </c>
      <c r="F480" t="s">
        <v>833</v>
      </c>
      <c r="G480" s="7">
        <v>1</v>
      </c>
      <c r="H480" s="8">
        <v>88.23</v>
      </c>
      <c r="I480" s="9">
        <v>10</v>
      </c>
      <c r="J480" s="8">
        <v>79.41</v>
      </c>
      <c r="K480" s="8">
        <v>14.49</v>
      </c>
      <c r="L480" t="s">
        <v>17</v>
      </c>
    </row>
    <row r="481" spans="1:12" x14ac:dyDescent="0.25">
      <c r="A481" t="s">
        <v>934</v>
      </c>
      <c r="B481" s="6">
        <v>45325</v>
      </c>
      <c r="C481" t="s">
        <v>935</v>
      </c>
      <c r="D481" t="s">
        <v>31</v>
      </c>
      <c r="E481" t="s">
        <v>843</v>
      </c>
      <c r="F481" t="s">
        <v>833</v>
      </c>
      <c r="G481" s="7">
        <v>1</v>
      </c>
      <c r="H481" s="8">
        <v>121.78</v>
      </c>
      <c r="I481" s="9">
        <v>5</v>
      </c>
      <c r="J481" s="8">
        <v>115.69</v>
      </c>
      <c r="K481" s="8">
        <v>14.53</v>
      </c>
      <c r="L481" t="s">
        <v>17</v>
      </c>
    </row>
    <row r="482" spans="1:12" x14ac:dyDescent="0.25">
      <c r="A482" t="s">
        <v>936</v>
      </c>
      <c r="B482" s="6">
        <v>46000</v>
      </c>
      <c r="C482" t="s">
        <v>937</v>
      </c>
      <c r="D482" t="s">
        <v>20</v>
      </c>
      <c r="E482" t="s">
        <v>846</v>
      </c>
      <c r="F482" t="s">
        <v>833</v>
      </c>
      <c r="G482" s="7">
        <v>3</v>
      </c>
      <c r="H482" s="8">
        <v>34.75</v>
      </c>
      <c r="I482" s="9">
        <v>20</v>
      </c>
      <c r="J482" s="8">
        <v>83.4</v>
      </c>
      <c r="K482" s="8">
        <v>14.66</v>
      </c>
      <c r="L482" t="s">
        <v>33</v>
      </c>
    </row>
    <row r="483" spans="1:12" x14ac:dyDescent="0.25">
      <c r="A483" t="s">
        <v>938</v>
      </c>
      <c r="B483" s="6">
        <v>45889</v>
      </c>
      <c r="C483" t="s">
        <v>939</v>
      </c>
      <c r="D483" t="s">
        <v>24</v>
      </c>
      <c r="E483" t="s">
        <v>843</v>
      </c>
      <c r="F483" t="s">
        <v>833</v>
      </c>
      <c r="G483" s="7">
        <v>2</v>
      </c>
      <c r="H483" s="8">
        <v>77.72</v>
      </c>
      <c r="I483" s="9">
        <v>0</v>
      </c>
      <c r="J483" s="8">
        <v>155.44</v>
      </c>
      <c r="K483" s="8">
        <v>15.17</v>
      </c>
      <c r="L483" t="s">
        <v>17</v>
      </c>
    </row>
    <row r="484" spans="1:12" x14ac:dyDescent="0.25">
      <c r="A484" t="s">
        <v>940</v>
      </c>
      <c r="B484" s="6">
        <v>45546</v>
      </c>
      <c r="C484" t="s">
        <v>726</v>
      </c>
      <c r="D484" t="s">
        <v>24</v>
      </c>
      <c r="E484" t="s">
        <v>848</v>
      </c>
      <c r="F484" t="s">
        <v>833</v>
      </c>
      <c r="G484" s="7">
        <v>1</v>
      </c>
      <c r="H484" s="8">
        <v>146.24</v>
      </c>
      <c r="I484" s="9">
        <v>15</v>
      </c>
      <c r="J484" s="8">
        <v>124.3</v>
      </c>
      <c r="K484" s="8">
        <v>15.45</v>
      </c>
      <c r="L484" t="s">
        <v>33</v>
      </c>
    </row>
    <row r="485" spans="1:12" x14ac:dyDescent="0.25">
      <c r="A485" t="s">
        <v>941</v>
      </c>
      <c r="B485" s="6">
        <v>45572</v>
      </c>
      <c r="C485" t="s">
        <v>942</v>
      </c>
      <c r="D485" t="s">
        <v>31</v>
      </c>
      <c r="E485" t="s">
        <v>848</v>
      </c>
      <c r="F485" t="s">
        <v>833</v>
      </c>
      <c r="G485" s="7">
        <v>1</v>
      </c>
      <c r="H485" s="8">
        <v>86.89</v>
      </c>
      <c r="I485" s="9">
        <v>20</v>
      </c>
      <c r="J485" s="8">
        <v>69.510000000000005</v>
      </c>
      <c r="K485" s="8">
        <v>15.56</v>
      </c>
      <c r="L485" t="s">
        <v>17</v>
      </c>
    </row>
    <row r="486" spans="1:12" x14ac:dyDescent="0.25">
      <c r="A486" t="s">
        <v>943</v>
      </c>
      <c r="B486" s="6">
        <v>45782</v>
      </c>
      <c r="C486" t="s">
        <v>478</v>
      </c>
      <c r="D486" t="s">
        <v>20</v>
      </c>
      <c r="E486" t="s">
        <v>832</v>
      </c>
      <c r="F486" t="s">
        <v>833</v>
      </c>
      <c r="G486" s="7">
        <v>2</v>
      </c>
      <c r="H486" s="8">
        <v>77.89</v>
      </c>
      <c r="I486" s="9">
        <v>15</v>
      </c>
      <c r="J486" s="8">
        <v>132.41</v>
      </c>
      <c r="K486" s="8">
        <v>15.69</v>
      </c>
      <c r="L486" t="s">
        <v>33</v>
      </c>
    </row>
    <row r="487" spans="1:12" x14ac:dyDescent="0.25">
      <c r="A487" t="s">
        <v>944</v>
      </c>
      <c r="B487" s="6">
        <v>45648</v>
      </c>
      <c r="C487" t="s">
        <v>945</v>
      </c>
      <c r="D487" t="s">
        <v>36</v>
      </c>
      <c r="E487" t="s">
        <v>860</v>
      </c>
      <c r="F487" t="s">
        <v>833</v>
      </c>
      <c r="G487" s="7">
        <v>3</v>
      </c>
      <c r="H487" s="8">
        <v>55.23</v>
      </c>
      <c r="I487" s="9">
        <v>15</v>
      </c>
      <c r="J487" s="8">
        <v>140.84</v>
      </c>
      <c r="K487" s="8">
        <v>16.690000000000001</v>
      </c>
      <c r="L487" t="s">
        <v>33</v>
      </c>
    </row>
    <row r="488" spans="1:12" x14ac:dyDescent="0.25">
      <c r="A488" t="s">
        <v>946</v>
      </c>
      <c r="B488" s="6">
        <v>45541</v>
      </c>
      <c r="C488" t="s">
        <v>439</v>
      </c>
      <c r="D488" t="s">
        <v>31</v>
      </c>
      <c r="E488" t="s">
        <v>840</v>
      </c>
      <c r="F488" t="s">
        <v>833</v>
      </c>
      <c r="G488" s="7">
        <v>2</v>
      </c>
      <c r="H488" s="8">
        <v>64.62</v>
      </c>
      <c r="I488" s="9">
        <v>5</v>
      </c>
      <c r="J488" s="8">
        <v>122.78</v>
      </c>
      <c r="K488" s="8">
        <v>17.12</v>
      </c>
      <c r="L488" t="s">
        <v>17</v>
      </c>
    </row>
    <row r="489" spans="1:12" x14ac:dyDescent="0.25">
      <c r="A489" t="s">
        <v>947</v>
      </c>
      <c r="B489" s="6">
        <v>45390</v>
      </c>
      <c r="C489" t="s">
        <v>948</v>
      </c>
      <c r="D489" t="s">
        <v>36</v>
      </c>
      <c r="E489" t="s">
        <v>856</v>
      </c>
      <c r="F489" t="s">
        <v>833</v>
      </c>
      <c r="G489" s="7">
        <v>2</v>
      </c>
      <c r="H489" s="8">
        <v>56.63</v>
      </c>
      <c r="I489" s="9">
        <v>20</v>
      </c>
      <c r="J489" s="8">
        <v>90.61</v>
      </c>
      <c r="K489" s="8">
        <v>17.149999999999999</v>
      </c>
      <c r="L489" t="s">
        <v>17</v>
      </c>
    </row>
    <row r="490" spans="1:12" x14ac:dyDescent="0.25">
      <c r="A490" t="s">
        <v>949</v>
      </c>
      <c r="B490" s="6">
        <v>45907</v>
      </c>
      <c r="C490" t="s">
        <v>950</v>
      </c>
      <c r="D490" t="s">
        <v>24</v>
      </c>
      <c r="E490" t="s">
        <v>848</v>
      </c>
      <c r="F490" t="s">
        <v>833</v>
      </c>
      <c r="G490" s="7">
        <v>1</v>
      </c>
      <c r="H490" s="8">
        <v>96.27</v>
      </c>
      <c r="I490" s="9">
        <v>15</v>
      </c>
      <c r="J490" s="8">
        <v>81.83</v>
      </c>
      <c r="K490" s="8">
        <v>17.350000000000001</v>
      </c>
      <c r="L490" t="s">
        <v>17</v>
      </c>
    </row>
    <row r="491" spans="1:12" x14ac:dyDescent="0.25">
      <c r="A491" t="s">
        <v>951</v>
      </c>
      <c r="B491" s="6">
        <v>45868</v>
      </c>
      <c r="C491" t="s">
        <v>952</v>
      </c>
      <c r="D491" t="s">
        <v>14</v>
      </c>
      <c r="E491" t="s">
        <v>837</v>
      </c>
      <c r="F491" t="s">
        <v>833</v>
      </c>
      <c r="G491" s="7">
        <v>2</v>
      </c>
      <c r="H491" s="8">
        <v>71.650000000000006</v>
      </c>
      <c r="I491" s="9">
        <v>0</v>
      </c>
      <c r="J491" s="8">
        <v>143.30000000000001</v>
      </c>
      <c r="K491" s="8">
        <v>17.54</v>
      </c>
      <c r="L491" t="s">
        <v>17</v>
      </c>
    </row>
    <row r="492" spans="1:12" x14ac:dyDescent="0.25">
      <c r="A492" t="s">
        <v>953</v>
      </c>
      <c r="B492" s="6">
        <v>45800</v>
      </c>
      <c r="C492" t="s">
        <v>954</v>
      </c>
      <c r="D492" t="s">
        <v>14</v>
      </c>
      <c r="E492" t="s">
        <v>835</v>
      </c>
      <c r="F492" t="s">
        <v>833</v>
      </c>
      <c r="G492" s="7">
        <v>2</v>
      </c>
      <c r="H492" s="8">
        <v>106.47</v>
      </c>
      <c r="I492" s="9">
        <v>10</v>
      </c>
      <c r="J492" s="8">
        <v>191.65</v>
      </c>
      <c r="K492" s="8">
        <v>17.739999999999998</v>
      </c>
      <c r="L492" t="s">
        <v>33</v>
      </c>
    </row>
    <row r="493" spans="1:12" x14ac:dyDescent="0.25">
      <c r="A493" t="s">
        <v>955</v>
      </c>
      <c r="B493" s="6">
        <v>45529</v>
      </c>
      <c r="C493" t="s">
        <v>845</v>
      </c>
      <c r="D493" t="s">
        <v>20</v>
      </c>
      <c r="E493" t="s">
        <v>858</v>
      </c>
      <c r="F493" t="s">
        <v>833</v>
      </c>
      <c r="G493" s="7">
        <v>1</v>
      </c>
      <c r="H493" s="8">
        <v>132.55000000000001</v>
      </c>
      <c r="I493" s="9">
        <v>5</v>
      </c>
      <c r="J493" s="8">
        <v>125.92</v>
      </c>
      <c r="K493" s="8">
        <v>18.03</v>
      </c>
      <c r="L493" t="s">
        <v>33</v>
      </c>
    </row>
    <row r="494" spans="1:12" x14ac:dyDescent="0.25">
      <c r="A494" t="s">
        <v>956</v>
      </c>
      <c r="B494" s="6">
        <v>45448</v>
      </c>
      <c r="C494" t="s">
        <v>366</v>
      </c>
      <c r="D494" t="s">
        <v>20</v>
      </c>
      <c r="E494" t="s">
        <v>860</v>
      </c>
      <c r="F494" t="s">
        <v>833</v>
      </c>
      <c r="G494" s="7">
        <v>1</v>
      </c>
      <c r="H494" s="8">
        <v>131.80000000000001</v>
      </c>
      <c r="I494" s="9">
        <v>25</v>
      </c>
      <c r="J494" s="8">
        <v>98.85</v>
      </c>
      <c r="K494" s="8">
        <v>18.079999999999998</v>
      </c>
      <c r="L494" t="s">
        <v>33</v>
      </c>
    </row>
    <row r="495" spans="1:12" x14ac:dyDescent="0.25">
      <c r="A495" t="s">
        <v>957</v>
      </c>
      <c r="B495" s="6">
        <v>45376</v>
      </c>
      <c r="C495" t="s">
        <v>378</v>
      </c>
      <c r="D495" t="s">
        <v>24</v>
      </c>
      <c r="E495" t="s">
        <v>860</v>
      </c>
      <c r="F495" t="s">
        <v>833</v>
      </c>
      <c r="G495" s="7">
        <v>1</v>
      </c>
      <c r="H495" s="8">
        <v>117.26</v>
      </c>
      <c r="I495" s="9">
        <v>15</v>
      </c>
      <c r="J495" s="8">
        <v>99.67</v>
      </c>
      <c r="K495" s="8">
        <v>18.7</v>
      </c>
      <c r="L495" t="s">
        <v>17</v>
      </c>
    </row>
    <row r="496" spans="1:12" x14ac:dyDescent="0.25">
      <c r="A496" t="s">
        <v>958</v>
      </c>
      <c r="B496" s="6">
        <v>45402</v>
      </c>
      <c r="C496" t="s">
        <v>297</v>
      </c>
      <c r="D496" t="s">
        <v>24</v>
      </c>
      <c r="E496" t="s">
        <v>837</v>
      </c>
      <c r="F496" t="s">
        <v>833</v>
      </c>
      <c r="G496" s="7">
        <v>1</v>
      </c>
      <c r="H496" s="8">
        <v>147.55000000000001</v>
      </c>
      <c r="I496" s="9">
        <v>0</v>
      </c>
      <c r="J496" s="8">
        <v>147.55000000000001</v>
      </c>
      <c r="K496" s="8">
        <v>18.77</v>
      </c>
      <c r="L496" t="s">
        <v>33</v>
      </c>
    </row>
    <row r="497" spans="1:12" x14ac:dyDescent="0.25">
      <c r="A497" t="s">
        <v>959</v>
      </c>
      <c r="B497" s="6">
        <v>45820</v>
      </c>
      <c r="C497" t="s">
        <v>757</v>
      </c>
      <c r="D497" t="s">
        <v>20</v>
      </c>
      <c r="E497" t="s">
        <v>835</v>
      </c>
      <c r="F497" t="s">
        <v>833</v>
      </c>
      <c r="G497" s="7">
        <v>2</v>
      </c>
      <c r="H497" s="8">
        <v>139.47</v>
      </c>
      <c r="I497" s="9">
        <v>15</v>
      </c>
      <c r="J497" s="8">
        <v>237.1</v>
      </c>
      <c r="K497" s="8">
        <v>19.77</v>
      </c>
      <c r="L497" t="s">
        <v>33</v>
      </c>
    </row>
    <row r="498" spans="1:12" x14ac:dyDescent="0.25">
      <c r="A498" t="s">
        <v>960</v>
      </c>
      <c r="B498" s="6">
        <v>45427</v>
      </c>
      <c r="C498" t="s">
        <v>961</v>
      </c>
      <c r="D498" t="s">
        <v>31</v>
      </c>
      <c r="E498" t="s">
        <v>835</v>
      </c>
      <c r="F498" t="s">
        <v>833</v>
      </c>
      <c r="G498" s="7">
        <v>1</v>
      </c>
      <c r="H498" s="8">
        <v>146.01</v>
      </c>
      <c r="I498" s="9">
        <v>0</v>
      </c>
      <c r="J498" s="8">
        <v>146.01</v>
      </c>
      <c r="K498" s="8">
        <v>20.14</v>
      </c>
      <c r="L498" t="s">
        <v>33</v>
      </c>
    </row>
    <row r="499" spans="1:12" x14ac:dyDescent="0.25">
      <c r="A499" t="s">
        <v>962</v>
      </c>
      <c r="B499" s="6">
        <v>45350</v>
      </c>
      <c r="C499" t="s">
        <v>757</v>
      </c>
      <c r="D499" t="s">
        <v>20</v>
      </c>
      <c r="E499" t="s">
        <v>835</v>
      </c>
      <c r="F499" t="s">
        <v>833</v>
      </c>
      <c r="G499" s="7">
        <v>2</v>
      </c>
      <c r="H499" s="8">
        <v>128.4</v>
      </c>
      <c r="I499" s="9">
        <v>10</v>
      </c>
      <c r="J499" s="8">
        <v>231.12</v>
      </c>
      <c r="K499" s="8">
        <v>20.18</v>
      </c>
      <c r="L499" t="s">
        <v>33</v>
      </c>
    </row>
    <row r="500" spans="1:12" x14ac:dyDescent="0.25">
      <c r="A500" t="s">
        <v>963</v>
      </c>
      <c r="B500" s="6">
        <v>45636</v>
      </c>
      <c r="C500" t="s">
        <v>964</v>
      </c>
      <c r="D500" t="s">
        <v>24</v>
      </c>
      <c r="E500" t="s">
        <v>858</v>
      </c>
      <c r="F500" t="s">
        <v>833</v>
      </c>
      <c r="G500" s="7">
        <v>1</v>
      </c>
      <c r="H500" s="8">
        <v>90.33</v>
      </c>
      <c r="I500" s="9">
        <v>0</v>
      </c>
      <c r="J500" s="8">
        <v>90.33</v>
      </c>
      <c r="K500" s="8">
        <v>20.309999999999999</v>
      </c>
      <c r="L500" t="s">
        <v>17</v>
      </c>
    </row>
    <row r="501" spans="1:12" x14ac:dyDescent="0.25">
      <c r="A501" t="s">
        <v>965</v>
      </c>
      <c r="B501" s="6">
        <v>45711</v>
      </c>
      <c r="C501" t="s">
        <v>258</v>
      </c>
      <c r="D501" t="s">
        <v>36</v>
      </c>
      <c r="E501" t="s">
        <v>843</v>
      </c>
      <c r="F501" t="s">
        <v>833</v>
      </c>
      <c r="G501" s="7">
        <v>2</v>
      </c>
      <c r="H501" s="8">
        <v>43.95</v>
      </c>
      <c r="I501" s="9">
        <v>0</v>
      </c>
      <c r="J501" s="8">
        <v>87.9</v>
      </c>
      <c r="K501" s="8">
        <v>20.41</v>
      </c>
      <c r="L501" t="s">
        <v>33</v>
      </c>
    </row>
    <row r="502" spans="1:12" x14ac:dyDescent="0.25">
      <c r="A502" t="s">
        <v>966</v>
      </c>
      <c r="B502" s="6">
        <v>45940</v>
      </c>
      <c r="C502" t="s">
        <v>554</v>
      </c>
      <c r="D502" t="s">
        <v>24</v>
      </c>
      <c r="E502" t="s">
        <v>843</v>
      </c>
      <c r="F502" t="s">
        <v>833</v>
      </c>
      <c r="G502" s="7">
        <v>2</v>
      </c>
      <c r="H502" s="8">
        <v>112.49</v>
      </c>
      <c r="I502" s="9">
        <v>0</v>
      </c>
      <c r="J502" s="8">
        <v>224.98</v>
      </c>
      <c r="K502" s="8">
        <v>20.440000000000001</v>
      </c>
      <c r="L502" t="s">
        <v>33</v>
      </c>
    </row>
    <row r="503" spans="1:12" x14ac:dyDescent="0.25">
      <c r="A503" t="s">
        <v>967</v>
      </c>
      <c r="B503" s="6">
        <v>46009</v>
      </c>
      <c r="C503" t="s">
        <v>523</v>
      </c>
      <c r="D503" t="s">
        <v>31</v>
      </c>
      <c r="E503" t="s">
        <v>835</v>
      </c>
      <c r="F503" t="s">
        <v>833</v>
      </c>
      <c r="G503" s="7">
        <v>2</v>
      </c>
      <c r="H503" s="8">
        <v>84.53</v>
      </c>
      <c r="I503" s="9">
        <v>5</v>
      </c>
      <c r="J503" s="8">
        <v>160.61000000000001</v>
      </c>
      <c r="K503" s="8">
        <v>20.65</v>
      </c>
      <c r="L503" t="s">
        <v>33</v>
      </c>
    </row>
    <row r="504" spans="1:12" x14ac:dyDescent="0.25">
      <c r="A504" t="s">
        <v>968</v>
      </c>
      <c r="B504" s="6">
        <v>45658</v>
      </c>
      <c r="C504" t="s">
        <v>969</v>
      </c>
      <c r="D504" t="s">
        <v>14</v>
      </c>
      <c r="E504" t="s">
        <v>860</v>
      </c>
      <c r="F504" t="s">
        <v>833</v>
      </c>
      <c r="G504" s="7">
        <v>1</v>
      </c>
      <c r="H504" s="8">
        <v>121.3</v>
      </c>
      <c r="I504" s="9">
        <v>0</v>
      </c>
      <c r="J504" s="8">
        <v>121.3</v>
      </c>
      <c r="K504" s="8">
        <v>20.79</v>
      </c>
      <c r="L504" t="s">
        <v>17</v>
      </c>
    </row>
    <row r="505" spans="1:12" x14ac:dyDescent="0.25">
      <c r="A505" t="s">
        <v>970</v>
      </c>
      <c r="B505" s="6">
        <v>45717</v>
      </c>
      <c r="C505" t="s">
        <v>971</v>
      </c>
      <c r="D505" t="s">
        <v>14</v>
      </c>
      <c r="E505" t="s">
        <v>835</v>
      </c>
      <c r="F505" t="s">
        <v>833</v>
      </c>
      <c r="G505" s="7">
        <v>2</v>
      </c>
      <c r="H505" s="8">
        <v>52.07</v>
      </c>
      <c r="I505" s="9">
        <v>0</v>
      </c>
      <c r="J505" s="8">
        <v>104.14</v>
      </c>
      <c r="K505" s="8">
        <v>20.86</v>
      </c>
      <c r="L505" t="s">
        <v>33</v>
      </c>
    </row>
    <row r="506" spans="1:12" x14ac:dyDescent="0.25">
      <c r="A506" t="s">
        <v>972</v>
      </c>
      <c r="B506" s="6">
        <v>45619</v>
      </c>
      <c r="C506" t="s">
        <v>973</v>
      </c>
      <c r="D506" t="s">
        <v>24</v>
      </c>
      <c r="E506" t="s">
        <v>848</v>
      </c>
      <c r="F506" t="s">
        <v>833</v>
      </c>
      <c r="G506" s="7">
        <v>1</v>
      </c>
      <c r="H506" s="8">
        <v>147.01</v>
      </c>
      <c r="I506" s="9">
        <v>15</v>
      </c>
      <c r="J506" s="8">
        <v>124.96</v>
      </c>
      <c r="K506" s="8">
        <v>20.96</v>
      </c>
      <c r="L506" t="s">
        <v>33</v>
      </c>
    </row>
    <row r="507" spans="1:12" x14ac:dyDescent="0.25">
      <c r="A507" t="s">
        <v>974</v>
      </c>
      <c r="B507" s="6">
        <v>45473</v>
      </c>
      <c r="C507" t="s">
        <v>975</v>
      </c>
      <c r="D507" t="s">
        <v>14</v>
      </c>
      <c r="E507" t="s">
        <v>860</v>
      </c>
      <c r="F507" t="s">
        <v>833</v>
      </c>
      <c r="G507" s="7">
        <v>1</v>
      </c>
      <c r="H507" s="8">
        <v>100.49</v>
      </c>
      <c r="I507" s="9">
        <v>5</v>
      </c>
      <c r="J507" s="8">
        <v>95.47</v>
      </c>
      <c r="K507" s="8">
        <v>20.98</v>
      </c>
      <c r="L507" t="s">
        <v>33</v>
      </c>
    </row>
    <row r="508" spans="1:12" x14ac:dyDescent="0.25">
      <c r="A508" t="s">
        <v>976</v>
      </c>
      <c r="B508" s="6">
        <v>45357</v>
      </c>
      <c r="C508" t="s">
        <v>977</v>
      </c>
      <c r="D508" t="s">
        <v>14</v>
      </c>
      <c r="E508" t="s">
        <v>832</v>
      </c>
      <c r="F508" t="s">
        <v>833</v>
      </c>
      <c r="G508" s="7">
        <v>2</v>
      </c>
      <c r="H508" s="8">
        <v>49.19</v>
      </c>
      <c r="I508" s="9">
        <v>0</v>
      </c>
      <c r="J508" s="8">
        <v>98.38</v>
      </c>
      <c r="K508" s="8">
        <v>20.98</v>
      </c>
      <c r="L508" t="s">
        <v>17</v>
      </c>
    </row>
    <row r="509" spans="1:12" x14ac:dyDescent="0.25">
      <c r="A509" t="s">
        <v>978</v>
      </c>
      <c r="B509" s="6">
        <v>45899</v>
      </c>
      <c r="C509" t="s">
        <v>979</v>
      </c>
      <c r="D509" t="s">
        <v>36</v>
      </c>
      <c r="E509" t="s">
        <v>832</v>
      </c>
      <c r="F509" t="s">
        <v>833</v>
      </c>
      <c r="G509" s="7">
        <v>1</v>
      </c>
      <c r="H509" s="8">
        <v>126.15</v>
      </c>
      <c r="I509" s="9">
        <v>10</v>
      </c>
      <c r="J509" s="8">
        <v>113.54</v>
      </c>
      <c r="K509" s="8">
        <v>21.08</v>
      </c>
      <c r="L509" t="s">
        <v>33</v>
      </c>
    </row>
    <row r="510" spans="1:12" x14ac:dyDescent="0.25">
      <c r="A510" t="s">
        <v>980</v>
      </c>
      <c r="B510" s="6">
        <v>45438</v>
      </c>
      <c r="C510" t="s">
        <v>689</v>
      </c>
      <c r="D510" t="s">
        <v>20</v>
      </c>
      <c r="E510" t="s">
        <v>832</v>
      </c>
      <c r="F510" t="s">
        <v>833</v>
      </c>
      <c r="G510" s="7">
        <v>1</v>
      </c>
      <c r="H510" s="8">
        <v>102.96</v>
      </c>
      <c r="I510" s="9">
        <v>10</v>
      </c>
      <c r="J510" s="8">
        <v>92.66</v>
      </c>
      <c r="K510" s="8">
        <v>21.12</v>
      </c>
      <c r="L510" t="s">
        <v>17</v>
      </c>
    </row>
    <row r="511" spans="1:12" x14ac:dyDescent="0.25">
      <c r="A511" t="s">
        <v>981</v>
      </c>
      <c r="B511" s="6">
        <v>45906</v>
      </c>
      <c r="C511" t="s">
        <v>982</v>
      </c>
      <c r="D511" t="s">
        <v>14</v>
      </c>
      <c r="E511" t="s">
        <v>860</v>
      </c>
      <c r="F511" t="s">
        <v>833</v>
      </c>
      <c r="G511" s="7">
        <v>1</v>
      </c>
      <c r="H511" s="8">
        <v>94.84</v>
      </c>
      <c r="I511" s="9">
        <v>5</v>
      </c>
      <c r="J511" s="8">
        <v>90.1</v>
      </c>
      <c r="K511" s="8">
        <v>21.14</v>
      </c>
      <c r="L511" t="s">
        <v>33</v>
      </c>
    </row>
    <row r="512" spans="1:12" x14ac:dyDescent="0.25">
      <c r="A512" t="s">
        <v>983</v>
      </c>
      <c r="B512" s="6">
        <v>45311</v>
      </c>
      <c r="C512" t="s">
        <v>652</v>
      </c>
      <c r="D512" t="s">
        <v>20</v>
      </c>
      <c r="E512" t="s">
        <v>835</v>
      </c>
      <c r="F512" t="s">
        <v>833</v>
      </c>
      <c r="G512" s="7">
        <v>2</v>
      </c>
      <c r="H512" s="8">
        <v>122.48</v>
      </c>
      <c r="I512" s="9">
        <v>10</v>
      </c>
      <c r="J512" s="8">
        <v>220.46</v>
      </c>
      <c r="K512" s="8">
        <v>21.3</v>
      </c>
      <c r="L512" t="s">
        <v>33</v>
      </c>
    </row>
    <row r="513" spans="1:12" x14ac:dyDescent="0.25">
      <c r="A513" t="s">
        <v>984</v>
      </c>
      <c r="B513" s="6">
        <v>45474</v>
      </c>
      <c r="C513" t="s">
        <v>630</v>
      </c>
      <c r="D513" t="s">
        <v>36</v>
      </c>
      <c r="E513" t="s">
        <v>840</v>
      </c>
      <c r="F513" t="s">
        <v>833</v>
      </c>
      <c r="G513" s="7">
        <v>1</v>
      </c>
      <c r="H513" s="8">
        <v>111.49</v>
      </c>
      <c r="I513" s="9">
        <v>15</v>
      </c>
      <c r="J513" s="8">
        <v>94.77</v>
      </c>
      <c r="K513" s="8">
        <v>22.05</v>
      </c>
      <c r="L513" t="s">
        <v>17</v>
      </c>
    </row>
    <row r="514" spans="1:12" x14ac:dyDescent="0.25">
      <c r="A514" t="s">
        <v>985</v>
      </c>
      <c r="B514" s="6">
        <v>45476</v>
      </c>
      <c r="C514" t="s">
        <v>986</v>
      </c>
      <c r="D514" t="s">
        <v>31</v>
      </c>
      <c r="E514" t="s">
        <v>835</v>
      </c>
      <c r="F514" t="s">
        <v>833</v>
      </c>
      <c r="G514" s="7">
        <v>1</v>
      </c>
      <c r="H514" s="8">
        <v>133.59</v>
      </c>
      <c r="I514" s="9">
        <v>25</v>
      </c>
      <c r="J514" s="8">
        <v>100.19</v>
      </c>
      <c r="K514" s="8">
        <v>22.55</v>
      </c>
      <c r="L514" t="s">
        <v>33</v>
      </c>
    </row>
    <row r="515" spans="1:12" x14ac:dyDescent="0.25">
      <c r="A515" t="s">
        <v>987</v>
      </c>
      <c r="B515" s="6">
        <v>45677</v>
      </c>
      <c r="C515" t="s">
        <v>988</v>
      </c>
      <c r="D515" t="s">
        <v>31</v>
      </c>
      <c r="E515" t="s">
        <v>860</v>
      </c>
      <c r="F515" t="s">
        <v>833</v>
      </c>
      <c r="G515" s="7">
        <v>1</v>
      </c>
      <c r="H515" s="8">
        <v>125.09</v>
      </c>
      <c r="I515" s="9">
        <v>0</v>
      </c>
      <c r="J515" s="8">
        <v>125.09</v>
      </c>
      <c r="K515" s="8">
        <v>22.6</v>
      </c>
      <c r="L515" t="s">
        <v>17</v>
      </c>
    </row>
    <row r="516" spans="1:12" x14ac:dyDescent="0.25">
      <c r="A516" t="s">
        <v>989</v>
      </c>
      <c r="B516" s="6">
        <v>45409</v>
      </c>
      <c r="C516" t="s">
        <v>990</v>
      </c>
      <c r="D516" t="s">
        <v>14</v>
      </c>
      <c r="E516" t="s">
        <v>848</v>
      </c>
      <c r="F516" t="s">
        <v>833</v>
      </c>
      <c r="G516" s="7">
        <v>1</v>
      </c>
      <c r="H516" s="8">
        <v>126.86</v>
      </c>
      <c r="I516" s="9">
        <v>10</v>
      </c>
      <c r="J516" s="8">
        <v>114.17</v>
      </c>
      <c r="K516" s="8">
        <v>22.67</v>
      </c>
      <c r="L516" t="s">
        <v>33</v>
      </c>
    </row>
    <row r="517" spans="1:12" x14ac:dyDescent="0.25">
      <c r="A517" t="s">
        <v>991</v>
      </c>
      <c r="B517" s="6">
        <v>45514</v>
      </c>
      <c r="C517" t="s">
        <v>632</v>
      </c>
      <c r="D517" t="s">
        <v>36</v>
      </c>
      <c r="E517" t="s">
        <v>848</v>
      </c>
      <c r="F517" t="s">
        <v>833</v>
      </c>
      <c r="G517" s="7">
        <v>3</v>
      </c>
      <c r="H517" s="8">
        <v>54.76</v>
      </c>
      <c r="I517" s="9">
        <v>0</v>
      </c>
      <c r="J517" s="8">
        <v>164.28</v>
      </c>
      <c r="K517" s="8">
        <v>22.73</v>
      </c>
      <c r="L517" t="s">
        <v>17</v>
      </c>
    </row>
    <row r="518" spans="1:12" x14ac:dyDescent="0.25">
      <c r="A518" t="s">
        <v>992</v>
      </c>
      <c r="B518" s="6">
        <v>45974</v>
      </c>
      <c r="C518" t="s">
        <v>993</v>
      </c>
      <c r="D518" t="s">
        <v>36</v>
      </c>
      <c r="E518" t="s">
        <v>840</v>
      </c>
      <c r="F518" t="s">
        <v>833</v>
      </c>
      <c r="G518" s="7">
        <v>1</v>
      </c>
      <c r="H518" s="8">
        <v>128.88</v>
      </c>
      <c r="I518" s="9">
        <v>0</v>
      </c>
      <c r="J518" s="8">
        <v>128.88</v>
      </c>
      <c r="K518" s="8">
        <v>23.02</v>
      </c>
      <c r="L518" t="s">
        <v>33</v>
      </c>
    </row>
    <row r="519" spans="1:12" x14ac:dyDescent="0.25">
      <c r="A519" t="s">
        <v>994</v>
      </c>
      <c r="B519" s="6">
        <v>45796</v>
      </c>
      <c r="C519" t="s">
        <v>995</v>
      </c>
      <c r="D519" t="s">
        <v>36</v>
      </c>
      <c r="E519" t="s">
        <v>837</v>
      </c>
      <c r="F519" t="s">
        <v>833</v>
      </c>
      <c r="G519" s="7">
        <v>2</v>
      </c>
      <c r="H519" s="8">
        <v>134.03</v>
      </c>
      <c r="I519" s="9">
        <v>15</v>
      </c>
      <c r="J519" s="8">
        <v>227.85</v>
      </c>
      <c r="K519" s="8">
        <v>23.21</v>
      </c>
      <c r="L519" t="s">
        <v>33</v>
      </c>
    </row>
    <row r="520" spans="1:12" x14ac:dyDescent="0.25">
      <c r="A520" t="s">
        <v>996</v>
      </c>
      <c r="B520" s="6">
        <v>45890</v>
      </c>
      <c r="C520" t="s">
        <v>997</v>
      </c>
      <c r="D520" t="s">
        <v>24</v>
      </c>
      <c r="E520" t="s">
        <v>832</v>
      </c>
      <c r="F520" t="s">
        <v>833</v>
      </c>
      <c r="G520" s="7">
        <v>1</v>
      </c>
      <c r="H520" s="8">
        <v>142.59</v>
      </c>
      <c r="I520" s="9">
        <v>10</v>
      </c>
      <c r="J520" s="8">
        <v>128.33000000000001</v>
      </c>
      <c r="K520" s="8">
        <v>23.4</v>
      </c>
      <c r="L520" t="s">
        <v>33</v>
      </c>
    </row>
    <row r="521" spans="1:12" x14ac:dyDescent="0.25">
      <c r="A521" t="s">
        <v>998</v>
      </c>
      <c r="B521" s="6">
        <v>45938</v>
      </c>
      <c r="C521" t="s">
        <v>999</v>
      </c>
      <c r="D521" t="s">
        <v>14</v>
      </c>
      <c r="E521" t="s">
        <v>858</v>
      </c>
      <c r="F521" t="s">
        <v>833</v>
      </c>
      <c r="G521" s="7">
        <v>2</v>
      </c>
      <c r="H521" s="8">
        <v>109.42</v>
      </c>
      <c r="I521" s="9">
        <v>5</v>
      </c>
      <c r="J521" s="8">
        <v>207.9</v>
      </c>
      <c r="K521" s="8">
        <v>23.71</v>
      </c>
      <c r="L521" t="s">
        <v>17</v>
      </c>
    </row>
    <row r="522" spans="1:12" x14ac:dyDescent="0.25">
      <c r="A522" t="s">
        <v>1000</v>
      </c>
      <c r="B522" s="6">
        <v>45451</v>
      </c>
      <c r="C522" t="s">
        <v>1001</v>
      </c>
      <c r="D522" t="s">
        <v>24</v>
      </c>
      <c r="E522" t="s">
        <v>837</v>
      </c>
      <c r="F522" t="s">
        <v>833</v>
      </c>
      <c r="G522" s="7">
        <v>3</v>
      </c>
      <c r="H522" s="8">
        <v>104.59</v>
      </c>
      <c r="I522" s="9">
        <v>15</v>
      </c>
      <c r="J522" s="8">
        <v>266.7</v>
      </c>
      <c r="K522" s="8">
        <v>23.88</v>
      </c>
      <c r="L522" t="s">
        <v>33</v>
      </c>
    </row>
    <row r="523" spans="1:12" x14ac:dyDescent="0.25">
      <c r="A523" t="s">
        <v>1002</v>
      </c>
      <c r="B523" s="6">
        <v>45368</v>
      </c>
      <c r="C523" t="s">
        <v>1003</v>
      </c>
      <c r="D523" t="s">
        <v>36</v>
      </c>
      <c r="E523" t="s">
        <v>837</v>
      </c>
      <c r="F523" t="s">
        <v>833</v>
      </c>
      <c r="G523" s="7">
        <v>5</v>
      </c>
      <c r="H523" s="8">
        <v>36.299999999999997</v>
      </c>
      <c r="I523" s="9">
        <v>5</v>
      </c>
      <c r="J523" s="8">
        <v>172.43</v>
      </c>
      <c r="K523" s="8">
        <v>24.66</v>
      </c>
      <c r="L523" t="s">
        <v>48</v>
      </c>
    </row>
    <row r="524" spans="1:12" x14ac:dyDescent="0.25">
      <c r="A524" t="s">
        <v>1004</v>
      </c>
      <c r="B524" s="6">
        <v>45294</v>
      </c>
      <c r="C524" t="s">
        <v>1005</v>
      </c>
      <c r="D524" t="s">
        <v>31</v>
      </c>
      <c r="E524" t="s">
        <v>840</v>
      </c>
      <c r="F524" t="s">
        <v>833</v>
      </c>
      <c r="G524" s="7">
        <v>1</v>
      </c>
      <c r="H524" s="8">
        <v>133.26</v>
      </c>
      <c r="I524" s="9">
        <v>10</v>
      </c>
      <c r="J524" s="8">
        <v>119.93</v>
      </c>
      <c r="K524" s="8">
        <v>24.67</v>
      </c>
      <c r="L524" t="s">
        <v>33</v>
      </c>
    </row>
    <row r="525" spans="1:12" x14ac:dyDescent="0.25">
      <c r="A525" t="s">
        <v>1006</v>
      </c>
      <c r="B525" s="6">
        <v>45756</v>
      </c>
      <c r="C525" t="s">
        <v>1007</v>
      </c>
      <c r="D525" t="s">
        <v>36</v>
      </c>
      <c r="E525" t="s">
        <v>848</v>
      </c>
      <c r="F525" t="s">
        <v>833</v>
      </c>
      <c r="G525" s="7">
        <v>1</v>
      </c>
      <c r="H525" s="8">
        <v>117.29</v>
      </c>
      <c r="I525" s="9">
        <v>10</v>
      </c>
      <c r="J525" s="8">
        <v>105.56</v>
      </c>
      <c r="K525" s="8">
        <v>25.07</v>
      </c>
      <c r="L525" t="s">
        <v>33</v>
      </c>
    </row>
    <row r="526" spans="1:12" x14ac:dyDescent="0.25">
      <c r="A526" t="s">
        <v>1008</v>
      </c>
      <c r="B526" s="6">
        <v>45500</v>
      </c>
      <c r="C526" t="s">
        <v>1009</v>
      </c>
      <c r="D526" t="s">
        <v>24</v>
      </c>
      <c r="E526" t="s">
        <v>860</v>
      </c>
      <c r="F526" t="s">
        <v>833</v>
      </c>
      <c r="G526" s="7">
        <v>2</v>
      </c>
      <c r="H526" s="8">
        <v>74.8</v>
      </c>
      <c r="I526" s="9">
        <v>15</v>
      </c>
      <c r="J526" s="8">
        <v>127.16</v>
      </c>
      <c r="K526" s="8">
        <v>25.37</v>
      </c>
      <c r="L526" t="s">
        <v>33</v>
      </c>
    </row>
    <row r="527" spans="1:12" x14ac:dyDescent="0.25">
      <c r="A527" t="s">
        <v>1010</v>
      </c>
      <c r="B527" s="6">
        <v>45435</v>
      </c>
      <c r="C527" t="s">
        <v>325</v>
      </c>
      <c r="D527" t="s">
        <v>24</v>
      </c>
      <c r="E527" t="s">
        <v>837</v>
      </c>
      <c r="F527" t="s">
        <v>833</v>
      </c>
      <c r="G527" s="7">
        <v>2</v>
      </c>
      <c r="H527" s="8">
        <v>95.25</v>
      </c>
      <c r="I527" s="9">
        <v>20</v>
      </c>
      <c r="J527" s="8">
        <v>152.4</v>
      </c>
      <c r="K527" s="8">
        <v>25.45</v>
      </c>
      <c r="L527" t="s">
        <v>17</v>
      </c>
    </row>
    <row r="528" spans="1:12" x14ac:dyDescent="0.25">
      <c r="A528" t="s">
        <v>1011</v>
      </c>
      <c r="B528" s="6">
        <v>45567</v>
      </c>
      <c r="C528" t="s">
        <v>1012</v>
      </c>
      <c r="D528" t="s">
        <v>31</v>
      </c>
      <c r="E528" t="s">
        <v>835</v>
      </c>
      <c r="F528" t="s">
        <v>833</v>
      </c>
      <c r="G528" s="7">
        <v>1</v>
      </c>
      <c r="H528" s="8">
        <v>108.05</v>
      </c>
      <c r="I528" s="9">
        <v>5</v>
      </c>
      <c r="J528" s="8">
        <v>102.65</v>
      </c>
      <c r="K528" s="8">
        <v>25.6</v>
      </c>
      <c r="L528" t="s">
        <v>33</v>
      </c>
    </row>
    <row r="529" spans="1:12" x14ac:dyDescent="0.25">
      <c r="A529" t="s">
        <v>1013</v>
      </c>
      <c r="B529" s="6">
        <v>45530</v>
      </c>
      <c r="C529" t="s">
        <v>1014</v>
      </c>
      <c r="D529" t="s">
        <v>31</v>
      </c>
      <c r="E529" t="s">
        <v>846</v>
      </c>
      <c r="F529" t="s">
        <v>833</v>
      </c>
      <c r="G529" s="7">
        <v>1</v>
      </c>
      <c r="H529" s="8">
        <v>141.66</v>
      </c>
      <c r="I529" s="9">
        <v>5</v>
      </c>
      <c r="J529" s="8">
        <v>134.58000000000001</v>
      </c>
      <c r="K529" s="8">
        <v>25.72</v>
      </c>
      <c r="L529" t="s">
        <v>33</v>
      </c>
    </row>
    <row r="530" spans="1:12" x14ac:dyDescent="0.25">
      <c r="A530" t="s">
        <v>1015</v>
      </c>
      <c r="B530" s="6">
        <v>45336</v>
      </c>
      <c r="C530" t="s">
        <v>74</v>
      </c>
      <c r="D530" t="s">
        <v>14</v>
      </c>
      <c r="E530" t="s">
        <v>843</v>
      </c>
      <c r="F530" t="s">
        <v>833</v>
      </c>
      <c r="G530" s="7">
        <v>1</v>
      </c>
      <c r="H530" s="8">
        <v>116.23</v>
      </c>
      <c r="I530" s="9">
        <v>0</v>
      </c>
      <c r="J530" s="8">
        <v>116.23</v>
      </c>
      <c r="K530" s="8">
        <v>25.84</v>
      </c>
      <c r="L530" t="s">
        <v>48</v>
      </c>
    </row>
    <row r="531" spans="1:12" x14ac:dyDescent="0.25">
      <c r="A531" t="s">
        <v>1016</v>
      </c>
      <c r="B531" s="6">
        <v>45659</v>
      </c>
      <c r="C531" t="s">
        <v>1017</v>
      </c>
      <c r="D531" t="s">
        <v>24</v>
      </c>
      <c r="E531" t="s">
        <v>856</v>
      </c>
      <c r="F531" t="s">
        <v>833</v>
      </c>
      <c r="G531" s="7">
        <v>1</v>
      </c>
      <c r="H531" s="8">
        <v>135.31</v>
      </c>
      <c r="I531" s="9">
        <v>20</v>
      </c>
      <c r="J531" s="8">
        <v>108.25</v>
      </c>
      <c r="K531" s="8">
        <v>26.12</v>
      </c>
      <c r="L531" t="s">
        <v>33</v>
      </c>
    </row>
    <row r="532" spans="1:12" x14ac:dyDescent="0.25">
      <c r="A532" t="s">
        <v>1018</v>
      </c>
      <c r="B532" s="6">
        <v>45442</v>
      </c>
      <c r="C532" t="s">
        <v>30</v>
      </c>
      <c r="D532" t="s">
        <v>24</v>
      </c>
      <c r="E532" t="s">
        <v>856</v>
      </c>
      <c r="F532" t="s">
        <v>833</v>
      </c>
      <c r="G532" s="7">
        <v>5</v>
      </c>
      <c r="H532" s="8">
        <v>69.13</v>
      </c>
      <c r="I532" s="9">
        <v>10</v>
      </c>
      <c r="J532" s="8">
        <v>311.08</v>
      </c>
      <c r="K532" s="8">
        <v>26.4</v>
      </c>
      <c r="L532" t="s">
        <v>17</v>
      </c>
    </row>
    <row r="533" spans="1:12" x14ac:dyDescent="0.25">
      <c r="A533" t="s">
        <v>1019</v>
      </c>
      <c r="B533" s="6">
        <v>45638</v>
      </c>
      <c r="C533" t="s">
        <v>65</v>
      </c>
      <c r="D533" t="s">
        <v>24</v>
      </c>
      <c r="E533" t="s">
        <v>837</v>
      </c>
      <c r="F533" t="s">
        <v>833</v>
      </c>
      <c r="G533" s="7">
        <v>2</v>
      </c>
      <c r="H533" s="8">
        <v>77.540000000000006</v>
      </c>
      <c r="I533" s="9">
        <v>10</v>
      </c>
      <c r="J533" s="8">
        <v>139.57</v>
      </c>
      <c r="K533" s="8">
        <v>27.17</v>
      </c>
      <c r="L533" t="s">
        <v>17</v>
      </c>
    </row>
    <row r="534" spans="1:12" x14ac:dyDescent="0.25">
      <c r="A534" t="s">
        <v>1020</v>
      </c>
      <c r="B534" s="6">
        <v>45980</v>
      </c>
      <c r="C534" t="s">
        <v>1021</v>
      </c>
      <c r="D534" t="s">
        <v>20</v>
      </c>
      <c r="E534" t="s">
        <v>837</v>
      </c>
      <c r="F534" t="s">
        <v>833</v>
      </c>
      <c r="G534" s="7">
        <v>2</v>
      </c>
      <c r="H534" s="8">
        <v>83.45</v>
      </c>
      <c r="I534" s="9">
        <v>15</v>
      </c>
      <c r="J534" s="8">
        <v>141.87</v>
      </c>
      <c r="K534" s="8">
        <v>27.23</v>
      </c>
      <c r="L534" t="s">
        <v>17</v>
      </c>
    </row>
    <row r="535" spans="1:12" x14ac:dyDescent="0.25">
      <c r="A535" t="s">
        <v>1022</v>
      </c>
      <c r="B535" s="6">
        <v>45296</v>
      </c>
      <c r="C535" t="s">
        <v>226</v>
      </c>
      <c r="D535" t="s">
        <v>14</v>
      </c>
      <c r="E535" t="s">
        <v>835</v>
      </c>
      <c r="F535" t="s">
        <v>833</v>
      </c>
      <c r="G535" s="7">
        <v>1</v>
      </c>
      <c r="H535" s="8">
        <v>148.13</v>
      </c>
      <c r="I535" s="9">
        <v>0</v>
      </c>
      <c r="J535" s="8">
        <v>148.13</v>
      </c>
      <c r="K535" s="8">
        <v>27.32</v>
      </c>
      <c r="L535" t="s">
        <v>33</v>
      </c>
    </row>
    <row r="536" spans="1:12" x14ac:dyDescent="0.25">
      <c r="A536" t="s">
        <v>1023</v>
      </c>
      <c r="B536" s="6">
        <v>45345</v>
      </c>
      <c r="C536" t="s">
        <v>86</v>
      </c>
      <c r="D536" t="s">
        <v>36</v>
      </c>
      <c r="E536" t="s">
        <v>846</v>
      </c>
      <c r="F536" t="s">
        <v>833</v>
      </c>
      <c r="G536" s="7">
        <v>3</v>
      </c>
      <c r="H536" s="8">
        <v>56.27</v>
      </c>
      <c r="I536" s="9">
        <v>0</v>
      </c>
      <c r="J536" s="8">
        <v>168.81</v>
      </c>
      <c r="K536" s="8">
        <v>27.47</v>
      </c>
      <c r="L536" t="s">
        <v>48</v>
      </c>
    </row>
    <row r="537" spans="1:12" x14ac:dyDescent="0.25">
      <c r="A537" t="s">
        <v>1024</v>
      </c>
      <c r="B537" s="6">
        <v>45620</v>
      </c>
      <c r="C537" t="s">
        <v>1012</v>
      </c>
      <c r="D537" t="s">
        <v>14</v>
      </c>
      <c r="E537" t="s">
        <v>860</v>
      </c>
      <c r="F537" t="s">
        <v>833</v>
      </c>
      <c r="G537" s="7">
        <v>2</v>
      </c>
      <c r="H537" s="8">
        <v>124.59</v>
      </c>
      <c r="I537" s="9">
        <v>5</v>
      </c>
      <c r="J537" s="8">
        <v>236.72</v>
      </c>
      <c r="K537" s="8">
        <v>27.62</v>
      </c>
      <c r="L537" t="s">
        <v>33</v>
      </c>
    </row>
    <row r="538" spans="1:12" x14ac:dyDescent="0.25">
      <c r="A538" t="s">
        <v>1025</v>
      </c>
      <c r="B538" s="6">
        <v>46020</v>
      </c>
      <c r="C538" t="s">
        <v>493</v>
      </c>
      <c r="D538" t="s">
        <v>20</v>
      </c>
      <c r="E538" t="s">
        <v>835</v>
      </c>
      <c r="F538" t="s">
        <v>833</v>
      </c>
      <c r="G538" s="7">
        <v>2</v>
      </c>
      <c r="H538" s="8">
        <v>74.16</v>
      </c>
      <c r="I538" s="9">
        <v>5</v>
      </c>
      <c r="J538" s="8">
        <v>140.9</v>
      </c>
      <c r="K538" s="8">
        <v>27.9</v>
      </c>
      <c r="L538" t="s">
        <v>48</v>
      </c>
    </row>
    <row r="539" spans="1:12" x14ac:dyDescent="0.25">
      <c r="A539" t="s">
        <v>1026</v>
      </c>
      <c r="B539" s="6">
        <v>45454</v>
      </c>
      <c r="C539" t="s">
        <v>176</v>
      </c>
      <c r="D539" t="s">
        <v>36</v>
      </c>
      <c r="E539" t="s">
        <v>846</v>
      </c>
      <c r="F539" t="s">
        <v>833</v>
      </c>
      <c r="G539" s="7">
        <v>3</v>
      </c>
      <c r="H539" s="8">
        <v>59.34</v>
      </c>
      <c r="I539" s="9">
        <v>10</v>
      </c>
      <c r="J539" s="8">
        <v>160.22</v>
      </c>
      <c r="K539" s="8">
        <v>28.29</v>
      </c>
      <c r="L539" t="s">
        <v>33</v>
      </c>
    </row>
    <row r="540" spans="1:12" x14ac:dyDescent="0.25">
      <c r="A540" t="s">
        <v>1027</v>
      </c>
      <c r="B540" s="6">
        <v>45308</v>
      </c>
      <c r="C540" t="s">
        <v>295</v>
      </c>
      <c r="D540" t="s">
        <v>36</v>
      </c>
      <c r="E540" t="s">
        <v>860</v>
      </c>
      <c r="F540" t="s">
        <v>833</v>
      </c>
      <c r="G540" s="7">
        <v>1</v>
      </c>
      <c r="H540" s="8">
        <v>139.68</v>
      </c>
      <c r="I540" s="9">
        <v>0</v>
      </c>
      <c r="J540" s="8">
        <v>139.68</v>
      </c>
      <c r="K540" s="8">
        <v>28.79</v>
      </c>
      <c r="L540" t="s">
        <v>33</v>
      </c>
    </row>
    <row r="541" spans="1:12" x14ac:dyDescent="0.25">
      <c r="A541" t="s">
        <v>1028</v>
      </c>
      <c r="B541" s="6">
        <v>45451</v>
      </c>
      <c r="C541" t="s">
        <v>1029</v>
      </c>
      <c r="D541" t="s">
        <v>14</v>
      </c>
      <c r="E541" t="s">
        <v>837</v>
      </c>
      <c r="F541" t="s">
        <v>833</v>
      </c>
      <c r="G541" s="7">
        <v>2</v>
      </c>
      <c r="H541" s="8">
        <v>100.54</v>
      </c>
      <c r="I541" s="9">
        <v>20</v>
      </c>
      <c r="J541" s="8">
        <v>160.86000000000001</v>
      </c>
      <c r="K541" s="8">
        <v>28.91</v>
      </c>
      <c r="L541" t="s">
        <v>33</v>
      </c>
    </row>
    <row r="542" spans="1:12" x14ac:dyDescent="0.25">
      <c r="A542" t="s">
        <v>1030</v>
      </c>
      <c r="B542" s="6">
        <v>45518</v>
      </c>
      <c r="C542" t="s">
        <v>374</v>
      </c>
      <c r="D542" t="s">
        <v>36</v>
      </c>
      <c r="E542" t="s">
        <v>835</v>
      </c>
      <c r="F542" t="s">
        <v>833</v>
      </c>
      <c r="G542" s="7">
        <v>2</v>
      </c>
      <c r="H542" s="8">
        <v>65.34</v>
      </c>
      <c r="I542" s="9">
        <v>5</v>
      </c>
      <c r="J542" s="8">
        <v>124.15</v>
      </c>
      <c r="K542" s="8">
        <v>29.12</v>
      </c>
      <c r="L542" t="s">
        <v>17</v>
      </c>
    </row>
    <row r="543" spans="1:12" x14ac:dyDescent="0.25">
      <c r="A543" t="s">
        <v>1031</v>
      </c>
      <c r="B543" s="6">
        <v>45584</v>
      </c>
      <c r="C543" t="s">
        <v>525</v>
      </c>
      <c r="D543" t="s">
        <v>31</v>
      </c>
      <c r="E543" t="s">
        <v>832</v>
      </c>
      <c r="F543" t="s">
        <v>833</v>
      </c>
      <c r="G543" s="7">
        <v>4</v>
      </c>
      <c r="H543" s="8">
        <v>60.24</v>
      </c>
      <c r="I543" s="9">
        <v>25</v>
      </c>
      <c r="J543" s="8">
        <v>180.72</v>
      </c>
      <c r="K543" s="8">
        <v>29.68</v>
      </c>
      <c r="L543" t="s">
        <v>17</v>
      </c>
    </row>
    <row r="544" spans="1:12" x14ac:dyDescent="0.25">
      <c r="A544" t="s">
        <v>1032</v>
      </c>
      <c r="B544" s="6">
        <v>45550</v>
      </c>
      <c r="C544" t="s">
        <v>315</v>
      </c>
      <c r="D544" t="s">
        <v>24</v>
      </c>
      <c r="E544" t="s">
        <v>856</v>
      </c>
      <c r="F544" t="s">
        <v>833</v>
      </c>
      <c r="G544" s="7">
        <v>3</v>
      </c>
      <c r="H544" s="8">
        <v>61.12</v>
      </c>
      <c r="I544" s="9">
        <v>0</v>
      </c>
      <c r="J544" s="8">
        <v>183.36</v>
      </c>
      <c r="K544" s="8">
        <v>30.18</v>
      </c>
      <c r="L544" t="s">
        <v>33</v>
      </c>
    </row>
    <row r="545" spans="1:12" x14ac:dyDescent="0.25">
      <c r="A545" t="s">
        <v>1033</v>
      </c>
      <c r="B545" s="6">
        <v>45963</v>
      </c>
      <c r="C545" t="s">
        <v>776</v>
      </c>
      <c r="D545" t="s">
        <v>14</v>
      </c>
      <c r="E545" t="s">
        <v>848</v>
      </c>
      <c r="F545" t="s">
        <v>833</v>
      </c>
      <c r="G545" s="7">
        <v>2</v>
      </c>
      <c r="H545" s="8">
        <v>82.89</v>
      </c>
      <c r="I545" s="9">
        <v>10</v>
      </c>
      <c r="J545" s="8">
        <v>149.19999999999999</v>
      </c>
      <c r="K545" s="8">
        <v>30.32</v>
      </c>
      <c r="L545" t="s">
        <v>17</v>
      </c>
    </row>
    <row r="546" spans="1:12" x14ac:dyDescent="0.25">
      <c r="A546" t="s">
        <v>1034</v>
      </c>
      <c r="B546" s="6">
        <v>45898</v>
      </c>
      <c r="C546" t="s">
        <v>1035</v>
      </c>
      <c r="D546" t="s">
        <v>24</v>
      </c>
      <c r="E546" t="s">
        <v>837</v>
      </c>
      <c r="F546" t="s">
        <v>833</v>
      </c>
      <c r="G546" s="7">
        <v>5</v>
      </c>
      <c r="H546" s="8">
        <v>60.77</v>
      </c>
      <c r="I546" s="9">
        <v>10</v>
      </c>
      <c r="J546" s="8">
        <v>273.47000000000003</v>
      </c>
      <c r="K546" s="8">
        <v>30.53</v>
      </c>
      <c r="L546" t="s">
        <v>33</v>
      </c>
    </row>
    <row r="547" spans="1:12" x14ac:dyDescent="0.25">
      <c r="A547" t="s">
        <v>1036</v>
      </c>
      <c r="B547" s="6">
        <v>45964</v>
      </c>
      <c r="C547" t="s">
        <v>1037</v>
      </c>
      <c r="D547" t="s">
        <v>36</v>
      </c>
      <c r="E547" t="s">
        <v>837</v>
      </c>
      <c r="F547" t="s">
        <v>833</v>
      </c>
      <c r="G547" s="7">
        <v>2</v>
      </c>
      <c r="H547" s="8">
        <v>85.28</v>
      </c>
      <c r="I547" s="9">
        <v>25</v>
      </c>
      <c r="J547" s="8">
        <v>127.92</v>
      </c>
      <c r="K547" s="8">
        <v>31.54</v>
      </c>
      <c r="L547" t="s">
        <v>17</v>
      </c>
    </row>
    <row r="548" spans="1:12" x14ac:dyDescent="0.25">
      <c r="A548" t="s">
        <v>1038</v>
      </c>
      <c r="B548" s="6">
        <v>45878</v>
      </c>
      <c r="C548" t="s">
        <v>1039</v>
      </c>
      <c r="D548" t="s">
        <v>31</v>
      </c>
      <c r="E548" t="s">
        <v>860</v>
      </c>
      <c r="F548" t="s">
        <v>833</v>
      </c>
      <c r="G548" s="7">
        <v>2</v>
      </c>
      <c r="H548" s="8">
        <v>86.94</v>
      </c>
      <c r="I548" s="9">
        <v>5</v>
      </c>
      <c r="J548" s="8">
        <v>165.19</v>
      </c>
      <c r="K548" s="8">
        <v>31.57</v>
      </c>
      <c r="L548" t="s">
        <v>48</v>
      </c>
    </row>
    <row r="549" spans="1:12" x14ac:dyDescent="0.25">
      <c r="A549" t="s">
        <v>1040</v>
      </c>
      <c r="B549" s="6">
        <v>45475</v>
      </c>
      <c r="C549" t="s">
        <v>1041</v>
      </c>
      <c r="D549" t="s">
        <v>31</v>
      </c>
      <c r="E549" t="s">
        <v>832</v>
      </c>
      <c r="F549" t="s">
        <v>833</v>
      </c>
      <c r="G549" s="7">
        <v>4</v>
      </c>
      <c r="H549" s="8">
        <v>76.290000000000006</v>
      </c>
      <c r="I549" s="9">
        <v>0</v>
      </c>
      <c r="J549" s="8">
        <v>305.16000000000003</v>
      </c>
      <c r="K549" s="8">
        <v>32.03</v>
      </c>
      <c r="L549" t="s">
        <v>17</v>
      </c>
    </row>
    <row r="550" spans="1:12" x14ac:dyDescent="0.25">
      <c r="A550" t="s">
        <v>1042</v>
      </c>
      <c r="B550" s="6">
        <v>45937</v>
      </c>
      <c r="C550" t="s">
        <v>1043</v>
      </c>
      <c r="D550" t="s">
        <v>14</v>
      </c>
      <c r="E550" t="s">
        <v>840</v>
      </c>
      <c r="F550" t="s">
        <v>833</v>
      </c>
      <c r="G550" s="7">
        <v>1</v>
      </c>
      <c r="H550" s="8">
        <v>147.05000000000001</v>
      </c>
      <c r="I550" s="9">
        <v>5</v>
      </c>
      <c r="J550" s="8">
        <v>139.69999999999999</v>
      </c>
      <c r="K550" s="8">
        <v>32.770000000000003</v>
      </c>
      <c r="L550" t="s">
        <v>33</v>
      </c>
    </row>
    <row r="551" spans="1:12" x14ac:dyDescent="0.25">
      <c r="A551" t="s">
        <v>1044</v>
      </c>
      <c r="B551" s="6">
        <v>46020</v>
      </c>
      <c r="C551" t="s">
        <v>368</v>
      </c>
      <c r="D551" t="s">
        <v>24</v>
      </c>
      <c r="E551" t="s">
        <v>832</v>
      </c>
      <c r="F551" t="s">
        <v>833</v>
      </c>
      <c r="G551" s="7">
        <v>2</v>
      </c>
      <c r="H551" s="8">
        <v>102.04</v>
      </c>
      <c r="I551" s="9">
        <v>0</v>
      </c>
      <c r="J551" s="8">
        <v>204.08</v>
      </c>
      <c r="K551" s="8">
        <v>32.79</v>
      </c>
      <c r="L551" t="s">
        <v>33</v>
      </c>
    </row>
    <row r="552" spans="1:12" x14ac:dyDescent="0.25">
      <c r="A552" t="s">
        <v>1045</v>
      </c>
      <c r="B552" s="6">
        <v>45327</v>
      </c>
      <c r="C552" t="s">
        <v>297</v>
      </c>
      <c r="D552" t="s">
        <v>24</v>
      </c>
      <c r="E552" t="s">
        <v>837</v>
      </c>
      <c r="F552" t="s">
        <v>833</v>
      </c>
      <c r="G552" s="7">
        <v>3</v>
      </c>
      <c r="H552" s="8">
        <v>116.21</v>
      </c>
      <c r="I552" s="9">
        <v>0</v>
      </c>
      <c r="J552" s="8">
        <v>348.63</v>
      </c>
      <c r="K552" s="8">
        <v>35.26</v>
      </c>
      <c r="L552" t="s">
        <v>33</v>
      </c>
    </row>
    <row r="553" spans="1:12" x14ac:dyDescent="0.25">
      <c r="A553" t="s">
        <v>1046</v>
      </c>
      <c r="B553" s="6">
        <v>45968</v>
      </c>
      <c r="C553" t="s">
        <v>13</v>
      </c>
      <c r="D553" t="s">
        <v>31</v>
      </c>
      <c r="E553" t="s">
        <v>837</v>
      </c>
      <c r="F553" t="s">
        <v>833</v>
      </c>
      <c r="G553" s="7">
        <v>4</v>
      </c>
      <c r="H553" s="8">
        <v>45.17</v>
      </c>
      <c r="I553" s="9">
        <v>20</v>
      </c>
      <c r="J553" s="8">
        <v>144.54</v>
      </c>
      <c r="K553" s="8">
        <v>35.28</v>
      </c>
      <c r="L553" t="s">
        <v>17</v>
      </c>
    </row>
    <row r="554" spans="1:12" x14ac:dyDescent="0.25">
      <c r="A554" t="s">
        <v>1047</v>
      </c>
      <c r="B554" s="6">
        <v>45539</v>
      </c>
      <c r="C554" t="s">
        <v>1048</v>
      </c>
      <c r="D554" t="s">
        <v>24</v>
      </c>
      <c r="E554" t="s">
        <v>840</v>
      </c>
      <c r="F554" t="s">
        <v>833</v>
      </c>
      <c r="G554" s="7">
        <v>3</v>
      </c>
      <c r="H554" s="8">
        <v>104.06</v>
      </c>
      <c r="I554" s="9">
        <v>5</v>
      </c>
      <c r="J554" s="8">
        <v>296.57</v>
      </c>
      <c r="K554" s="8">
        <v>35.950000000000003</v>
      </c>
      <c r="L554" t="s">
        <v>33</v>
      </c>
    </row>
    <row r="555" spans="1:12" x14ac:dyDescent="0.25">
      <c r="A555" t="s">
        <v>1049</v>
      </c>
      <c r="B555" s="6">
        <v>45450</v>
      </c>
      <c r="C555" t="s">
        <v>513</v>
      </c>
      <c r="D555" t="s">
        <v>20</v>
      </c>
      <c r="E555" t="s">
        <v>848</v>
      </c>
      <c r="F555" t="s">
        <v>833</v>
      </c>
      <c r="G555" s="7">
        <v>2</v>
      </c>
      <c r="H555" s="8">
        <v>86.54</v>
      </c>
      <c r="I555" s="9">
        <v>0</v>
      </c>
      <c r="J555" s="8">
        <v>173.08</v>
      </c>
      <c r="K555" s="8">
        <v>36.49</v>
      </c>
      <c r="L555" t="s">
        <v>33</v>
      </c>
    </row>
    <row r="556" spans="1:12" x14ac:dyDescent="0.25">
      <c r="A556" t="s">
        <v>1050</v>
      </c>
      <c r="B556" s="6">
        <v>45733</v>
      </c>
      <c r="C556" t="s">
        <v>1051</v>
      </c>
      <c r="D556" t="s">
        <v>36</v>
      </c>
      <c r="E556" t="s">
        <v>856</v>
      </c>
      <c r="F556" t="s">
        <v>833</v>
      </c>
      <c r="G556" s="7">
        <v>3</v>
      </c>
      <c r="H556" s="8">
        <v>145.80000000000001</v>
      </c>
      <c r="I556" s="9">
        <v>15</v>
      </c>
      <c r="J556" s="8">
        <v>371.79</v>
      </c>
      <c r="K556" s="8">
        <v>37.26</v>
      </c>
      <c r="L556" t="s">
        <v>33</v>
      </c>
    </row>
    <row r="557" spans="1:12" x14ac:dyDescent="0.25">
      <c r="A557" t="s">
        <v>1052</v>
      </c>
      <c r="B557" s="6">
        <v>45950</v>
      </c>
      <c r="C557" t="s">
        <v>466</v>
      </c>
      <c r="D557" t="s">
        <v>20</v>
      </c>
      <c r="E557" t="s">
        <v>832</v>
      </c>
      <c r="F557" t="s">
        <v>833</v>
      </c>
      <c r="G557" s="7">
        <v>3</v>
      </c>
      <c r="H557" s="8">
        <v>125.39</v>
      </c>
      <c r="I557" s="9">
        <v>20</v>
      </c>
      <c r="J557" s="8">
        <v>300.94</v>
      </c>
      <c r="K557" s="8">
        <v>37.86</v>
      </c>
      <c r="L557" t="s">
        <v>33</v>
      </c>
    </row>
    <row r="558" spans="1:12" x14ac:dyDescent="0.25">
      <c r="A558" t="s">
        <v>1053</v>
      </c>
      <c r="B558" s="6">
        <v>45932</v>
      </c>
      <c r="C558" t="s">
        <v>852</v>
      </c>
      <c r="D558" t="s">
        <v>20</v>
      </c>
      <c r="E558" t="s">
        <v>860</v>
      </c>
      <c r="F558" t="s">
        <v>833</v>
      </c>
      <c r="G558" s="7">
        <v>2</v>
      </c>
      <c r="H558" s="8">
        <v>99.93</v>
      </c>
      <c r="I558" s="9">
        <v>10</v>
      </c>
      <c r="J558" s="8">
        <v>179.87</v>
      </c>
      <c r="K558" s="8">
        <v>39.340000000000003</v>
      </c>
      <c r="L558" t="s">
        <v>17</v>
      </c>
    </row>
    <row r="559" spans="1:12" x14ac:dyDescent="0.25">
      <c r="A559" t="s">
        <v>1054</v>
      </c>
      <c r="B559" s="6">
        <v>45817</v>
      </c>
      <c r="C559" t="s">
        <v>579</v>
      </c>
      <c r="D559" t="s">
        <v>31</v>
      </c>
      <c r="E559" t="s">
        <v>860</v>
      </c>
      <c r="F559" t="s">
        <v>833</v>
      </c>
      <c r="G559" s="7">
        <v>2</v>
      </c>
      <c r="H559" s="8">
        <v>141.15</v>
      </c>
      <c r="I559" s="9">
        <v>20</v>
      </c>
      <c r="J559" s="8">
        <v>225.84</v>
      </c>
      <c r="K559" s="8">
        <v>40.67</v>
      </c>
      <c r="L559" t="s">
        <v>33</v>
      </c>
    </row>
    <row r="560" spans="1:12" x14ac:dyDescent="0.25">
      <c r="A560" t="s">
        <v>1055</v>
      </c>
      <c r="B560" s="6">
        <v>45628</v>
      </c>
      <c r="C560" t="s">
        <v>1056</v>
      </c>
      <c r="D560" t="s">
        <v>36</v>
      </c>
      <c r="E560" t="s">
        <v>846</v>
      </c>
      <c r="F560" t="s">
        <v>833</v>
      </c>
      <c r="G560" s="7">
        <v>3</v>
      </c>
      <c r="H560" s="8">
        <v>138.55000000000001</v>
      </c>
      <c r="I560" s="9">
        <v>25</v>
      </c>
      <c r="J560" s="8">
        <v>311.74</v>
      </c>
      <c r="K560" s="8">
        <v>41.77</v>
      </c>
      <c r="L560" t="s">
        <v>17</v>
      </c>
    </row>
    <row r="561" spans="1:12" x14ac:dyDescent="0.25">
      <c r="A561" t="s">
        <v>1057</v>
      </c>
      <c r="B561" s="6">
        <v>46012</v>
      </c>
      <c r="C561" t="s">
        <v>1058</v>
      </c>
      <c r="D561" t="s">
        <v>31</v>
      </c>
      <c r="E561" t="s">
        <v>858</v>
      </c>
      <c r="F561" t="s">
        <v>833</v>
      </c>
      <c r="G561" s="7">
        <v>3</v>
      </c>
      <c r="H561" s="8">
        <v>72.19</v>
      </c>
      <c r="I561" s="9">
        <v>0</v>
      </c>
      <c r="J561" s="8">
        <v>216.57</v>
      </c>
      <c r="K561" s="8">
        <v>42.79</v>
      </c>
      <c r="L561" t="s">
        <v>48</v>
      </c>
    </row>
    <row r="562" spans="1:12" x14ac:dyDescent="0.25">
      <c r="A562" t="s">
        <v>1059</v>
      </c>
      <c r="B562" s="6">
        <v>46008</v>
      </c>
      <c r="C562" t="s">
        <v>977</v>
      </c>
      <c r="D562" t="s">
        <v>14</v>
      </c>
      <c r="E562" t="s">
        <v>860</v>
      </c>
      <c r="F562" t="s">
        <v>833</v>
      </c>
      <c r="G562" s="7">
        <v>2</v>
      </c>
      <c r="H562" s="8">
        <v>145.76</v>
      </c>
      <c r="I562" s="9">
        <v>10</v>
      </c>
      <c r="J562" s="8">
        <v>262.37</v>
      </c>
      <c r="K562" s="8">
        <v>43.52</v>
      </c>
      <c r="L562" t="s">
        <v>17</v>
      </c>
    </row>
    <row r="563" spans="1:12" x14ac:dyDescent="0.25">
      <c r="A563" t="s">
        <v>1060</v>
      </c>
      <c r="B563" s="6">
        <v>45414</v>
      </c>
      <c r="C563" t="s">
        <v>254</v>
      </c>
      <c r="D563" t="s">
        <v>24</v>
      </c>
      <c r="E563" t="s">
        <v>846</v>
      </c>
      <c r="F563" t="s">
        <v>833</v>
      </c>
      <c r="G563" s="7">
        <v>2</v>
      </c>
      <c r="H563" s="8">
        <v>145.56</v>
      </c>
      <c r="I563" s="9">
        <v>0</v>
      </c>
      <c r="J563" s="8">
        <v>291.12</v>
      </c>
      <c r="K563" s="8">
        <v>43.6</v>
      </c>
      <c r="L563" t="s">
        <v>17</v>
      </c>
    </row>
    <row r="564" spans="1:12" x14ac:dyDescent="0.25">
      <c r="A564" t="s">
        <v>1061</v>
      </c>
      <c r="B564" s="6">
        <v>45790</v>
      </c>
      <c r="C564" t="s">
        <v>1062</v>
      </c>
      <c r="D564" t="s">
        <v>20</v>
      </c>
      <c r="E564" t="s">
        <v>860</v>
      </c>
      <c r="F564" t="s">
        <v>833</v>
      </c>
      <c r="G564" s="7">
        <v>2</v>
      </c>
      <c r="H564" s="8">
        <v>125.79</v>
      </c>
      <c r="I564" s="9">
        <v>10</v>
      </c>
      <c r="J564" s="8">
        <v>226.42</v>
      </c>
      <c r="K564" s="8">
        <v>44.56</v>
      </c>
      <c r="L564" t="s">
        <v>33</v>
      </c>
    </row>
    <row r="565" spans="1:12" x14ac:dyDescent="0.25">
      <c r="A565" t="s">
        <v>1063</v>
      </c>
      <c r="B565" s="6">
        <v>45830</v>
      </c>
      <c r="C565" t="s">
        <v>1064</v>
      </c>
      <c r="D565" t="s">
        <v>20</v>
      </c>
      <c r="E565" t="s">
        <v>846</v>
      </c>
      <c r="F565" t="s">
        <v>833</v>
      </c>
      <c r="G565" s="7">
        <v>3</v>
      </c>
      <c r="H565" s="8">
        <v>94.51</v>
      </c>
      <c r="I565" s="9">
        <v>15</v>
      </c>
      <c r="J565" s="8">
        <v>241</v>
      </c>
      <c r="K565" s="8">
        <v>49.09</v>
      </c>
      <c r="L565" t="s">
        <v>33</v>
      </c>
    </row>
    <row r="566" spans="1:12" x14ac:dyDescent="0.25">
      <c r="A566" t="s">
        <v>1065</v>
      </c>
      <c r="B566" s="6">
        <v>45682</v>
      </c>
      <c r="C566" t="s">
        <v>233</v>
      </c>
      <c r="D566" t="s">
        <v>36</v>
      </c>
      <c r="E566" t="s">
        <v>843</v>
      </c>
      <c r="F566" t="s">
        <v>833</v>
      </c>
      <c r="G566" s="7">
        <v>2</v>
      </c>
      <c r="H566" s="8">
        <v>137.69</v>
      </c>
      <c r="I566" s="9">
        <v>5</v>
      </c>
      <c r="J566" s="8">
        <v>261.61</v>
      </c>
      <c r="K566" s="8">
        <v>50.26</v>
      </c>
      <c r="L566" t="s">
        <v>17</v>
      </c>
    </row>
    <row r="567" spans="1:12" x14ac:dyDescent="0.25">
      <c r="A567" t="s">
        <v>1066</v>
      </c>
      <c r="B567" s="6">
        <v>45414</v>
      </c>
      <c r="C567" t="s">
        <v>660</v>
      </c>
      <c r="D567" t="s">
        <v>24</v>
      </c>
      <c r="E567" t="s">
        <v>835</v>
      </c>
      <c r="F567" t="s">
        <v>833</v>
      </c>
      <c r="G567" s="7">
        <v>4</v>
      </c>
      <c r="H567" s="8">
        <v>118.28</v>
      </c>
      <c r="I567" s="9">
        <v>5</v>
      </c>
      <c r="J567" s="8">
        <v>449.46</v>
      </c>
      <c r="K567" s="8">
        <v>50.38</v>
      </c>
      <c r="L567" t="s">
        <v>17</v>
      </c>
    </row>
    <row r="568" spans="1:12" x14ac:dyDescent="0.25">
      <c r="A568" t="s">
        <v>1067</v>
      </c>
      <c r="B568" s="6">
        <v>45505</v>
      </c>
      <c r="C568" t="s">
        <v>126</v>
      </c>
      <c r="D568" t="s">
        <v>31</v>
      </c>
      <c r="E568" t="s">
        <v>860</v>
      </c>
      <c r="F568" t="s">
        <v>833</v>
      </c>
      <c r="G568" s="7">
        <v>2</v>
      </c>
      <c r="H568" s="8">
        <v>111.83</v>
      </c>
      <c r="I568" s="9">
        <v>5</v>
      </c>
      <c r="J568" s="8">
        <v>212.48</v>
      </c>
      <c r="K568" s="8">
        <v>51.18</v>
      </c>
      <c r="L568" t="s">
        <v>33</v>
      </c>
    </row>
    <row r="569" spans="1:12" x14ac:dyDescent="0.25">
      <c r="A569" t="s">
        <v>1068</v>
      </c>
      <c r="B569" s="6">
        <v>45499</v>
      </c>
      <c r="C569" t="s">
        <v>386</v>
      </c>
      <c r="D569" t="s">
        <v>14</v>
      </c>
      <c r="E569" t="s">
        <v>848</v>
      </c>
      <c r="F569" t="s">
        <v>833</v>
      </c>
      <c r="G569" s="7">
        <v>3</v>
      </c>
      <c r="H569" s="8">
        <v>129.13999999999999</v>
      </c>
      <c r="I569" s="9">
        <v>10</v>
      </c>
      <c r="J569" s="8">
        <v>348.68</v>
      </c>
      <c r="K569" s="8">
        <v>52.01</v>
      </c>
      <c r="L569" t="s">
        <v>33</v>
      </c>
    </row>
    <row r="570" spans="1:12" x14ac:dyDescent="0.25">
      <c r="A570" t="s">
        <v>1069</v>
      </c>
      <c r="B570" s="6">
        <v>45504</v>
      </c>
      <c r="C570" t="s">
        <v>1070</v>
      </c>
      <c r="D570" t="s">
        <v>24</v>
      </c>
      <c r="E570" t="s">
        <v>856</v>
      </c>
      <c r="F570" t="s">
        <v>833</v>
      </c>
      <c r="G570" s="7">
        <v>2</v>
      </c>
      <c r="H570" s="8">
        <v>135.74</v>
      </c>
      <c r="I570" s="9">
        <v>20</v>
      </c>
      <c r="J570" s="8">
        <v>217.18</v>
      </c>
      <c r="K570" s="8">
        <v>53.09</v>
      </c>
      <c r="L570" t="s">
        <v>33</v>
      </c>
    </row>
    <row r="571" spans="1:12" x14ac:dyDescent="0.25">
      <c r="A571" t="s">
        <v>1071</v>
      </c>
      <c r="B571" s="6">
        <v>45668</v>
      </c>
      <c r="C571" t="s">
        <v>1072</v>
      </c>
      <c r="D571" t="s">
        <v>14</v>
      </c>
      <c r="E571" t="s">
        <v>832</v>
      </c>
      <c r="F571" t="s">
        <v>833</v>
      </c>
      <c r="G571" s="7">
        <v>3</v>
      </c>
      <c r="H571" s="8">
        <v>81.849999999999994</v>
      </c>
      <c r="I571" s="9">
        <v>5</v>
      </c>
      <c r="J571" s="8">
        <v>233.27</v>
      </c>
      <c r="K571" s="8">
        <v>54.81</v>
      </c>
      <c r="L571" t="s">
        <v>33</v>
      </c>
    </row>
    <row r="572" spans="1:12" x14ac:dyDescent="0.25">
      <c r="A572" t="s">
        <v>1073</v>
      </c>
      <c r="B572" s="6">
        <v>45801</v>
      </c>
      <c r="C572" t="s">
        <v>220</v>
      </c>
      <c r="D572" t="s">
        <v>20</v>
      </c>
      <c r="E572" t="s">
        <v>840</v>
      </c>
      <c r="F572" t="s">
        <v>833</v>
      </c>
      <c r="G572" s="7">
        <v>4</v>
      </c>
      <c r="H572" s="8">
        <v>113.66</v>
      </c>
      <c r="I572" s="9">
        <v>15</v>
      </c>
      <c r="J572" s="8">
        <v>386.44</v>
      </c>
      <c r="K572" s="8">
        <v>57.13</v>
      </c>
      <c r="L572" t="s">
        <v>33</v>
      </c>
    </row>
    <row r="573" spans="1:12" x14ac:dyDescent="0.25">
      <c r="A573" t="s">
        <v>1074</v>
      </c>
      <c r="B573" s="6">
        <v>45640</v>
      </c>
      <c r="C573" t="s">
        <v>1075</v>
      </c>
      <c r="D573" t="s">
        <v>20</v>
      </c>
      <c r="E573" t="s">
        <v>858</v>
      </c>
      <c r="F573" t="s">
        <v>833</v>
      </c>
      <c r="G573" s="7">
        <v>3</v>
      </c>
      <c r="H573" s="8">
        <v>131.26</v>
      </c>
      <c r="I573" s="9">
        <v>0</v>
      </c>
      <c r="J573" s="8">
        <v>393.78</v>
      </c>
      <c r="K573" s="8">
        <v>57.16</v>
      </c>
      <c r="L573" t="s">
        <v>48</v>
      </c>
    </row>
    <row r="574" spans="1:12" x14ac:dyDescent="0.25">
      <c r="A574" t="s">
        <v>1076</v>
      </c>
      <c r="B574" s="6">
        <v>45401</v>
      </c>
      <c r="C574" t="s">
        <v>1077</v>
      </c>
      <c r="D574" t="s">
        <v>24</v>
      </c>
      <c r="E574" t="s">
        <v>858</v>
      </c>
      <c r="F574" t="s">
        <v>833</v>
      </c>
      <c r="G574" s="7">
        <v>3</v>
      </c>
      <c r="H574" s="8">
        <v>90.84</v>
      </c>
      <c r="I574" s="9">
        <v>0</v>
      </c>
      <c r="J574" s="8">
        <v>272.52</v>
      </c>
      <c r="K574" s="8">
        <v>58.75</v>
      </c>
      <c r="L574" t="s">
        <v>33</v>
      </c>
    </row>
    <row r="575" spans="1:12" x14ac:dyDescent="0.25">
      <c r="A575" t="s">
        <v>1078</v>
      </c>
      <c r="B575" s="6">
        <v>46005</v>
      </c>
      <c r="C575" t="s">
        <v>1079</v>
      </c>
      <c r="D575" t="s">
        <v>24</v>
      </c>
      <c r="E575" t="s">
        <v>832</v>
      </c>
      <c r="F575" t="s">
        <v>833</v>
      </c>
      <c r="G575" s="7">
        <v>4</v>
      </c>
      <c r="H575" s="8">
        <v>98.09</v>
      </c>
      <c r="I575" s="9">
        <v>5</v>
      </c>
      <c r="J575" s="8">
        <v>372.74</v>
      </c>
      <c r="K575" s="8">
        <v>60.42</v>
      </c>
      <c r="L575" t="s">
        <v>17</v>
      </c>
    </row>
    <row r="576" spans="1:12" x14ac:dyDescent="0.25">
      <c r="A576" t="s">
        <v>1080</v>
      </c>
      <c r="B576" s="6">
        <v>46015</v>
      </c>
      <c r="C576" t="s">
        <v>1081</v>
      </c>
      <c r="D576" t="s">
        <v>24</v>
      </c>
      <c r="E576" t="s">
        <v>858</v>
      </c>
      <c r="F576" t="s">
        <v>833</v>
      </c>
      <c r="G576" s="7">
        <v>4</v>
      </c>
      <c r="H576" s="8">
        <v>101.95</v>
      </c>
      <c r="I576" s="9">
        <v>5</v>
      </c>
      <c r="J576" s="8">
        <v>387.41</v>
      </c>
      <c r="K576" s="8">
        <v>60.64</v>
      </c>
      <c r="L576" t="s">
        <v>48</v>
      </c>
    </row>
    <row r="577" spans="1:12" x14ac:dyDescent="0.25">
      <c r="A577" t="s">
        <v>1082</v>
      </c>
      <c r="B577" s="6">
        <v>45854</v>
      </c>
      <c r="C577" t="s">
        <v>1083</v>
      </c>
      <c r="D577" t="s">
        <v>31</v>
      </c>
      <c r="E577" t="s">
        <v>832</v>
      </c>
      <c r="F577" t="s">
        <v>833</v>
      </c>
      <c r="G577" s="7">
        <v>5</v>
      </c>
      <c r="H577" s="8">
        <v>115.36</v>
      </c>
      <c r="I577" s="9">
        <v>20</v>
      </c>
      <c r="J577" s="8">
        <v>461.44</v>
      </c>
      <c r="K577" s="8">
        <v>62.12</v>
      </c>
      <c r="L577" t="s">
        <v>33</v>
      </c>
    </row>
    <row r="578" spans="1:12" x14ac:dyDescent="0.25">
      <c r="A578" t="s">
        <v>1084</v>
      </c>
      <c r="B578" s="6">
        <v>45971</v>
      </c>
      <c r="C578" t="s">
        <v>1085</v>
      </c>
      <c r="D578" t="s">
        <v>20</v>
      </c>
      <c r="E578" t="s">
        <v>843</v>
      </c>
      <c r="F578" t="s">
        <v>833</v>
      </c>
      <c r="G578" s="7">
        <v>4</v>
      </c>
      <c r="H578" s="8">
        <v>97.9</v>
      </c>
      <c r="I578" s="9">
        <v>15</v>
      </c>
      <c r="J578" s="8">
        <v>332.86</v>
      </c>
      <c r="K578" s="8">
        <v>62.16</v>
      </c>
      <c r="L578" t="s">
        <v>33</v>
      </c>
    </row>
    <row r="579" spans="1:12" x14ac:dyDescent="0.25">
      <c r="A579" t="s">
        <v>1086</v>
      </c>
      <c r="B579" s="6">
        <v>45300</v>
      </c>
      <c r="C579" t="s">
        <v>1087</v>
      </c>
      <c r="D579" t="s">
        <v>24</v>
      </c>
      <c r="E579" t="s">
        <v>840</v>
      </c>
      <c r="F579" t="s">
        <v>833</v>
      </c>
      <c r="G579" s="7">
        <v>2</v>
      </c>
      <c r="H579" s="8">
        <v>133.88999999999999</v>
      </c>
      <c r="I579" s="9">
        <v>5</v>
      </c>
      <c r="J579" s="8">
        <v>254.39</v>
      </c>
      <c r="K579" s="8">
        <v>62.66</v>
      </c>
      <c r="L579" t="s">
        <v>33</v>
      </c>
    </row>
    <row r="580" spans="1:12" x14ac:dyDescent="0.25">
      <c r="A580" t="s">
        <v>1088</v>
      </c>
      <c r="B580" s="6">
        <v>45957</v>
      </c>
      <c r="C580" t="s">
        <v>160</v>
      </c>
      <c r="D580" t="s">
        <v>20</v>
      </c>
      <c r="E580" t="s">
        <v>860</v>
      </c>
      <c r="F580" t="s">
        <v>833</v>
      </c>
      <c r="G580" s="7">
        <v>4</v>
      </c>
      <c r="H580" s="8">
        <v>136.08000000000001</v>
      </c>
      <c r="I580" s="9">
        <v>0</v>
      </c>
      <c r="J580" s="8">
        <v>544.32000000000005</v>
      </c>
      <c r="K580" s="8">
        <v>64.180000000000007</v>
      </c>
      <c r="L580" t="s">
        <v>17</v>
      </c>
    </row>
    <row r="581" spans="1:12" x14ac:dyDescent="0.25">
      <c r="A581" t="s">
        <v>1089</v>
      </c>
      <c r="B581" s="6">
        <v>45911</v>
      </c>
      <c r="C581" t="s">
        <v>1090</v>
      </c>
      <c r="D581" t="s">
        <v>20</v>
      </c>
      <c r="E581" t="s">
        <v>848</v>
      </c>
      <c r="F581" t="s">
        <v>833</v>
      </c>
      <c r="G581" s="7">
        <v>4</v>
      </c>
      <c r="H581" s="8">
        <v>95.05</v>
      </c>
      <c r="I581" s="9">
        <v>5</v>
      </c>
      <c r="J581" s="8">
        <v>361.19</v>
      </c>
      <c r="K581" s="8">
        <v>65.7</v>
      </c>
      <c r="L581" t="s">
        <v>17</v>
      </c>
    </row>
    <row r="582" spans="1:12" x14ac:dyDescent="0.25">
      <c r="A582" t="s">
        <v>1091</v>
      </c>
      <c r="B582" s="6">
        <v>45964</v>
      </c>
      <c r="C582" t="s">
        <v>614</v>
      </c>
      <c r="D582" t="s">
        <v>36</v>
      </c>
      <c r="E582" t="s">
        <v>843</v>
      </c>
      <c r="F582" t="s">
        <v>833</v>
      </c>
      <c r="G582" s="7">
        <v>3</v>
      </c>
      <c r="H582" s="8">
        <v>110.46</v>
      </c>
      <c r="I582" s="9">
        <v>0</v>
      </c>
      <c r="J582" s="8">
        <v>331.38</v>
      </c>
      <c r="K582" s="8">
        <v>65.77</v>
      </c>
      <c r="L582" t="s">
        <v>33</v>
      </c>
    </row>
    <row r="583" spans="1:12" x14ac:dyDescent="0.25">
      <c r="A583" t="s">
        <v>1092</v>
      </c>
      <c r="B583" s="6">
        <v>45605</v>
      </c>
      <c r="C583" t="s">
        <v>1093</v>
      </c>
      <c r="D583" t="s">
        <v>36</v>
      </c>
      <c r="E583" t="s">
        <v>832</v>
      </c>
      <c r="F583" t="s">
        <v>833</v>
      </c>
      <c r="G583" s="7">
        <v>4</v>
      </c>
      <c r="H583" s="8">
        <v>83.12</v>
      </c>
      <c r="I583" s="9">
        <v>10</v>
      </c>
      <c r="J583" s="8">
        <v>299.23</v>
      </c>
      <c r="K583" s="8">
        <v>67.69</v>
      </c>
      <c r="L583" t="s">
        <v>17</v>
      </c>
    </row>
    <row r="584" spans="1:12" x14ac:dyDescent="0.25">
      <c r="A584" t="s">
        <v>1094</v>
      </c>
      <c r="B584" s="6">
        <v>45771</v>
      </c>
      <c r="C584" t="s">
        <v>1095</v>
      </c>
      <c r="D584" t="s">
        <v>36</v>
      </c>
      <c r="E584" t="s">
        <v>843</v>
      </c>
      <c r="F584" t="s">
        <v>833</v>
      </c>
      <c r="G584" s="7">
        <v>5</v>
      </c>
      <c r="H584" s="8">
        <v>88.62</v>
      </c>
      <c r="I584" s="9">
        <v>5</v>
      </c>
      <c r="J584" s="8">
        <v>420.95</v>
      </c>
      <c r="K584" s="8">
        <v>73.680000000000007</v>
      </c>
      <c r="L584" t="s">
        <v>17</v>
      </c>
    </row>
    <row r="585" spans="1:12" x14ac:dyDescent="0.25">
      <c r="A585" t="s">
        <v>1096</v>
      </c>
      <c r="B585" s="6">
        <v>45874</v>
      </c>
      <c r="C585" t="s">
        <v>1097</v>
      </c>
      <c r="D585" t="s">
        <v>24</v>
      </c>
      <c r="E585" t="s">
        <v>837</v>
      </c>
      <c r="F585" t="s">
        <v>833</v>
      </c>
      <c r="G585" s="7">
        <v>4</v>
      </c>
      <c r="H585" s="8">
        <v>95.37</v>
      </c>
      <c r="I585" s="9">
        <v>20</v>
      </c>
      <c r="J585" s="8">
        <v>305.18</v>
      </c>
      <c r="K585" s="8">
        <v>74.25</v>
      </c>
      <c r="L585" t="s">
        <v>17</v>
      </c>
    </row>
    <row r="586" spans="1:12" x14ac:dyDescent="0.25">
      <c r="A586" t="s">
        <v>1098</v>
      </c>
      <c r="B586" s="6">
        <v>45602</v>
      </c>
      <c r="C586" t="s">
        <v>1099</v>
      </c>
      <c r="D586" t="s">
        <v>20</v>
      </c>
      <c r="E586" t="s">
        <v>840</v>
      </c>
      <c r="F586" t="s">
        <v>833</v>
      </c>
      <c r="G586" s="7">
        <v>5</v>
      </c>
      <c r="H586" s="8">
        <v>123.95</v>
      </c>
      <c r="I586" s="9">
        <v>0</v>
      </c>
      <c r="J586" s="8">
        <v>619.75</v>
      </c>
      <c r="K586" s="8">
        <v>90.31</v>
      </c>
      <c r="L586" t="s">
        <v>33</v>
      </c>
    </row>
    <row r="587" spans="1:12" x14ac:dyDescent="0.25">
      <c r="A587" t="s">
        <v>1100</v>
      </c>
      <c r="B587" s="6">
        <v>45925</v>
      </c>
      <c r="C587" t="s">
        <v>1101</v>
      </c>
      <c r="D587" t="s">
        <v>31</v>
      </c>
      <c r="E587" t="s">
        <v>848</v>
      </c>
      <c r="F587" t="s">
        <v>833</v>
      </c>
      <c r="G587" s="7">
        <v>3</v>
      </c>
      <c r="H587" s="8">
        <v>147.49</v>
      </c>
      <c r="I587" s="9">
        <v>15</v>
      </c>
      <c r="J587" s="8">
        <v>376.1</v>
      </c>
      <c r="K587" s="8">
        <v>93.84</v>
      </c>
      <c r="L587" t="s">
        <v>17</v>
      </c>
    </row>
    <row r="588" spans="1:12" x14ac:dyDescent="0.25">
      <c r="A588" t="s">
        <v>1102</v>
      </c>
      <c r="B588" s="6">
        <v>45658</v>
      </c>
      <c r="C588" t="s">
        <v>1103</v>
      </c>
      <c r="D588" t="s">
        <v>14</v>
      </c>
      <c r="E588" t="s">
        <v>858</v>
      </c>
      <c r="F588" t="s">
        <v>833</v>
      </c>
      <c r="G588" s="7">
        <v>4</v>
      </c>
      <c r="H588" s="8">
        <v>109.81</v>
      </c>
      <c r="I588" s="9">
        <v>0</v>
      </c>
      <c r="J588" s="8">
        <v>439.24</v>
      </c>
      <c r="K588" s="8">
        <v>94.96</v>
      </c>
      <c r="L588" t="s">
        <v>33</v>
      </c>
    </row>
    <row r="589" spans="1:12" x14ac:dyDescent="0.25">
      <c r="A589" t="s">
        <v>1104</v>
      </c>
      <c r="B589" s="6">
        <v>46008</v>
      </c>
      <c r="C589" t="s">
        <v>323</v>
      </c>
      <c r="D589" t="s">
        <v>36</v>
      </c>
      <c r="E589" t="s">
        <v>856</v>
      </c>
      <c r="F589" t="s">
        <v>833</v>
      </c>
      <c r="G589" s="7">
        <v>3</v>
      </c>
      <c r="H589" s="8">
        <v>149.78</v>
      </c>
      <c r="I589" s="9">
        <v>0</v>
      </c>
      <c r="J589" s="8">
        <v>449.34</v>
      </c>
      <c r="K589" s="8">
        <v>95.69</v>
      </c>
      <c r="L589" t="s">
        <v>33</v>
      </c>
    </row>
    <row r="590" spans="1:12" x14ac:dyDescent="0.25">
      <c r="A590" t="s">
        <v>1105</v>
      </c>
      <c r="B590" s="6">
        <v>45459</v>
      </c>
      <c r="C590" t="s">
        <v>1106</v>
      </c>
      <c r="D590" t="s">
        <v>36</v>
      </c>
      <c r="E590" t="s">
        <v>858</v>
      </c>
      <c r="F590" t="s">
        <v>833</v>
      </c>
      <c r="G590" s="7">
        <v>4</v>
      </c>
      <c r="H590" s="8">
        <v>135.07</v>
      </c>
      <c r="I590" s="9">
        <v>5</v>
      </c>
      <c r="J590" s="8">
        <v>513.27</v>
      </c>
      <c r="K590" s="8">
        <v>108.92</v>
      </c>
      <c r="L590" t="s">
        <v>17</v>
      </c>
    </row>
    <row r="591" spans="1:12" x14ac:dyDescent="0.25">
      <c r="A591" t="s">
        <v>1107</v>
      </c>
      <c r="B591" s="6">
        <v>45956</v>
      </c>
      <c r="C591" t="s">
        <v>587</v>
      </c>
      <c r="D591" t="s">
        <v>14</v>
      </c>
      <c r="E591" t="s">
        <v>860</v>
      </c>
      <c r="F591" t="s">
        <v>833</v>
      </c>
      <c r="G591" s="7">
        <v>4</v>
      </c>
      <c r="H591" s="8">
        <v>136.4</v>
      </c>
      <c r="I591" s="9">
        <v>0</v>
      </c>
      <c r="J591" s="8">
        <v>545.6</v>
      </c>
      <c r="K591" s="8">
        <v>115.45</v>
      </c>
      <c r="L591" t="s">
        <v>17</v>
      </c>
    </row>
    <row r="592" spans="1:12" x14ac:dyDescent="0.25">
      <c r="A592" t="s">
        <v>1108</v>
      </c>
      <c r="B592" s="6">
        <v>45510</v>
      </c>
      <c r="C592" t="s">
        <v>1109</v>
      </c>
      <c r="D592" t="s">
        <v>24</v>
      </c>
      <c r="E592" t="s">
        <v>846</v>
      </c>
      <c r="F592" t="s">
        <v>833</v>
      </c>
      <c r="G592" s="7">
        <v>4</v>
      </c>
      <c r="H592" s="8">
        <v>135.02000000000001</v>
      </c>
      <c r="I592" s="9">
        <v>5</v>
      </c>
      <c r="J592" s="8">
        <v>513.08000000000004</v>
      </c>
      <c r="K592" s="8">
        <v>117.74</v>
      </c>
      <c r="L592" t="s">
        <v>48</v>
      </c>
    </row>
    <row r="593" spans="1:12" x14ac:dyDescent="0.25">
      <c r="A593" t="s">
        <v>1110</v>
      </c>
      <c r="B593" s="6">
        <v>45941</v>
      </c>
      <c r="C593" t="s">
        <v>1097</v>
      </c>
      <c r="D593" t="s">
        <v>14</v>
      </c>
      <c r="E593" t="s">
        <v>1111</v>
      </c>
      <c r="F593" t="s">
        <v>1112</v>
      </c>
      <c r="G593" s="7">
        <v>1</v>
      </c>
      <c r="H593" s="8">
        <v>10.18</v>
      </c>
      <c r="I593" s="9">
        <v>0</v>
      </c>
      <c r="J593" s="8">
        <v>10.18</v>
      </c>
      <c r="K593" s="8">
        <v>2.3199999999999998</v>
      </c>
      <c r="L593" t="s">
        <v>33</v>
      </c>
    </row>
    <row r="594" spans="1:12" x14ac:dyDescent="0.25">
      <c r="A594" t="s">
        <v>1113</v>
      </c>
      <c r="B594" s="6">
        <v>45340</v>
      </c>
      <c r="C594" t="s">
        <v>911</v>
      </c>
      <c r="D594" t="s">
        <v>36</v>
      </c>
      <c r="E594" t="s">
        <v>1114</v>
      </c>
      <c r="F594" t="s">
        <v>1112</v>
      </c>
      <c r="G594" s="7">
        <v>1</v>
      </c>
      <c r="H594" s="8">
        <v>11.18</v>
      </c>
      <c r="I594" s="9">
        <v>5</v>
      </c>
      <c r="J594" s="8">
        <v>10.62</v>
      </c>
      <c r="K594" s="8">
        <v>2.8</v>
      </c>
      <c r="L594" t="s">
        <v>33</v>
      </c>
    </row>
    <row r="595" spans="1:12" x14ac:dyDescent="0.25">
      <c r="A595" t="s">
        <v>1115</v>
      </c>
      <c r="B595" s="6">
        <v>45849</v>
      </c>
      <c r="C595" t="s">
        <v>1116</v>
      </c>
      <c r="D595" t="s">
        <v>20</v>
      </c>
      <c r="E595" t="s">
        <v>1117</v>
      </c>
      <c r="F595" t="s">
        <v>1112</v>
      </c>
      <c r="G595" s="7">
        <v>1</v>
      </c>
      <c r="H595" s="8">
        <v>16.28</v>
      </c>
      <c r="I595" s="9">
        <v>20</v>
      </c>
      <c r="J595" s="8">
        <v>13.02</v>
      </c>
      <c r="K595" s="8">
        <v>3.21</v>
      </c>
      <c r="L595" t="s">
        <v>17</v>
      </c>
    </row>
    <row r="596" spans="1:12" x14ac:dyDescent="0.25">
      <c r="A596" t="s">
        <v>1118</v>
      </c>
      <c r="B596" s="6">
        <v>45725</v>
      </c>
      <c r="C596" t="s">
        <v>1119</v>
      </c>
      <c r="D596" t="s">
        <v>24</v>
      </c>
      <c r="E596" t="s">
        <v>1120</v>
      </c>
      <c r="F596" t="s">
        <v>1112</v>
      </c>
      <c r="G596" s="7">
        <v>1</v>
      </c>
      <c r="H596" s="8">
        <v>12.14</v>
      </c>
      <c r="I596" s="9">
        <v>15</v>
      </c>
      <c r="J596" s="8">
        <v>10.32</v>
      </c>
      <c r="K596" s="8">
        <v>3.32</v>
      </c>
      <c r="L596" t="s">
        <v>17</v>
      </c>
    </row>
    <row r="597" spans="1:12" x14ac:dyDescent="0.25">
      <c r="A597" t="s">
        <v>1121</v>
      </c>
      <c r="B597" s="6">
        <v>45976</v>
      </c>
      <c r="C597" t="s">
        <v>1122</v>
      </c>
      <c r="D597" t="s">
        <v>24</v>
      </c>
      <c r="E597" t="s">
        <v>1120</v>
      </c>
      <c r="F597" t="s">
        <v>1112</v>
      </c>
      <c r="G597" s="7">
        <v>1</v>
      </c>
      <c r="H597" s="8">
        <v>18.829999999999998</v>
      </c>
      <c r="I597" s="9">
        <v>15</v>
      </c>
      <c r="J597" s="8">
        <v>16.010000000000002</v>
      </c>
      <c r="K597" s="8">
        <v>3.32</v>
      </c>
      <c r="L597" t="s">
        <v>17</v>
      </c>
    </row>
    <row r="598" spans="1:12" x14ac:dyDescent="0.25">
      <c r="A598" t="s">
        <v>1123</v>
      </c>
      <c r="B598" s="6">
        <v>45643</v>
      </c>
      <c r="C598" t="s">
        <v>776</v>
      </c>
      <c r="D598" t="s">
        <v>36</v>
      </c>
      <c r="E598" t="s">
        <v>1124</v>
      </c>
      <c r="F598" t="s">
        <v>1112</v>
      </c>
      <c r="G598" s="7">
        <v>1</v>
      </c>
      <c r="H598" s="8">
        <v>17.149999999999999</v>
      </c>
      <c r="I598" s="9">
        <v>15</v>
      </c>
      <c r="J598" s="8">
        <v>14.58</v>
      </c>
      <c r="K598" s="8">
        <v>3.45</v>
      </c>
      <c r="L598" t="s">
        <v>17</v>
      </c>
    </row>
    <row r="599" spans="1:12" x14ac:dyDescent="0.25">
      <c r="A599" t="s">
        <v>1125</v>
      </c>
      <c r="B599" s="6">
        <v>45977</v>
      </c>
      <c r="C599" t="s">
        <v>1126</v>
      </c>
      <c r="D599" t="s">
        <v>14</v>
      </c>
      <c r="E599" t="s">
        <v>1124</v>
      </c>
      <c r="F599" t="s">
        <v>1112</v>
      </c>
      <c r="G599" s="7">
        <v>1</v>
      </c>
      <c r="H599" s="8">
        <v>12.26</v>
      </c>
      <c r="I599" s="9">
        <v>20</v>
      </c>
      <c r="J599" s="8">
        <v>9.81</v>
      </c>
      <c r="K599" s="8">
        <v>3.54</v>
      </c>
      <c r="L599" t="s">
        <v>33</v>
      </c>
    </row>
    <row r="600" spans="1:12" x14ac:dyDescent="0.25">
      <c r="A600" t="s">
        <v>1127</v>
      </c>
      <c r="B600" s="6">
        <v>46007</v>
      </c>
      <c r="C600" t="s">
        <v>1122</v>
      </c>
      <c r="D600" t="s">
        <v>36</v>
      </c>
      <c r="E600" t="s">
        <v>1128</v>
      </c>
      <c r="F600" t="s">
        <v>1112</v>
      </c>
      <c r="G600" s="7">
        <v>1</v>
      </c>
      <c r="H600" s="8">
        <v>19.309999999999999</v>
      </c>
      <c r="I600" s="9">
        <v>25</v>
      </c>
      <c r="J600" s="8">
        <v>14.48</v>
      </c>
      <c r="K600" s="8">
        <v>4.08</v>
      </c>
      <c r="L600" t="s">
        <v>33</v>
      </c>
    </row>
    <row r="601" spans="1:12" x14ac:dyDescent="0.25">
      <c r="A601" t="s">
        <v>1129</v>
      </c>
      <c r="B601" s="6">
        <v>45422</v>
      </c>
      <c r="C601" t="s">
        <v>1130</v>
      </c>
      <c r="D601" t="s">
        <v>20</v>
      </c>
      <c r="E601" t="s">
        <v>1117</v>
      </c>
      <c r="F601" t="s">
        <v>1112</v>
      </c>
      <c r="G601" s="7">
        <v>1</v>
      </c>
      <c r="H601" s="8">
        <v>21.57</v>
      </c>
      <c r="I601" s="9">
        <v>10</v>
      </c>
      <c r="J601" s="8">
        <v>19.41</v>
      </c>
      <c r="K601" s="8">
        <v>4.3499999999999996</v>
      </c>
      <c r="L601" t="s">
        <v>17</v>
      </c>
    </row>
    <row r="602" spans="1:12" x14ac:dyDescent="0.25">
      <c r="A602" t="s">
        <v>1131</v>
      </c>
      <c r="B602" s="6">
        <v>45487</v>
      </c>
      <c r="C602" t="s">
        <v>1085</v>
      </c>
      <c r="D602" t="s">
        <v>14</v>
      </c>
      <c r="E602" t="s">
        <v>1132</v>
      </c>
      <c r="F602" t="s">
        <v>1112</v>
      </c>
      <c r="G602" s="7">
        <v>1</v>
      </c>
      <c r="H602" s="8">
        <v>15.51</v>
      </c>
      <c r="I602" s="9">
        <v>20</v>
      </c>
      <c r="J602" s="8">
        <v>12.41</v>
      </c>
      <c r="K602" s="8">
        <v>4.79</v>
      </c>
      <c r="L602" t="s">
        <v>48</v>
      </c>
    </row>
    <row r="603" spans="1:12" x14ac:dyDescent="0.25">
      <c r="A603" t="s">
        <v>1133</v>
      </c>
      <c r="B603" s="6">
        <v>45549</v>
      </c>
      <c r="C603" t="s">
        <v>950</v>
      </c>
      <c r="D603" t="s">
        <v>36</v>
      </c>
      <c r="E603" t="s">
        <v>1134</v>
      </c>
      <c r="F603" t="s">
        <v>1112</v>
      </c>
      <c r="G603" s="7">
        <v>1</v>
      </c>
      <c r="H603" s="8">
        <v>26.83</v>
      </c>
      <c r="I603" s="9">
        <v>10</v>
      </c>
      <c r="J603" s="8">
        <v>24.15</v>
      </c>
      <c r="K603" s="8">
        <v>4.9800000000000004</v>
      </c>
      <c r="L603" t="s">
        <v>17</v>
      </c>
    </row>
    <row r="604" spans="1:12" x14ac:dyDescent="0.25">
      <c r="A604" t="s">
        <v>1135</v>
      </c>
      <c r="B604" s="6">
        <v>45401</v>
      </c>
      <c r="C604" t="s">
        <v>1136</v>
      </c>
      <c r="D604" t="s">
        <v>14</v>
      </c>
      <c r="E604" t="s">
        <v>1134</v>
      </c>
      <c r="F604" t="s">
        <v>1112</v>
      </c>
      <c r="G604" s="7">
        <v>1</v>
      </c>
      <c r="H604" s="8">
        <v>15.21</v>
      </c>
      <c r="I604" s="9">
        <v>10</v>
      </c>
      <c r="J604" s="8">
        <v>13.69</v>
      </c>
      <c r="K604" s="8">
        <v>5.17</v>
      </c>
      <c r="L604" t="s">
        <v>17</v>
      </c>
    </row>
    <row r="605" spans="1:12" x14ac:dyDescent="0.25">
      <c r="A605" t="s">
        <v>1137</v>
      </c>
      <c r="B605" s="6">
        <v>45361</v>
      </c>
      <c r="C605" t="s">
        <v>274</v>
      </c>
      <c r="D605" t="s">
        <v>31</v>
      </c>
      <c r="E605" t="s">
        <v>1114</v>
      </c>
      <c r="F605" t="s">
        <v>1112</v>
      </c>
      <c r="G605" s="7">
        <v>1</v>
      </c>
      <c r="H605" s="8">
        <v>15.84</v>
      </c>
      <c r="I605" s="9">
        <v>0</v>
      </c>
      <c r="J605" s="8">
        <v>15.84</v>
      </c>
      <c r="K605" s="8">
        <v>5.61</v>
      </c>
      <c r="L605" t="s">
        <v>33</v>
      </c>
    </row>
    <row r="606" spans="1:12" x14ac:dyDescent="0.25">
      <c r="A606" t="s">
        <v>1138</v>
      </c>
      <c r="B606" s="6">
        <v>45931</v>
      </c>
      <c r="C606" t="s">
        <v>1139</v>
      </c>
      <c r="D606" t="s">
        <v>14</v>
      </c>
      <c r="E606" t="s">
        <v>1120</v>
      </c>
      <c r="F606" t="s">
        <v>1112</v>
      </c>
      <c r="G606" s="7">
        <v>1</v>
      </c>
      <c r="H606" s="8">
        <v>15.82</v>
      </c>
      <c r="I606" s="9">
        <v>5</v>
      </c>
      <c r="J606" s="8">
        <v>15.03</v>
      </c>
      <c r="K606" s="8">
        <v>5.71</v>
      </c>
      <c r="L606" t="s">
        <v>33</v>
      </c>
    </row>
    <row r="607" spans="1:12" x14ac:dyDescent="0.25">
      <c r="A607" t="s">
        <v>1140</v>
      </c>
      <c r="B607" s="6">
        <v>45699</v>
      </c>
      <c r="C607" t="s">
        <v>705</v>
      </c>
      <c r="D607" t="s">
        <v>24</v>
      </c>
      <c r="E607" t="s">
        <v>1134</v>
      </c>
      <c r="F607" t="s">
        <v>1112</v>
      </c>
      <c r="G607" s="7">
        <v>1</v>
      </c>
      <c r="H607" s="8">
        <v>21.18</v>
      </c>
      <c r="I607" s="9">
        <v>25</v>
      </c>
      <c r="J607" s="8">
        <v>15.89</v>
      </c>
      <c r="K607" s="8">
        <v>6.01</v>
      </c>
      <c r="L607" t="s">
        <v>17</v>
      </c>
    </row>
    <row r="608" spans="1:12" x14ac:dyDescent="0.25">
      <c r="A608" t="s">
        <v>1141</v>
      </c>
      <c r="B608" s="6">
        <v>45943</v>
      </c>
      <c r="C608" t="s">
        <v>1142</v>
      </c>
      <c r="D608" t="s">
        <v>20</v>
      </c>
      <c r="E608" t="s">
        <v>1114</v>
      </c>
      <c r="F608" t="s">
        <v>1112</v>
      </c>
      <c r="G608" s="7">
        <v>1</v>
      </c>
      <c r="H608" s="8">
        <v>16.079999999999998</v>
      </c>
      <c r="I608" s="9">
        <v>0</v>
      </c>
      <c r="J608" s="8">
        <v>16.079999999999998</v>
      </c>
      <c r="K608" s="8">
        <v>6.21</v>
      </c>
      <c r="L608" t="s">
        <v>33</v>
      </c>
    </row>
    <row r="609" spans="1:12" x14ac:dyDescent="0.25">
      <c r="A609" t="s">
        <v>1143</v>
      </c>
      <c r="B609" s="6">
        <v>45422</v>
      </c>
      <c r="C609" t="s">
        <v>671</v>
      </c>
      <c r="D609" t="s">
        <v>24</v>
      </c>
      <c r="E609" t="s">
        <v>1124</v>
      </c>
      <c r="F609" t="s">
        <v>1112</v>
      </c>
      <c r="G609" s="7">
        <v>2</v>
      </c>
      <c r="H609" s="8">
        <v>18.32</v>
      </c>
      <c r="I609" s="9">
        <v>25</v>
      </c>
      <c r="J609" s="8">
        <v>27.48</v>
      </c>
      <c r="K609" s="8">
        <v>6.24</v>
      </c>
      <c r="L609" t="s">
        <v>17</v>
      </c>
    </row>
    <row r="610" spans="1:12" x14ac:dyDescent="0.25">
      <c r="A610" t="s">
        <v>1144</v>
      </c>
      <c r="B610" s="6">
        <v>45802</v>
      </c>
      <c r="C610" t="s">
        <v>1145</v>
      </c>
      <c r="D610" t="s">
        <v>24</v>
      </c>
      <c r="E610" t="s">
        <v>1124</v>
      </c>
      <c r="F610" t="s">
        <v>1112</v>
      </c>
      <c r="G610" s="7">
        <v>1</v>
      </c>
      <c r="H610" s="8">
        <v>33.56</v>
      </c>
      <c r="I610" s="9">
        <v>25</v>
      </c>
      <c r="J610" s="8">
        <v>25.17</v>
      </c>
      <c r="K610" s="8">
        <v>6.48</v>
      </c>
      <c r="L610" t="s">
        <v>33</v>
      </c>
    </row>
    <row r="611" spans="1:12" x14ac:dyDescent="0.25">
      <c r="A611" t="s">
        <v>1146</v>
      </c>
      <c r="B611" s="6">
        <v>45945</v>
      </c>
      <c r="C611" t="s">
        <v>1099</v>
      </c>
      <c r="D611" t="s">
        <v>14</v>
      </c>
      <c r="E611" t="s">
        <v>1120</v>
      </c>
      <c r="F611" t="s">
        <v>1112</v>
      </c>
      <c r="G611" s="7">
        <v>1</v>
      </c>
      <c r="H611" s="8">
        <v>22.22</v>
      </c>
      <c r="I611" s="9">
        <v>0</v>
      </c>
      <c r="J611" s="8">
        <v>22.22</v>
      </c>
      <c r="K611" s="8">
        <v>6.56</v>
      </c>
      <c r="L611" t="s">
        <v>17</v>
      </c>
    </row>
    <row r="612" spans="1:12" x14ac:dyDescent="0.25">
      <c r="A612" t="s">
        <v>1147</v>
      </c>
      <c r="B612" s="6">
        <v>45727</v>
      </c>
      <c r="C612" t="s">
        <v>1148</v>
      </c>
      <c r="D612" t="s">
        <v>14</v>
      </c>
      <c r="E612" t="s">
        <v>1114</v>
      </c>
      <c r="F612" t="s">
        <v>1112</v>
      </c>
      <c r="G612" s="7">
        <v>2</v>
      </c>
      <c r="H612" s="8">
        <v>16.329999999999998</v>
      </c>
      <c r="I612" s="9">
        <v>10</v>
      </c>
      <c r="J612" s="8">
        <v>29.39</v>
      </c>
      <c r="K612" s="8">
        <v>6.57</v>
      </c>
      <c r="L612" t="s">
        <v>33</v>
      </c>
    </row>
    <row r="613" spans="1:12" x14ac:dyDescent="0.25">
      <c r="A613" t="s">
        <v>1149</v>
      </c>
      <c r="B613" s="6">
        <v>45341</v>
      </c>
      <c r="C613" t="s">
        <v>478</v>
      </c>
      <c r="D613" t="s">
        <v>14</v>
      </c>
      <c r="E613" t="s">
        <v>1111</v>
      </c>
      <c r="F613" t="s">
        <v>1112</v>
      </c>
      <c r="G613" s="7">
        <v>1</v>
      </c>
      <c r="H613" s="8">
        <v>30.83</v>
      </c>
      <c r="I613" s="9">
        <v>10</v>
      </c>
      <c r="J613" s="8">
        <v>27.75</v>
      </c>
      <c r="K613" s="8">
        <v>6.76</v>
      </c>
      <c r="L613" t="s">
        <v>33</v>
      </c>
    </row>
    <row r="614" spans="1:12" x14ac:dyDescent="0.25">
      <c r="A614" t="s">
        <v>1150</v>
      </c>
      <c r="B614" s="6">
        <v>45645</v>
      </c>
      <c r="C614" t="s">
        <v>990</v>
      </c>
      <c r="D614" t="s">
        <v>36</v>
      </c>
      <c r="E614" t="s">
        <v>1132</v>
      </c>
      <c r="F614" t="s">
        <v>1112</v>
      </c>
      <c r="G614" s="7">
        <v>2</v>
      </c>
      <c r="H614" s="8">
        <v>15.53</v>
      </c>
      <c r="I614" s="9">
        <v>25</v>
      </c>
      <c r="J614" s="8">
        <v>23.3</v>
      </c>
      <c r="K614" s="8">
        <v>6.91</v>
      </c>
      <c r="L614" t="s">
        <v>33</v>
      </c>
    </row>
    <row r="615" spans="1:12" x14ac:dyDescent="0.25">
      <c r="A615" t="s">
        <v>1151</v>
      </c>
      <c r="B615" s="6">
        <v>45838</v>
      </c>
      <c r="C615" t="s">
        <v>1152</v>
      </c>
      <c r="D615" t="s">
        <v>31</v>
      </c>
      <c r="E615" t="s">
        <v>1124</v>
      </c>
      <c r="F615" t="s">
        <v>1112</v>
      </c>
      <c r="G615" s="7">
        <v>2</v>
      </c>
      <c r="H615" s="8">
        <v>14.11</v>
      </c>
      <c r="I615" s="9">
        <v>10</v>
      </c>
      <c r="J615" s="8">
        <v>25.4</v>
      </c>
      <c r="K615" s="8">
        <v>7.45</v>
      </c>
      <c r="L615" t="s">
        <v>17</v>
      </c>
    </row>
    <row r="616" spans="1:12" x14ac:dyDescent="0.25">
      <c r="A616" t="s">
        <v>1153</v>
      </c>
      <c r="B616" s="6">
        <v>45594</v>
      </c>
      <c r="C616" t="s">
        <v>382</v>
      </c>
      <c r="D616" t="s">
        <v>14</v>
      </c>
      <c r="E616" t="s">
        <v>1134</v>
      </c>
      <c r="F616" t="s">
        <v>1112</v>
      </c>
      <c r="G616" s="7">
        <v>1</v>
      </c>
      <c r="H616" s="8">
        <v>34.04</v>
      </c>
      <c r="I616" s="9">
        <v>0</v>
      </c>
      <c r="J616" s="8">
        <v>34.04</v>
      </c>
      <c r="K616" s="8">
        <v>7.49</v>
      </c>
      <c r="L616" t="s">
        <v>33</v>
      </c>
    </row>
    <row r="617" spans="1:12" x14ac:dyDescent="0.25">
      <c r="A617" t="s">
        <v>1154</v>
      </c>
      <c r="B617" s="6">
        <v>45972</v>
      </c>
      <c r="C617" t="s">
        <v>206</v>
      </c>
      <c r="D617" t="s">
        <v>14</v>
      </c>
      <c r="E617" t="s">
        <v>1155</v>
      </c>
      <c r="F617" t="s">
        <v>1112</v>
      </c>
      <c r="G617" s="7">
        <v>2</v>
      </c>
      <c r="H617" s="8">
        <v>21.08</v>
      </c>
      <c r="I617" s="9">
        <v>5</v>
      </c>
      <c r="J617" s="8">
        <v>40.049999999999997</v>
      </c>
      <c r="K617" s="8">
        <v>8.07</v>
      </c>
      <c r="L617" t="s">
        <v>33</v>
      </c>
    </row>
    <row r="618" spans="1:12" x14ac:dyDescent="0.25">
      <c r="A618" t="s">
        <v>1156</v>
      </c>
      <c r="B618" s="6">
        <v>46013</v>
      </c>
      <c r="C618" t="s">
        <v>990</v>
      </c>
      <c r="D618" t="s">
        <v>31</v>
      </c>
      <c r="E618" t="s">
        <v>1114</v>
      </c>
      <c r="F618" t="s">
        <v>1112</v>
      </c>
      <c r="G618" s="7">
        <v>1</v>
      </c>
      <c r="H618" s="8">
        <v>29.1</v>
      </c>
      <c r="I618" s="9">
        <v>0</v>
      </c>
      <c r="J618" s="8">
        <v>29.1</v>
      </c>
      <c r="K618" s="8">
        <v>8.32</v>
      </c>
      <c r="L618" t="s">
        <v>33</v>
      </c>
    </row>
    <row r="619" spans="1:12" x14ac:dyDescent="0.25">
      <c r="A619" t="s">
        <v>1157</v>
      </c>
      <c r="B619" s="6">
        <v>45550</v>
      </c>
      <c r="C619" t="s">
        <v>635</v>
      </c>
      <c r="D619" t="s">
        <v>24</v>
      </c>
      <c r="E619" t="s">
        <v>1120</v>
      </c>
      <c r="F619" t="s">
        <v>1112</v>
      </c>
      <c r="G619" s="7">
        <v>1</v>
      </c>
      <c r="H619" s="8">
        <v>30.64</v>
      </c>
      <c r="I619" s="9">
        <v>0</v>
      </c>
      <c r="J619" s="8">
        <v>30.64</v>
      </c>
      <c r="K619" s="8">
        <v>8.33</v>
      </c>
      <c r="L619" t="s">
        <v>33</v>
      </c>
    </row>
    <row r="620" spans="1:12" x14ac:dyDescent="0.25">
      <c r="A620" t="s">
        <v>1158</v>
      </c>
      <c r="B620" s="6">
        <v>45417</v>
      </c>
      <c r="C620" t="s">
        <v>1159</v>
      </c>
      <c r="D620" t="s">
        <v>31</v>
      </c>
      <c r="E620" t="s">
        <v>1134</v>
      </c>
      <c r="F620" t="s">
        <v>1112</v>
      </c>
      <c r="G620" s="7">
        <v>1</v>
      </c>
      <c r="H620" s="8">
        <v>26.19</v>
      </c>
      <c r="I620" s="9">
        <v>0</v>
      </c>
      <c r="J620" s="8">
        <v>26.19</v>
      </c>
      <c r="K620" s="8">
        <v>8.3699999999999992</v>
      </c>
      <c r="L620" t="s">
        <v>48</v>
      </c>
    </row>
    <row r="621" spans="1:12" x14ac:dyDescent="0.25">
      <c r="A621" t="s">
        <v>1160</v>
      </c>
      <c r="B621" s="6">
        <v>45852</v>
      </c>
      <c r="C621" t="s">
        <v>1161</v>
      </c>
      <c r="D621" t="s">
        <v>36</v>
      </c>
      <c r="E621" t="s">
        <v>1134</v>
      </c>
      <c r="F621" t="s">
        <v>1112</v>
      </c>
      <c r="G621" s="7">
        <v>1</v>
      </c>
      <c r="H621" s="8">
        <v>22.64</v>
      </c>
      <c r="I621" s="9">
        <v>0</v>
      </c>
      <c r="J621" s="8">
        <v>22.64</v>
      </c>
      <c r="K621" s="8">
        <v>8.39</v>
      </c>
      <c r="L621" t="s">
        <v>33</v>
      </c>
    </row>
    <row r="622" spans="1:12" x14ac:dyDescent="0.25">
      <c r="A622" t="s">
        <v>1162</v>
      </c>
      <c r="B622" s="6">
        <v>45559</v>
      </c>
      <c r="C622" t="s">
        <v>1163</v>
      </c>
      <c r="D622" t="s">
        <v>24</v>
      </c>
      <c r="E622" t="s">
        <v>1117</v>
      </c>
      <c r="F622" t="s">
        <v>1112</v>
      </c>
      <c r="G622" s="7">
        <v>1</v>
      </c>
      <c r="H622" s="8">
        <v>49.92</v>
      </c>
      <c r="I622" s="9">
        <v>15</v>
      </c>
      <c r="J622" s="8">
        <v>42.43</v>
      </c>
      <c r="K622" s="8">
        <v>8.5</v>
      </c>
      <c r="L622" t="s">
        <v>33</v>
      </c>
    </row>
    <row r="623" spans="1:12" x14ac:dyDescent="0.25">
      <c r="A623" t="s">
        <v>1164</v>
      </c>
      <c r="B623" s="6">
        <v>45637</v>
      </c>
      <c r="C623" t="s">
        <v>1165</v>
      </c>
      <c r="D623" t="s">
        <v>31</v>
      </c>
      <c r="E623" t="s">
        <v>1120</v>
      </c>
      <c r="F623" t="s">
        <v>1112</v>
      </c>
      <c r="G623" s="7">
        <v>1</v>
      </c>
      <c r="H623" s="8">
        <v>28.57</v>
      </c>
      <c r="I623" s="9">
        <v>15</v>
      </c>
      <c r="J623" s="8">
        <v>24.28</v>
      </c>
      <c r="K623" s="8">
        <v>8.52</v>
      </c>
      <c r="L623" t="s">
        <v>48</v>
      </c>
    </row>
    <row r="624" spans="1:12" x14ac:dyDescent="0.25">
      <c r="A624" t="s">
        <v>1166</v>
      </c>
      <c r="B624" s="6">
        <v>45998</v>
      </c>
      <c r="C624" t="s">
        <v>1167</v>
      </c>
      <c r="D624" t="s">
        <v>24</v>
      </c>
      <c r="E624" t="s">
        <v>1124</v>
      </c>
      <c r="F624" t="s">
        <v>1112</v>
      </c>
      <c r="G624" s="7">
        <v>2</v>
      </c>
      <c r="H624" s="8">
        <v>19.59</v>
      </c>
      <c r="I624" s="9">
        <v>10</v>
      </c>
      <c r="J624" s="8">
        <v>35.26</v>
      </c>
      <c r="K624" s="8">
        <v>8.66</v>
      </c>
      <c r="L624" t="s">
        <v>17</v>
      </c>
    </row>
    <row r="625" spans="1:12" x14ac:dyDescent="0.25">
      <c r="A625" t="s">
        <v>1168</v>
      </c>
      <c r="B625" s="6">
        <v>45791</v>
      </c>
      <c r="C625" t="s">
        <v>1169</v>
      </c>
      <c r="D625" t="s">
        <v>14</v>
      </c>
      <c r="E625" t="s">
        <v>1132</v>
      </c>
      <c r="F625" t="s">
        <v>1112</v>
      </c>
      <c r="G625" s="7">
        <v>1</v>
      </c>
      <c r="H625" s="8">
        <v>41.59</v>
      </c>
      <c r="I625" s="9">
        <v>10</v>
      </c>
      <c r="J625" s="8">
        <v>37.43</v>
      </c>
      <c r="K625" s="8">
        <v>8.86</v>
      </c>
      <c r="L625" t="s">
        <v>48</v>
      </c>
    </row>
    <row r="626" spans="1:12" x14ac:dyDescent="0.25">
      <c r="A626" t="s">
        <v>1170</v>
      </c>
      <c r="B626" s="6">
        <v>45657</v>
      </c>
      <c r="C626" t="s">
        <v>937</v>
      </c>
      <c r="D626" t="s">
        <v>20</v>
      </c>
      <c r="E626" t="s">
        <v>1111</v>
      </c>
      <c r="F626" t="s">
        <v>1112</v>
      </c>
      <c r="G626" s="7">
        <v>1</v>
      </c>
      <c r="H626" s="8">
        <v>31.7</v>
      </c>
      <c r="I626" s="9">
        <v>20</v>
      </c>
      <c r="J626" s="8">
        <v>25.36</v>
      </c>
      <c r="K626" s="8">
        <v>8.8800000000000008</v>
      </c>
      <c r="L626" t="s">
        <v>17</v>
      </c>
    </row>
    <row r="627" spans="1:12" x14ac:dyDescent="0.25">
      <c r="A627" t="s">
        <v>1171</v>
      </c>
      <c r="B627" s="6">
        <v>45594</v>
      </c>
      <c r="C627" t="s">
        <v>1172</v>
      </c>
      <c r="D627" t="s">
        <v>14</v>
      </c>
      <c r="E627" t="s">
        <v>1128</v>
      </c>
      <c r="F627" t="s">
        <v>1112</v>
      </c>
      <c r="G627" s="7">
        <v>1</v>
      </c>
      <c r="H627" s="8">
        <v>35.33</v>
      </c>
      <c r="I627" s="9">
        <v>0</v>
      </c>
      <c r="J627" s="8">
        <v>35.33</v>
      </c>
      <c r="K627" s="8">
        <v>8.99</v>
      </c>
      <c r="L627" t="s">
        <v>33</v>
      </c>
    </row>
    <row r="628" spans="1:12" x14ac:dyDescent="0.25">
      <c r="A628" t="s">
        <v>1173</v>
      </c>
      <c r="B628" s="6">
        <v>45785</v>
      </c>
      <c r="C628" t="s">
        <v>1159</v>
      </c>
      <c r="D628" t="s">
        <v>24</v>
      </c>
      <c r="E628" t="s">
        <v>1124</v>
      </c>
      <c r="F628" t="s">
        <v>1112</v>
      </c>
      <c r="G628" s="7">
        <v>2</v>
      </c>
      <c r="H628" s="8">
        <v>21.41</v>
      </c>
      <c r="I628" s="9">
        <v>5</v>
      </c>
      <c r="J628" s="8">
        <v>40.68</v>
      </c>
      <c r="K628" s="8">
        <v>9.35</v>
      </c>
      <c r="L628" t="s">
        <v>33</v>
      </c>
    </row>
    <row r="629" spans="1:12" x14ac:dyDescent="0.25">
      <c r="A629" t="s">
        <v>1174</v>
      </c>
      <c r="B629" s="6">
        <v>45789</v>
      </c>
      <c r="C629" t="s">
        <v>769</v>
      </c>
      <c r="D629" t="s">
        <v>20</v>
      </c>
      <c r="E629" t="s">
        <v>1132</v>
      </c>
      <c r="F629" t="s">
        <v>1112</v>
      </c>
      <c r="G629" s="7">
        <v>1</v>
      </c>
      <c r="H629" s="8">
        <v>30.6</v>
      </c>
      <c r="I629" s="9">
        <v>5</v>
      </c>
      <c r="J629" s="8">
        <v>29.07</v>
      </c>
      <c r="K629" s="8">
        <v>9.36</v>
      </c>
      <c r="L629" t="s">
        <v>17</v>
      </c>
    </row>
    <row r="630" spans="1:12" x14ac:dyDescent="0.25">
      <c r="A630" t="s">
        <v>1175</v>
      </c>
      <c r="B630" s="6">
        <v>45802</v>
      </c>
      <c r="C630" t="s">
        <v>88</v>
      </c>
      <c r="D630" t="s">
        <v>31</v>
      </c>
      <c r="E630" t="s">
        <v>1111</v>
      </c>
      <c r="F630" t="s">
        <v>1112</v>
      </c>
      <c r="G630" s="7">
        <v>1</v>
      </c>
      <c r="H630" s="8">
        <v>25.15</v>
      </c>
      <c r="I630" s="9">
        <v>5</v>
      </c>
      <c r="J630" s="8">
        <v>23.89</v>
      </c>
      <c r="K630" s="8">
        <v>9.3699999999999992</v>
      </c>
      <c r="L630" t="s">
        <v>33</v>
      </c>
    </row>
    <row r="631" spans="1:12" x14ac:dyDescent="0.25">
      <c r="A631" t="s">
        <v>1176</v>
      </c>
      <c r="B631" s="6">
        <v>45387</v>
      </c>
      <c r="C631" t="s">
        <v>1177</v>
      </c>
      <c r="D631" t="s">
        <v>31</v>
      </c>
      <c r="E631" t="s">
        <v>1134</v>
      </c>
      <c r="F631" t="s">
        <v>1112</v>
      </c>
      <c r="G631" s="7">
        <v>3</v>
      </c>
      <c r="H631" s="8">
        <v>12.67</v>
      </c>
      <c r="I631" s="9">
        <v>10</v>
      </c>
      <c r="J631" s="8">
        <v>34.21</v>
      </c>
      <c r="K631" s="8">
        <v>9.67</v>
      </c>
      <c r="L631" t="s">
        <v>17</v>
      </c>
    </row>
    <row r="632" spans="1:12" x14ac:dyDescent="0.25">
      <c r="A632" t="s">
        <v>1178</v>
      </c>
      <c r="B632" s="6">
        <v>45940</v>
      </c>
      <c r="C632" t="s">
        <v>156</v>
      </c>
      <c r="D632" t="s">
        <v>36</v>
      </c>
      <c r="E632" t="s">
        <v>1111</v>
      </c>
      <c r="F632" t="s">
        <v>1112</v>
      </c>
      <c r="G632" s="7">
        <v>1</v>
      </c>
      <c r="H632" s="8">
        <v>36</v>
      </c>
      <c r="I632" s="9">
        <v>10</v>
      </c>
      <c r="J632" s="8">
        <v>32.4</v>
      </c>
      <c r="K632" s="8">
        <v>9.68</v>
      </c>
      <c r="L632" t="s">
        <v>33</v>
      </c>
    </row>
    <row r="633" spans="1:12" x14ac:dyDescent="0.25">
      <c r="A633" t="s">
        <v>1179</v>
      </c>
      <c r="B633" s="6">
        <v>45385</v>
      </c>
      <c r="C633" t="s">
        <v>1169</v>
      </c>
      <c r="D633" t="s">
        <v>24</v>
      </c>
      <c r="E633" t="s">
        <v>1134</v>
      </c>
      <c r="F633" t="s">
        <v>1112</v>
      </c>
      <c r="G633" s="7">
        <v>1</v>
      </c>
      <c r="H633" s="8">
        <v>29.55</v>
      </c>
      <c r="I633" s="9">
        <v>15</v>
      </c>
      <c r="J633" s="8">
        <v>25.12</v>
      </c>
      <c r="K633" s="8">
        <v>9.69</v>
      </c>
      <c r="L633" t="s">
        <v>33</v>
      </c>
    </row>
    <row r="634" spans="1:12" x14ac:dyDescent="0.25">
      <c r="A634" t="s">
        <v>1180</v>
      </c>
      <c r="B634" s="6">
        <v>45631</v>
      </c>
      <c r="C634" t="s">
        <v>1181</v>
      </c>
      <c r="D634" t="s">
        <v>31</v>
      </c>
      <c r="E634" t="s">
        <v>1111</v>
      </c>
      <c r="F634" t="s">
        <v>1112</v>
      </c>
      <c r="G634" s="7">
        <v>4</v>
      </c>
      <c r="H634" s="8">
        <v>10.199999999999999</v>
      </c>
      <c r="I634" s="9">
        <v>20</v>
      </c>
      <c r="J634" s="8">
        <v>32.64</v>
      </c>
      <c r="K634" s="8">
        <v>9.98</v>
      </c>
      <c r="L634" t="s">
        <v>33</v>
      </c>
    </row>
    <row r="635" spans="1:12" x14ac:dyDescent="0.25">
      <c r="A635" t="s">
        <v>1182</v>
      </c>
      <c r="B635" s="6">
        <v>45693</v>
      </c>
      <c r="C635" t="s">
        <v>1183</v>
      </c>
      <c r="D635" t="s">
        <v>14</v>
      </c>
      <c r="E635" t="s">
        <v>1184</v>
      </c>
      <c r="F635" t="s">
        <v>1112</v>
      </c>
      <c r="G635" s="7">
        <v>2</v>
      </c>
      <c r="H635" s="8">
        <v>27.91</v>
      </c>
      <c r="I635" s="9">
        <v>15</v>
      </c>
      <c r="J635" s="8">
        <v>47.45</v>
      </c>
      <c r="K635" s="8">
        <v>10.11</v>
      </c>
      <c r="L635" t="s">
        <v>17</v>
      </c>
    </row>
    <row r="636" spans="1:12" x14ac:dyDescent="0.25">
      <c r="A636" t="s">
        <v>1185</v>
      </c>
      <c r="B636" s="6">
        <v>45974</v>
      </c>
      <c r="C636" t="s">
        <v>1186</v>
      </c>
      <c r="D636" t="s">
        <v>14</v>
      </c>
      <c r="E636" t="s">
        <v>1132</v>
      </c>
      <c r="F636" t="s">
        <v>1112</v>
      </c>
      <c r="G636" s="7">
        <v>1</v>
      </c>
      <c r="H636" s="8">
        <v>27.61</v>
      </c>
      <c r="I636" s="9">
        <v>0</v>
      </c>
      <c r="J636" s="8">
        <v>27.61</v>
      </c>
      <c r="K636" s="8">
        <v>10.220000000000001</v>
      </c>
      <c r="L636" t="s">
        <v>33</v>
      </c>
    </row>
    <row r="637" spans="1:12" x14ac:dyDescent="0.25">
      <c r="A637" t="s">
        <v>1187</v>
      </c>
      <c r="B637" s="6">
        <v>45535</v>
      </c>
      <c r="C637" t="s">
        <v>1188</v>
      </c>
      <c r="D637" t="s">
        <v>31</v>
      </c>
      <c r="E637" t="s">
        <v>1134</v>
      </c>
      <c r="F637" t="s">
        <v>1112</v>
      </c>
      <c r="G637" s="7">
        <v>1</v>
      </c>
      <c r="H637" s="8">
        <v>40.950000000000003</v>
      </c>
      <c r="I637" s="9">
        <v>0</v>
      </c>
      <c r="J637" s="8">
        <v>40.950000000000003</v>
      </c>
      <c r="K637" s="8">
        <v>10.32</v>
      </c>
      <c r="L637" t="s">
        <v>33</v>
      </c>
    </row>
    <row r="638" spans="1:12" x14ac:dyDescent="0.25">
      <c r="A638" t="s">
        <v>1189</v>
      </c>
      <c r="B638" s="6">
        <v>45717</v>
      </c>
      <c r="C638" t="s">
        <v>30</v>
      </c>
      <c r="D638" t="s">
        <v>14</v>
      </c>
      <c r="E638" t="s">
        <v>1114</v>
      </c>
      <c r="F638" t="s">
        <v>1112</v>
      </c>
      <c r="G638" s="7">
        <v>2</v>
      </c>
      <c r="H638" s="8">
        <v>21.3</v>
      </c>
      <c r="I638" s="9">
        <v>0</v>
      </c>
      <c r="J638" s="8">
        <v>42.6</v>
      </c>
      <c r="K638" s="8">
        <v>10.44</v>
      </c>
      <c r="L638" t="s">
        <v>33</v>
      </c>
    </row>
    <row r="639" spans="1:12" x14ac:dyDescent="0.25">
      <c r="A639" t="s">
        <v>1190</v>
      </c>
      <c r="B639" s="6">
        <v>45707</v>
      </c>
      <c r="C639" t="s">
        <v>441</v>
      </c>
      <c r="D639" t="s">
        <v>14</v>
      </c>
      <c r="E639" t="s">
        <v>1114</v>
      </c>
      <c r="F639" t="s">
        <v>1112</v>
      </c>
      <c r="G639" s="7">
        <v>2</v>
      </c>
      <c r="H639" s="8">
        <v>17.55</v>
      </c>
      <c r="I639" s="9">
        <v>20</v>
      </c>
      <c r="J639" s="8">
        <v>28.08</v>
      </c>
      <c r="K639" s="8">
        <v>10.64</v>
      </c>
      <c r="L639" t="s">
        <v>33</v>
      </c>
    </row>
    <row r="640" spans="1:12" x14ac:dyDescent="0.25">
      <c r="A640" t="s">
        <v>1191</v>
      </c>
      <c r="B640" s="6">
        <v>45632</v>
      </c>
      <c r="C640" t="s">
        <v>1192</v>
      </c>
      <c r="D640" t="s">
        <v>36</v>
      </c>
      <c r="E640" t="s">
        <v>1124</v>
      </c>
      <c r="F640" t="s">
        <v>1112</v>
      </c>
      <c r="G640" s="7">
        <v>1</v>
      </c>
      <c r="H640" s="8">
        <v>38.43</v>
      </c>
      <c r="I640" s="9">
        <v>0</v>
      </c>
      <c r="J640" s="8">
        <v>38.43</v>
      </c>
      <c r="K640" s="8">
        <v>10.72</v>
      </c>
      <c r="L640" t="s">
        <v>33</v>
      </c>
    </row>
    <row r="641" spans="1:12" x14ac:dyDescent="0.25">
      <c r="A641" t="s">
        <v>1193</v>
      </c>
      <c r="B641" s="6">
        <v>45889</v>
      </c>
      <c r="C641" t="s">
        <v>1194</v>
      </c>
      <c r="D641" t="s">
        <v>14</v>
      </c>
      <c r="E641" t="s">
        <v>1184</v>
      </c>
      <c r="F641" t="s">
        <v>1112</v>
      </c>
      <c r="G641" s="7">
        <v>2</v>
      </c>
      <c r="H641" s="8">
        <v>14.51</v>
      </c>
      <c r="I641" s="9">
        <v>0</v>
      </c>
      <c r="J641" s="8">
        <v>29.02</v>
      </c>
      <c r="K641" s="8">
        <v>10.83</v>
      </c>
      <c r="L641" t="s">
        <v>17</v>
      </c>
    </row>
    <row r="642" spans="1:12" x14ac:dyDescent="0.25">
      <c r="A642" t="s">
        <v>1195</v>
      </c>
      <c r="B642" s="6">
        <v>45665</v>
      </c>
      <c r="C642" t="s">
        <v>1196</v>
      </c>
      <c r="D642" t="s">
        <v>14</v>
      </c>
      <c r="E642" t="s">
        <v>1132</v>
      </c>
      <c r="F642" t="s">
        <v>1112</v>
      </c>
      <c r="G642" s="7">
        <v>4</v>
      </c>
      <c r="H642" s="8">
        <v>14.57</v>
      </c>
      <c r="I642" s="9">
        <v>10</v>
      </c>
      <c r="J642" s="8">
        <v>52.45</v>
      </c>
      <c r="K642" s="8">
        <v>10.95</v>
      </c>
      <c r="L642" t="s">
        <v>33</v>
      </c>
    </row>
    <row r="643" spans="1:12" x14ac:dyDescent="0.25">
      <c r="A643" t="s">
        <v>1197</v>
      </c>
      <c r="B643" s="6">
        <v>45410</v>
      </c>
      <c r="C643" t="s">
        <v>1126</v>
      </c>
      <c r="D643" t="s">
        <v>14</v>
      </c>
      <c r="E643" t="s">
        <v>1128</v>
      </c>
      <c r="F643" t="s">
        <v>1112</v>
      </c>
      <c r="G643" s="7">
        <v>1</v>
      </c>
      <c r="H643" s="8">
        <v>43.03</v>
      </c>
      <c r="I643" s="9">
        <v>0</v>
      </c>
      <c r="J643" s="8">
        <v>43.03</v>
      </c>
      <c r="K643" s="8">
        <v>11.02</v>
      </c>
      <c r="L643" t="s">
        <v>33</v>
      </c>
    </row>
    <row r="644" spans="1:12" x14ac:dyDescent="0.25">
      <c r="A644" t="s">
        <v>1198</v>
      </c>
      <c r="B644" s="6">
        <v>45553</v>
      </c>
      <c r="C644" t="s">
        <v>1199</v>
      </c>
      <c r="D644" t="s">
        <v>14</v>
      </c>
      <c r="E644" t="s">
        <v>1120</v>
      </c>
      <c r="F644" t="s">
        <v>1112</v>
      </c>
      <c r="G644" s="7">
        <v>1</v>
      </c>
      <c r="H644" s="8">
        <v>31.03</v>
      </c>
      <c r="I644" s="9">
        <v>0</v>
      </c>
      <c r="J644" s="8">
        <v>31.03</v>
      </c>
      <c r="K644" s="8">
        <v>11.58</v>
      </c>
      <c r="L644" t="s">
        <v>17</v>
      </c>
    </row>
    <row r="645" spans="1:12" x14ac:dyDescent="0.25">
      <c r="A645" t="s">
        <v>1200</v>
      </c>
      <c r="B645" s="6">
        <v>45505</v>
      </c>
      <c r="C645" t="s">
        <v>235</v>
      </c>
      <c r="D645" t="s">
        <v>31</v>
      </c>
      <c r="E645" t="s">
        <v>1124</v>
      </c>
      <c r="F645" t="s">
        <v>1112</v>
      </c>
      <c r="G645" s="7">
        <v>2</v>
      </c>
      <c r="H645" s="8">
        <v>28.15</v>
      </c>
      <c r="I645" s="9">
        <v>10</v>
      </c>
      <c r="J645" s="8">
        <v>50.67</v>
      </c>
      <c r="K645" s="8">
        <v>11.77</v>
      </c>
      <c r="L645" t="s">
        <v>33</v>
      </c>
    </row>
    <row r="646" spans="1:12" x14ac:dyDescent="0.25">
      <c r="A646" t="s">
        <v>1201</v>
      </c>
      <c r="B646" s="6">
        <v>45469</v>
      </c>
      <c r="C646" t="s">
        <v>889</v>
      </c>
      <c r="D646" t="s">
        <v>24</v>
      </c>
      <c r="E646" t="s">
        <v>1111</v>
      </c>
      <c r="F646" t="s">
        <v>1112</v>
      </c>
      <c r="G646" s="7">
        <v>1</v>
      </c>
      <c r="H646" s="8">
        <v>62.54</v>
      </c>
      <c r="I646" s="9">
        <v>25</v>
      </c>
      <c r="J646" s="8">
        <v>46.91</v>
      </c>
      <c r="K646" s="8">
        <v>11.83</v>
      </c>
      <c r="L646" t="s">
        <v>33</v>
      </c>
    </row>
    <row r="647" spans="1:12" x14ac:dyDescent="0.25">
      <c r="A647" t="s">
        <v>1202</v>
      </c>
      <c r="B647" s="6">
        <v>45768</v>
      </c>
      <c r="C647" t="s">
        <v>667</v>
      </c>
      <c r="D647" t="s">
        <v>24</v>
      </c>
      <c r="E647" t="s">
        <v>1111</v>
      </c>
      <c r="F647" t="s">
        <v>1112</v>
      </c>
      <c r="G647" s="7">
        <v>1</v>
      </c>
      <c r="H647" s="8">
        <v>36.03</v>
      </c>
      <c r="I647" s="9">
        <v>15</v>
      </c>
      <c r="J647" s="8">
        <v>30.63</v>
      </c>
      <c r="K647" s="8">
        <v>11.85</v>
      </c>
      <c r="L647" t="s">
        <v>17</v>
      </c>
    </row>
    <row r="648" spans="1:12" x14ac:dyDescent="0.25">
      <c r="A648" t="s">
        <v>1203</v>
      </c>
      <c r="B648" s="6">
        <v>45954</v>
      </c>
      <c r="C648" t="s">
        <v>327</v>
      </c>
      <c r="D648" t="s">
        <v>14</v>
      </c>
      <c r="E648" t="s">
        <v>1184</v>
      </c>
      <c r="F648" t="s">
        <v>1112</v>
      </c>
      <c r="G648" s="7">
        <v>2</v>
      </c>
      <c r="H648" s="8">
        <v>26.03</v>
      </c>
      <c r="I648" s="9">
        <v>0</v>
      </c>
      <c r="J648" s="8">
        <v>52.06</v>
      </c>
      <c r="K648" s="8">
        <v>12.1</v>
      </c>
      <c r="L648" t="s">
        <v>17</v>
      </c>
    </row>
    <row r="649" spans="1:12" x14ac:dyDescent="0.25">
      <c r="A649" t="s">
        <v>1204</v>
      </c>
      <c r="B649" s="6">
        <v>46020</v>
      </c>
      <c r="C649" t="s">
        <v>150</v>
      </c>
      <c r="D649" t="s">
        <v>31</v>
      </c>
      <c r="E649" t="s">
        <v>1124</v>
      </c>
      <c r="F649" t="s">
        <v>1112</v>
      </c>
      <c r="G649" s="7">
        <v>1</v>
      </c>
      <c r="H649" s="8">
        <v>49.34</v>
      </c>
      <c r="I649" s="9">
        <v>10</v>
      </c>
      <c r="J649" s="8">
        <v>44.41</v>
      </c>
      <c r="K649" s="8">
        <v>12.49</v>
      </c>
      <c r="L649" t="s">
        <v>33</v>
      </c>
    </row>
    <row r="650" spans="1:12" x14ac:dyDescent="0.25">
      <c r="A650" t="s">
        <v>1205</v>
      </c>
      <c r="B650" s="6">
        <v>45441</v>
      </c>
      <c r="C650" t="s">
        <v>1206</v>
      </c>
      <c r="D650" t="s">
        <v>24</v>
      </c>
      <c r="E650" t="s">
        <v>1124</v>
      </c>
      <c r="F650" t="s">
        <v>1112</v>
      </c>
      <c r="G650" s="7">
        <v>1</v>
      </c>
      <c r="H650" s="8">
        <v>43.27</v>
      </c>
      <c r="I650" s="9">
        <v>10</v>
      </c>
      <c r="J650" s="8">
        <v>38.94</v>
      </c>
      <c r="K650" s="8">
        <v>12.67</v>
      </c>
      <c r="L650" t="s">
        <v>33</v>
      </c>
    </row>
    <row r="651" spans="1:12" x14ac:dyDescent="0.25">
      <c r="A651" t="s">
        <v>1207</v>
      </c>
      <c r="B651" s="6">
        <v>45742</v>
      </c>
      <c r="C651" t="s">
        <v>1208</v>
      </c>
      <c r="D651" t="s">
        <v>36</v>
      </c>
      <c r="E651" t="s">
        <v>1117</v>
      </c>
      <c r="F651" t="s">
        <v>1112</v>
      </c>
      <c r="G651" s="7">
        <v>2</v>
      </c>
      <c r="H651" s="8">
        <v>24.48</v>
      </c>
      <c r="I651" s="9">
        <v>10</v>
      </c>
      <c r="J651" s="8">
        <v>44.06</v>
      </c>
      <c r="K651" s="8">
        <v>12.67</v>
      </c>
      <c r="L651" t="s">
        <v>33</v>
      </c>
    </row>
    <row r="652" spans="1:12" x14ac:dyDescent="0.25">
      <c r="A652" t="s">
        <v>1209</v>
      </c>
      <c r="B652" s="6">
        <v>45482</v>
      </c>
      <c r="C652" t="s">
        <v>1210</v>
      </c>
      <c r="D652" t="s">
        <v>31</v>
      </c>
      <c r="E652" t="s">
        <v>1114</v>
      </c>
      <c r="F652" t="s">
        <v>1112</v>
      </c>
      <c r="G652" s="7">
        <v>1</v>
      </c>
      <c r="H652" s="8">
        <v>63.5</v>
      </c>
      <c r="I652" s="9">
        <v>5</v>
      </c>
      <c r="J652" s="8">
        <v>60.33</v>
      </c>
      <c r="K652" s="8">
        <v>12.7</v>
      </c>
      <c r="L652" t="s">
        <v>17</v>
      </c>
    </row>
    <row r="653" spans="1:12" x14ac:dyDescent="0.25">
      <c r="A653" t="s">
        <v>1211</v>
      </c>
      <c r="B653" s="6">
        <v>45475</v>
      </c>
      <c r="C653" t="s">
        <v>1087</v>
      </c>
      <c r="D653" t="s">
        <v>14</v>
      </c>
      <c r="E653" t="s">
        <v>1155</v>
      </c>
      <c r="F653" t="s">
        <v>1112</v>
      </c>
      <c r="G653" s="7">
        <v>3</v>
      </c>
      <c r="H653" s="8">
        <v>13.31</v>
      </c>
      <c r="I653" s="9">
        <v>20</v>
      </c>
      <c r="J653" s="8">
        <v>31.94</v>
      </c>
      <c r="K653" s="8">
        <v>12.71</v>
      </c>
      <c r="L653" t="s">
        <v>48</v>
      </c>
    </row>
    <row r="654" spans="1:12" x14ac:dyDescent="0.25">
      <c r="A654" t="s">
        <v>1212</v>
      </c>
      <c r="B654" s="6">
        <v>45409</v>
      </c>
      <c r="C654" t="s">
        <v>1213</v>
      </c>
      <c r="D654" t="s">
        <v>24</v>
      </c>
      <c r="E654" t="s">
        <v>1184</v>
      </c>
      <c r="F654" t="s">
        <v>1112</v>
      </c>
      <c r="G654" s="7">
        <v>2</v>
      </c>
      <c r="H654" s="8">
        <v>17.989999999999998</v>
      </c>
      <c r="I654" s="9">
        <v>10</v>
      </c>
      <c r="J654" s="8">
        <v>32.380000000000003</v>
      </c>
      <c r="K654" s="8">
        <v>12.8</v>
      </c>
      <c r="L654" t="s">
        <v>17</v>
      </c>
    </row>
    <row r="655" spans="1:12" x14ac:dyDescent="0.25">
      <c r="A655" t="s">
        <v>1214</v>
      </c>
      <c r="B655" s="6">
        <v>45463</v>
      </c>
      <c r="C655" t="s">
        <v>872</v>
      </c>
      <c r="D655" t="s">
        <v>14</v>
      </c>
      <c r="E655" t="s">
        <v>1132</v>
      </c>
      <c r="F655" t="s">
        <v>1112</v>
      </c>
      <c r="G655" s="7">
        <v>1</v>
      </c>
      <c r="H655" s="8">
        <v>38.049999999999997</v>
      </c>
      <c r="I655" s="9">
        <v>0</v>
      </c>
      <c r="J655" s="8">
        <v>38.049999999999997</v>
      </c>
      <c r="K655" s="8">
        <v>12.91</v>
      </c>
      <c r="L655" t="s">
        <v>17</v>
      </c>
    </row>
    <row r="656" spans="1:12" x14ac:dyDescent="0.25">
      <c r="A656" t="s">
        <v>1215</v>
      </c>
      <c r="B656" s="6">
        <v>45886</v>
      </c>
      <c r="C656" t="s">
        <v>1216</v>
      </c>
      <c r="D656" t="s">
        <v>20</v>
      </c>
      <c r="E656" t="s">
        <v>1111</v>
      </c>
      <c r="F656" t="s">
        <v>1112</v>
      </c>
      <c r="G656" s="7">
        <v>1</v>
      </c>
      <c r="H656" s="8">
        <v>43.99</v>
      </c>
      <c r="I656" s="9">
        <v>5</v>
      </c>
      <c r="J656" s="8">
        <v>41.79</v>
      </c>
      <c r="K656" s="8">
        <v>12.91</v>
      </c>
      <c r="L656" t="s">
        <v>17</v>
      </c>
    </row>
    <row r="657" spans="1:12" x14ac:dyDescent="0.25">
      <c r="A657" t="s">
        <v>1217</v>
      </c>
      <c r="B657" s="6">
        <v>45813</v>
      </c>
      <c r="C657" t="s">
        <v>307</v>
      </c>
      <c r="D657" t="s">
        <v>31</v>
      </c>
      <c r="E657" t="s">
        <v>1134</v>
      </c>
      <c r="F657" t="s">
        <v>1112</v>
      </c>
      <c r="G657" s="7">
        <v>1</v>
      </c>
      <c r="H657" s="8">
        <v>41.62</v>
      </c>
      <c r="I657" s="9">
        <v>10</v>
      </c>
      <c r="J657" s="8">
        <v>37.46</v>
      </c>
      <c r="K657" s="8">
        <v>13.05</v>
      </c>
      <c r="L657" t="s">
        <v>33</v>
      </c>
    </row>
    <row r="658" spans="1:12" x14ac:dyDescent="0.25">
      <c r="A658" t="s">
        <v>1218</v>
      </c>
      <c r="B658" s="6">
        <v>45887</v>
      </c>
      <c r="C658" t="s">
        <v>488</v>
      </c>
      <c r="D658" t="s">
        <v>36</v>
      </c>
      <c r="E658" t="s">
        <v>1114</v>
      </c>
      <c r="F658" t="s">
        <v>1112</v>
      </c>
      <c r="G658" s="7">
        <v>1</v>
      </c>
      <c r="H658" s="8">
        <v>47.81</v>
      </c>
      <c r="I658" s="9">
        <v>10</v>
      </c>
      <c r="J658" s="8">
        <v>43.03</v>
      </c>
      <c r="K658" s="8">
        <v>13.13</v>
      </c>
      <c r="L658" t="s">
        <v>33</v>
      </c>
    </row>
    <row r="659" spans="1:12" x14ac:dyDescent="0.25">
      <c r="A659" t="s">
        <v>1219</v>
      </c>
      <c r="B659" s="6">
        <v>45721</v>
      </c>
      <c r="C659" t="s">
        <v>82</v>
      </c>
      <c r="D659" t="s">
        <v>20</v>
      </c>
      <c r="E659" t="s">
        <v>1124</v>
      </c>
      <c r="F659" t="s">
        <v>1112</v>
      </c>
      <c r="G659" s="7">
        <v>2</v>
      </c>
      <c r="H659" s="8">
        <v>31.72</v>
      </c>
      <c r="I659" s="9">
        <v>0</v>
      </c>
      <c r="J659" s="8">
        <v>63.44</v>
      </c>
      <c r="K659" s="8">
        <v>13.19</v>
      </c>
      <c r="L659" t="s">
        <v>33</v>
      </c>
    </row>
    <row r="660" spans="1:12" x14ac:dyDescent="0.25">
      <c r="A660" t="s">
        <v>1220</v>
      </c>
      <c r="B660" s="6">
        <v>45818</v>
      </c>
      <c r="C660" t="s">
        <v>482</v>
      </c>
      <c r="D660" t="s">
        <v>24</v>
      </c>
      <c r="E660" t="s">
        <v>1132</v>
      </c>
      <c r="F660" t="s">
        <v>1112</v>
      </c>
      <c r="G660" s="7">
        <v>1</v>
      </c>
      <c r="H660" s="8">
        <v>65.209999999999994</v>
      </c>
      <c r="I660" s="9">
        <v>20</v>
      </c>
      <c r="J660" s="8">
        <v>52.17</v>
      </c>
      <c r="K660" s="8">
        <v>13.2</v>
      </c>
      <c r="L660" t="s">
        <v>33</v>
      </c>
    </row>
    <row r="661" spans="1:12" x14ac:dyDescent="0.25">
      <c r="A661" t="s">
        <v>1221</v>
      </c>
      <c r="B661" s="6">
        <v>45638</v>
      </c>
      <c r="C661" t="s">
        <v>533</v>
      </c>
      <c r="D661" t="s">
        <v>24</v>
      </c>
      <c r="E661" t="s">
        <v>1117</v>
      </c>
      <c r="F661" t="s">
        <v>1112</v>
      </c>
      <c r="G661" s="7">
        <v>1</v>
      </c>
      <c r="H661" s="8">
        <v>36.58</v>
      </c>
      <c r="I661" s="9">
        <v>5</v>
      </c>
      <c r="J661" s="8">
        <v>34.75</v>
      </c>
      <c r="K661" s="8">
        <v>13.46</v>
      </c>
      <c r="L661" t="s">
        <v>33</v>
      </c>
    </row>
    <row r="662" spans="1:12" x14ac:dyDescent="0.25">
      <c r="A662" t="s">
        <v>1222</v>
      </c>
      <c r="B662" s="6">
        <v>45639</v>
      </c>
      <c r="C662" t="s">
        <v>1223</v>
      </c>
      <c r="D662" t="s">
        <v>24</v>
      </c>
      <c r="E662" t="s">
        <v>1124</v>
      </c>
      <c r="F662" t="s">
        <v>1112</v>
      </c>
      <c r="G662" s="7">
        <v>1</v>
      </c>
      <c r="H662" s="8">
        <v>63.69</v>
      </c>
      <c r="I662" s="9">
        <v>20</v>
      </c>
      <c r="J662" s="8">
        <v>50.95</v>
      </c>
      <c r="K662" s="8">
        <v>13.87</v>
      </c>
      <c r="L662" t="s">
        <v>33</v>
      </c>
    </row>
    <row r="663" spans="1:12" x14ac:dyDescent="0.25">
      <c r="A663" t="s">
        <v>1224</v>
      </c>
      <c r="B663" s="6">
        <v>45514</v>
      </c>
      <c r="C663" t="s">
        <v>1225</v>
      </c>
      <c r="D663" t="s">
        <v>31</v>
      </c>
      <c r="E663" t="s">
        <v>1134</v>
      </c>
      <c r="F663" t="s">
        <v>1112</v>
      </c>
      <c r="G663" s="7">
        <v>1</v>
      </c>
      <c r="H663" s="8">
        <v>41.97</v>
      </c>
      <c r="I663" s="9">
        <v>0</v>
      </c>
      <c r="J663" s="8">
        <v>41.97</v>
      </c>
      <c r="K663" s="8">
        <v>13.93</v>
      </c>
      <c r="L663" t="s">
        <v>33</v>
      </c>
    </row>
    <row r="664" spans="1:12" x14ac:dyDescent="0.25">
      <c r="A664" t="s">
        <v>1226</v>
      </c>
      <c r="B664" s="6">
        <v>45767</v>
      </c>
      <c r="C664" t="s">
        <v>1227</v>
      </c>
      <c r="D664" t="s">
        <v>24</v>
      </c>
      <c r="E664" t="s">
        <v>1120</v>
      </c>
      <c r="F664" t="s">
        <v>1112</v>
      </c>
      <c r="G664" s="7">
        <v>1</v>
      </c>
      <c r="H664" s="8">
        <v>49.49</v>
      </c>
      <c r="I664" s="9">
        <v>0</v>
      </c>
      <c r="J664" s="8">
        <v>49.49</v>
      </c>
      <c r="K664" s="8">
        <v>13.98</v>
      </c>
      <c r="L664" t="s">
        <v>17</v>
      </c>
    </row>
    <row r="665" spans="1:12" x14ac:dyDescent="0.25">
      <c r="A665" t="s">
        <v>1228</v>
      </c>
      <c r="B665" s="6">
        <v>45880</v>
      </c>
      <c r="C665" t="s">
        <v>1229</v>
      </c>
      <c r="D665" t="s">
        <v>20</v>
      </c>
      <c r="E665" t="s">
        <v>1184</v>
      </c>
      <c r="F665" t="s">
        <v>1112</v>
      </c>
      <c r="G665" s="7">
        <v>1</v>
      </c>
      <c r="H665" s="8">
        <v>52.28</v>
      </c>
      <c r="I665" s="9">
        <v>10</v>
      </c>
      <c r="J665" s="8">
        <v>47.05</v>
      </c>
      <c r="K665" s="8">
        <v>14.03</v>
      </c>
      <c r="L665" t="s">
        <v>33</v>
      </c>
    </row>
    <row r="666" spans="1:12" x14ac:dyDescent="0.25">
      <c r="A666" t="s">
        <v>1230</v>
      </c>
      <c r="B666" s="6">
        <v>45667</v>
      </c>
      <c r="C666" t="s">
        <v>1231</v>
      </c>
      <c r="D666" t="s">
        <v>36</v>
      </c>
      <c r="E666" t="s">
        <v>1111</v>
      </c>
      <c r="F666" t="s">
        <v>1112</v>
      </c>
      <c r="G666" s="7">
        <v>1</v>
      </c>
      <c r="H666" s="8">
        <v>41.17</v>
      </c>
      <c r="I666" s="9">
        <v>10</v>
      </c>
      <c r="J666" s="8">
        <v>37.049999999999997</v>
      </c>
      <c r="K666" s="8">
        <v>14.04</v>
      </c>
      <c r="L666" t="s">
        <v>33</v>
      </c>
    </row>
    <row r="667" spans="1:12" x14ac:dyDescent="0.25">
      <c r="A667" t="s">
        <v>1232</v>
      </c>
      <c r="B667" s="6">
        <v>45392</v>
      </c>
      <c r="C667" t="s">
        <v>239</v>
      </c>
      <c r="D667" t="s">
        <v>31</v>
      </c>
      <c r="E667" t="s">
        <v>1132</v>
      </c>
      <c r="F667" t="s">
        <v>1112</v>
      </c>
      <c r="G667" s="7">
        <v>4</v>
      </c>
      <c r="H667" s="8">
        <v>14.76</v>
      </c>
      <c r="I667" s="9">
        <v>5</v>
      </c>
      <c r="J667" s="8">
        <v>56.09</v>
      </c>
      <c r="K667" s="8">
        <v>14.23</v>
      </c>
      <c r="L667" t="s">
        <v>17</v>
      </c>
    </row>
    <row r="668" spans="1:12" x14ac:dyDescent="0.25">
      <c r="A668" t="s">
        <v>1233</v>
      </c>
      <c r="B668" s="6">
        <v>45888</v>
      </c>
      <c r="C668" t="s">
        <v>1234</v>
      </c>
      <c r="D668" t="s">
        <v>20</v>
      </c>
      <c r="E668" t="s">
        <v>1184</v>
      </c>
      <c r="F668" t="s">
        <v>1112</v>
      </c>
      <c r="G668" s="7">
        <v>2</v>
      </c>
      <c r="H668" s="8">
        <v>31.36</v>
      </c>
      <c r="I668" s="9">
        <v>0</v>
      </c>
      <c r="J668" s="8">
        <v>62.72</v>
      </c>
      <c r="K668" s="8">
        <v>14.29</v>
      </c>
      <c r="L668" t="s">
        <v>17</v>
      </c>
    </row>
    <row r="669" spans="1:12" x14ac:dyDescent="0.25">
      <c r="A669" t="s">
        <v>1235</v>
      </c>
      <c r="B669" s="6">
        <v>45778</v>
      </c>
      <c r="C669" t="s">
        <v>474</v>
      </c>
      <c r="D669" t="s">
        <v>36</v>
      </c>
      <c r="E669" t="s">
        <v>1184</v>
      </c>
      <c r="F669" t="s">
        <v>1112</v>
      </c>
      <c r="G669" s="7">
        <v>1</v>
      </c>
      <c r="H669" s="8">
        <v>71.02</v>
      </c>
      <c r="I669" s="9">
        <v>25</v>
      </c>
      <c r="J669" s="8">
        <v>53.27</v>
      </c>
      <c r="K669" s="8">
        <v>14.3</v>
      </c>
      <c r="L669" t="s">
        <v>33</v>
      </c>
    </row>
    <row r="670" spans="1:12" x14ac:dyDescent="0.25">
      <c r="A670" t="s">
        <v>1236</v>
      </c>
      <c r="B670" s="6">
        <v>45610</v>
      </c>
      <c r="C670" t="s">
        <v>148</v>
      </c>
      <c r="D670" t="s">
        <v>14</v>
      </c>
      <c r="E670" t="s">
        <v>1132</v>
      </c>
      <c r="F670" t="s">
        <v>1112</v>
      </c>
      <c r="G670" s="7">
        <v>2</v>
      </c>
      <c r="H670" s="8">
        <v>21.08</v>
      </c>
      <c r="I670" s="9">
        <v>10</v>
      </c>
      <c r="J670" s="8">
        <v>37.94</v>
      </c>
      <c r="K670" s="8">
        <v>14.43</v>
      </c>
      <c r="L670" t="s">
        <v>17</v>
      </c>
    </row>
    <row r="671" spans="1:12" x14ac:dyDescent="0.25">
      <c r="A671" t="s">
        <v>1237</v>
      </c>
      <c r="B671" s="6">
        <v>45759</v>
      </c>
      <c r="C671" t="s">
        <v>1192</v>
      </c>
      <c r="D671" t="s">
        <v>31</v>
      </c>
      <c r="E671" t="s">
        <v>1155</v>
      </c>
      <c r="F671" t="s">
        <v>1112</v>
      </c>
      <c r="G671" s="7">
        <v>2</v>
      </c>
      <c r="H671" s="8">
        <v>24.4</v>
      </c>
      <c r="I671" s="9">
        <v>0</v>
      </c>
      <c r="J671" s="8">
        <v>48.8</v>
      </c>
      <c r="K671" s="8">
        <v>14.69</v>
      </c>
      <c r="L671" t="s">
        <v>17</v>
      </c>
    </row>
    <row r="672" spans="1:12" x14ac:dyDescent="0.25">
      <c r="A672" t="s">
        <v>1238</v>
      </c>
      <c r="B672" s="6">
        <v>45588</v>
      </c>
      <c r="C672" t="s">
        <v>1239</v>
      </c>
      <c r="D672" t="s">
        <v>24</v>
      </c>
      <c r="E672" t="s">
        <v>1124</v>
      </c>
      <c r="F672" t="s">
        <v>1112</v>
      </c>
      <c r="G672" s="7">
        <v>1</v>
      </c>
      <c r="H672" s="8">
        <v>46.48</v>
      </c>
      <c r="I672" s="9">
        <v>0</v>
      </c>
      <c r="J672" s="8">
        <v>46.48</v>
      </c>
      <c r="K672" s="8">
        <v>14.79</v>
      </c>
      <c r="L672" t="s">
        <v>33</v>
      </c>
    </row>
    <row r="673" spans="1:12" x14ac:dyDescent="0.25">
      <c r="A673" t="s">
        <v>1240</v>
      </c>
      <c r="B673" s="6">
        <v>45653</v>
      </c>
      <c r="C673" t="s">
        <v>1241</v>
      </c>
      <c r="D673" t="s">
        <v>36</v>
      </c>
      <c r="E673" t="s">
        <v>1120</v>
      </c>
      <c r="F673" t="s">
        <v>1112</v>
      </c>
      <c r="G673" s="7">
        <v>2</v>
      </c>
      <c r="H673" s="8">
        <v>26.23</v>
      </c>
      <c r="I673" s="9">
        <v>15</v>
      </c>
      <c r="J673" s="8">
        <v>44.59</v>
      </c>
      <c r="K673" s="8">
        <v>14.93</v>
      </c>
      <c r="L673" t="s">
        <v>17</v>
      </c>
    </row>
    <row r="674" spans="1:12" x14ac:dyDescent="0.25">
      <c r="A674" t="s">
        <v>1242</v>
      </c>
      <c r="B674" s="6">
        <v>45556</v>
      </c>
      <c r="C674" t="s">
        <v>1243</v>
      </c>
      <c r="D674" t="s">
        <v>31</v>
      </c>
      <c r="E674" t="s">
        <v>1124</v>
      </c>
      <c r="F674" t="s">
        <v>1112</v>
      </c>
      <c r="G674" s="7">
        <v>2</v>
      </c>
      <c r="H674" s="8">
        <v>24.89</v>
      </c>
      <c r="I674" s="9">
        <v>0</v>
      </c>
      <c r="J674" s="8">
        <v>49.78</v>
      </c>
      <c r="K674" s="8">
        <v>14.94</v>
      </c>
      <c r="L674" t="s">
        <v>33</v>
      </c>
    </row>
    <row r="675" spans="1:12" x14ac:dyDescent="0.25">
      <c r="A675" t="s">
        <v>1244</v>
      </c>
      <c r="B675" s="6">
        <v>45981</v>
      </c>
      <c r="C675" t="s">
        <v>325</v>
      </c>
      <c r="D675" t="s">
        <v>31</v>
      </c>
      <c r="E675" t="s">
        <v>1114</v>
      </c>
      <c r="F675" t="s">
        <v>1112</v>
      </c>
      <c r="G675" s="7">
        <v>2</v>
      </c>
      <c r="H675" s="8">
        <v>28.47</v>
      </c>
      <c r="I675" s="9">
        <v>0</v>
      </c>
      <c r="J675" s="8">
        <v>56.94</v>
      </c>
      <c r="K675" s="8">
        <v>15.11</v>
      </c>
      <c r="L675" t="s">
        <v>33</v>
      </c>
    </row>
    <row r="676" spans="1:12" x14ac:dyDescent="0.25">
      <c r="A676" t="s">
        <v>1245</v>
      </c>
      <c r="B676" s="6">
        <v>45293</v>
      </c>
      <c r="C676" t="s">
        <v>761</v>
      </c>
      <c r="D676" t="s">
        <v>14</v>
      </c>
      <c r="E676" t="s">
        <v>1134</v>
      </c>
      <c r="F676" t="s">
        <v>1112</v>
      </c>
      <c r="G676" s="7">
        <v>4</v>
      </c>
      <c r="H676" s="8">
        <v>18.87</v>
      </c>
      <c r="I676" s="9">
        <v>0</v>
      </c>
      <c r="J676" s="8">
        <v>75.48</v>
      </c>
      <c r="K676" s="8">
        <v>15.21</v>
      </c>
      <c r="L676" t="s">
        <v>33</v>
      </c>
    </row>
    <row r="677" spans="1:12" x14ac:dyDescent="0.25">
      <c r="A677" t="s">
        <v>1246</v>
      </c>
      <c r="B677" s="6">
        <v>45628</v>
      </c>
      <c r="C677" t="s">
        <v>1247</v>
      </c>
      <c r="D677" t="s">
        <v>14</v>
      </c>
      <c r="E677" t="s">
        <v>1124</v>
      </c>
      <c r="F677" t="s">
        <v>1112</v>
      </c>
      <c r="G677" s="7">
        <v>1</v>
      </c>
      <c r="H677" s="8">
        <v>53.32</v>
      </c>
      <c r="I677" s="9">
        <v>0</v>
      </c>
      <c r="J677" s="8">
        <v>53.32</v>
      </c>
      <c r="K677" s="8">
        <v>15.24</v>
      </c>
      <c r="L677" t="s">
        <v>48</v>
      </c>
    </row>
    <row r="678" spans="1:12" x14ac:dyDescent="0.25">
      <c r="A678" t="s">
        <v>1248</v>
      </c>
      <c r="B678" s="6">
        <v>45734</v>
      </c>
      <c r="C678" t="s">
        <v>1249</v>
      </c>
      <c r="D678" t="s">
        <v>24</v>
      </c>
      <c r="E678" t="s">
        <v>1134</v>
      </c>
      <c r="F678" t="s">
        <v>1112</v>
      </c>
      <c r="G678" s="7">
        <v>2</v>
      </c>
      <c r="H678" s="8">
        <v>20.25</v>
      </c>
      <c r="I678" s="9">
        <v>0</v>
      </c>
      <c r="J678" s="8">
        <v>40.5</v>
      </c>
      <c r="K678" s="8">
        <v>15.52</v>
      </c>
      <c r="L678" t="s">
        <v>33</v>
      </c>
    </row>
    <row r="679" spans="1:12" x14ac:dyDescent="0.25">
      <c r="A679" t="s">
        <v>1250</v>
      </c>
      <c r="B679" s="6">
        <v>46021</v>
      </c>
      <c r="C679" t="s">
        <v>1251</v>
      </c>
      <c r="D679" t="s">
        <v>24</v>
      </c>
      <c r="E679" t="s">
        <v>1111</v>
      </c>
      <c r="F679" t="s">
        <v>1112</v>
      </c>
      <c r="G679" s="7">
        <v>1</v>
      </c>
      <c r="H679" s="8">
        <v>59.59</v>
      </c>
      <c r="I679" s="9">
        <v>20</v>
      </c>
      <c r="J679" s="8">
        <v>47.67</v>
      </c>
      <c r="K679" s="8">
        <v>15.67</v>
      </c>
      <c r="L679" t="s">
        <v>17</v>
      </c>
    </row>
    <row r="680" spans="1:12" x14ac:dyDescent="0.25">
      <c r="A680" t="s">
        <v>1252</v>
      </c>
      <c r="B680" s="6">
        <v>45551</v>
      </c>
      <c r="C680" t="s">
        <v>1253</v>
      </c>
      <c r="D680" t="s">
        <v>31</v>
      </c>
      <c r="E680" t="s">
        <v>1114</v>
      </c>
      <c r="F680" t="s">
        <v>1112</v>
      </c>
      <c r="G680" s="7">
        <v>1</v>
      </c>
      <c r="H680" s="8">
        <v>51.84</v>
      </c>
      <c r="I680" s="9">
        <v>0</v>
      </c>
      <c r="J680" s="8">
        <v>51.84</v>
      </c>
      <c r="K680" s="8">
        <v>15.75</v>
      </c>
      <c r="L680" t="s">
        <v>33</v>
      </c>
    </row>
    <row r="681" spans="1:12" x14ac:dyDescent="0.25">
      <c r="A681" t="s">
        <v>1254</v>
      </c>
      <c r="B681" s="6">
        <v>45990</v>
      </c>
      <c r="C681" t="s">
        <v>1255</v>
      </c>
      <c r="D681" t="s">
        <v>31</v>
      </c>
      <c r="E681" t="s">
        <v>1128</v>
      </c>
      <c r="F681" t="s">
        <v>1112</v>
      </c>
      <c r="G681" s="7">
        <v>2</v>
      </c>
      <c r="H681" s="8">
        <v>30.57</v>
      </c>
      <c r="I681" s="9">
        <v>5</v>
      </c>
      <c r="J681" s="8">
        <v>58.08</v>
      </c>
      <c r="K681" s="8">
        <v>15.95</v>
      </c>
      <c r="L681" t="s">
        <v>33</v>
      </c>
    </row>
    <row r="682" spans="1:12" x14ac:dyDescent="0.25">
      <c r="A682" t="s">
        <v>1256</v>
      </c>
      <c r="B682" s="6">
        <v>45310</v>
      </c>
      <c r="C682" t="s">
        <v>1257</v>
      </c>
      <c r="D682" t="s">
        <v>14</v>
      </c>
      <c r="E682" t="s">
        <v>1117</v>
      </c>
      <c r="F682" t="s">
        <v>1112</v>
      </c>
      <c r="G682" s="7">
        <v>1</v>
      </c>
      <c r="H682" s="8">
        <v>77.239999999999995</v>
      </c>
      <c r="I682" s="9">
        <v>0</v>
      </c>
      <c r="J682" s="8">
        <v>77.239999999999995</v>
      </c>
      <c r="K682" s="8">
        <v>16.18</v>
      </c>
      <c r="L682" t="s">
        <v>33</v>
      </c>
    </row>
    <row r="683" spans="1:12" x14ac:dyDescent="0.25">
      <c r="A683" t="s">
        <v>1258</v>
      </c>
      <c r="B683" s="6">
        <v>45677</v>
      </c>
      <c r="C683" t="s">
        <v>1259</v>
      </c>
      <c r="D683" t="s">
        <v>20</v>
      </c>
      <c r="E683" t="s">
        <v>1111</v>
      </c>
      <c r="F683" t="s">
        <v>1112</v>
      </c>
      <c r="G683" s="7">
        <v>1</v>
      </c>
      <c r="H683" s="8">
        <v>52.33</v>
      </c>
      <c r="I683" s="9">
        <v>5</v>
      </c>
      <c r="J683" s="8">
        <v>49.71</v>
      </c>
      <c r="K683" s="8">
        <v>16.68</v>
      </c>
      <c r="L683" t="s">
        <v>17</v>
      </c>
    </row>
    <row r="684" spans="1:12" x14ac:dyDescent="0.25">
      <c r="A684" t="s">
        <v>1260</v>
      </c>
      <c r="B684" s="6">
        <v>45424</v>
      </c>
      <c r="C684" t="s">
        <v>1261</v>
      </c>
      <c r="D684" t="s">
        <v>36</v>
      </c>
      <c r="E684" t="s">
        <v>1184</v>
      </c>
      <c r="F684" t="s">
        <v>1112</v>
      </c>
      <c r="G684" s="7">
        <v>3</v>
      </c>
      <c r="H684" s="8">
        <v>23.35</v>
      </c>
      <c r="I684" s="9">
        <v>5</v>
      </c>
      <c r="J684" s="8">
        <v>66.55</v>
      </c>
      <c r="K684" s="8">
        <v>16.71</v>
      </c>
      <c r="L684" t="s">
        <v>33</v>
      </c>
    </row>
    <row r="685" spans="1:12" x14ac:dyDescent="0.25">
      <c r="A685" t="s">
        <v>1262</v>
      </c>
      <c r="B685" s="6">
        <v>45520</v>
      </c>
      <c r="C685" t="s">
        <v>38</v>
      </c>
      <c r="D685" t="s">
        <v>24</v>
      </c>
      <c r="E685" t="s">
        <v>1117</v>
      </c>
      <c r="F685" t="s">
        <v>1112</v>
      </c>
      <c r="G685" s="7">
        <v>1</v>
      </c>
      <c r="H685" s="8">
        <v>58.31</v>
      </c>
      <c r="I685" s="9">
        <v>10</v>
      </c>
      <c r="J685" s="8">
        <v>52.48</v>
      </c>
      <c r="K685" s="8">
        <v>17.489999999999998</v>
      </c>
      <c r="L685" t="s">
        <v>33</v>
      </c>
    </row>
    <row r="686" spans="1:12" x14ac:dyDescent="0.25">
      <c r="A686" t="s">
        <v>1263</v>
      </c>
      <c r="B686" s="6">
        <v>45456</v>
      </c>
      <c r="C686" t="s">
        <v>1264</v>
      </c>
      <c r="D686" t="s">
        <v>20</v>
      </c>
      <c r="E686" t="s">
        <v>1128</v>
      </c>
      <c r="F686" t="s">
        <v>1112</v>
      </c>
      <c r="G686" s="7">
        <v>1</v>
      </c>
      <c r="H686" s="8">
        <v>75.89</v>
      </c>
      <c r="I686" s="9">
        <v>0</v>
      </c>
      <c r="J686" s="8">
        <v>75.89</v>
      </c>
      <c r="K686" s="8">
        <v>17.57</v>
      </c>
      <c r="L686" t="s">
        <v>17</v>
      </c>
    </row>
    <row r="687" spans="1:12" x14ac:dyDescent="0.25">
      <c r="A687" t="s">
        <v>1265</v>
      </c>
      <c r="B687" s="6">
        <v>45503</v>
      </c>
      <c r="C687" t="s">
        <v>180</v>
      </c>
      <c r="D687" t="s">
        <v>36</v>
      </c>
      <c r="E687" t="s">
        <v>1117</v>
      </c>
      <c r="F687" t="s">
        <v>1112</v>
      </c>
      <c r="G687" s="7">
        <v>2</v>
      </c>
      <c r="H687" s="8">
        <v>38.81</v>
      </c>
      <c r="I687" s="9">
        <v>15</v>
      </c>
      <c r="J687" s="8">
        <v>65.98</v>
      </c>
      <c r="K687" s="8">
        <v>17.690000000000001</v>
      </c>
      <c r="L687" t="s">
        <v>17</v>
      </c>
    </row>
    <row r="688" spans="1:12" x14ac:dyDescent="0.25">
      <c r="A688" t="s">
        <v>1266</v>
      </c>
      <c r="B688" s="6">
        <v>45350</v>
      </c>
      <c r="C688" t="s">
        <v>270</v>
      </c>
      <c r="D688" t="s">
        <v>20</v>
      </c>
      <c r="E688" t="s">
        <v>1155</v>
      </c>
      <c r="F688" t="s">
        <v>1112</v>
      </c>
      <c r="G688" s="7">
        <v>2</v>
      </c>
      <c r="H688" s="8">
        <v>36.21</v>
      </c>
      <c r="I688" s="9">
        <v>0</v>
      </c>
      <c r="J688" s="8">
        <v>72.42</v>
      </c>
      <c r="K688" s="8">
        <v>17.77</v>
      </c>
      <c r="L688" t="s">
        <v>33</v>
      </c>
    </row>
    <row r="689" spans="1:12" x14ac:dyDescent="0.25">
      <c r="A689" t="s">
        <v>1267</v>
      </c>
      <c r="B689" s="6">
        <v>45475</v>
      </c>
      <c r="C689" t="s">
        <v>1268</v>
      </c>
      <c r="D689" t="s">
        <v>20</v>
      </c>
      <c r="E689" t="s">
        <v>1128</v>
      </c>
      <c r="F689" t="s">
        <v>1112</v>
      </c>
      <c r="G689" s="7">
        <v>1</v>
      </c>
      <c r="H689" s="8">
        <v>71.92</v>
      </c>
      <c r="I689" s="9">
        <v>5</v>
      </c>
      <c r="J689" s="8">
        <v>68.319999999999993</v>
      </c>
      <c r="K689" s="8">
        <v>17.86</v>
      </c>
      <c r="L689" t="s">
        <v>17</v>
      </c>
    </row>
    <row r="690" spans="1:12" x14ac:dyDescent="0.25">
      <c r="A690" t="s">
        <v>1269</v>
      </c>
      <c r="B690" s="6">
        <v>45994</v>
      </c>
      <c r="C690" t="s">
        <v>1270</v>
      </c>
      <c r="D690" t="s">
        <v>14</v>
      </c>
      <c r="E690" t="s">
        <v>1114</v>
      </c>
      <c r="F690" t="s">
        <v>1112</v>
      </c>
      <c r="G690" s="7">
        <v>2</v>
      </c>
      <c r="H690" s="8">
        <v>34.14</v>
      </c>
      <c r="I690" s="9">
        <v>10</v>
      </c>
      <c r="J690" s="8">
        <v>61.45</v>
      </c>
      <c r="K690" s="8">
        <v>18.149999999999999</v>
      </c>
      <c r="L690" t="s">
        <v>33</v>
      </c>
    </row>
    <row r="691" spans="1:12" x14ac:dyDescent="0.25">
      <c r="A691" t="s">
        <v>1271</v>
      </c>
      <c r="B691" s="6">
        <v>45604</v>
      </c>
      <c r="C691" t="s">
        <v>982</v>
      </c>
      <c r="D691" t="s">
        <v>20</v>
      </c>
      <c r="E691" t="s">
        <v>1134</v>
      </c>
      <c r="F691" t="s">
        <v>1112</v>
      </c>
      <c r="G691" s="7">
        <v>2</v>
      </c>
      <c r="H691" s="8">
        <v>31.46</v>
      </c>
      <c r="I691" s="9">
        <v>5</v>
      </c>
      <c r="J691" s="8">
        <v>59.77</v>
      </c>
      <c r="K691" s="8">
        <v>18.329999999999998</v>
      </c>
      <c r="L691" t="s">
        <v>33</v>
      </c>
    </row>
    <row r="692" spans="1:12" x14ac:dyDescent="0.25">
      <c r="A692" t="s">
        <v>1272</v>
      </c>
      <c r="B692" s="6">
        <v>45518</v>
      </c>
      <c r="C692" t="s">
        <v>1273</v>
      </c>
      <c r="D692" t="s">
        <v>20</v>
      </c>
      <c r="E692" t="s">
        <v>1117</v>
      </c>
      <c r="F692" t="s">
        <v>1112</v>
      </c>
      <c r="G692" s="7">
        <v>1</v>
      </c>
      <c r="H692" s="8">
        <v>55.66</v>
      </c>
      <c r="I692" s="9">
        <v>10</v>
      </c>
      <c r="J692" s="8">
        <v>50.09</v>
      </c>
      <c r="K692" s="8">
        <v>19.05</v>
      </c>
      <c r="L692" t="s">
        <v>17</v>
      </c>
    </row>
    <row r="693" spans="1:12" x14ac:dyDescent="0.25">
      <c r="A693" t="s">
        <v>1274</v>
      </c>
      <c r="B693" s="6">
        <v>45619</v>
      </c>
      <c r="C693" t="s">
        <v>794</v>
      </c>
      <c r="D693" t="s">
        <v>36</v>
      </c>
      <c r="E693" t="s">
        <v>1184</v>
      </c>
      <c r="F693" t="s">
        <v>1112</v>
      </c>
      <c r="G693" s="7">
        <v>2</v>
      </c>
      <c r="H693" s="8">
        <v>48.89</v>
      </c>
      <c r="I693" s="9">
        <v>15</v>
      </c>
      <c r="J693" s="8">
        <v>83.11</v>
      </c>
      <c r="K693" s="8">
        <v>19.3</v>
      </c>
      <c r="L693" t="s">
        <v>48</v>
      </c>
    </row>
    <row r="694" spans="1:12" x14ac:dyDescent="0.25">
      <c r="A694" t="s">
        <v>1275</v>
      </c>
      <c r="B694" s="6">
        <v>45313</v>
      </c>
      <c r="C694" t="s">
        <v>1276</v>
      </c>
      <c r="D694" t="s">
        <v>20</v>
      </c>
      <c r="E694" t="s">
        <v>1132</v>
      </c>
      <c r="F694" t="s">
        <v>1112</v>
      </c>
      <c r="G694" s="7">
        <v>2</v>
      </c>
      <c r="H694" s="8">
        <v>28.99</v>
      </c>
      <c r="I694" s="9">
        <v>5</v>
      </c>
      <c r="J694" s="8">
        <v>55.08</v>
      </c>
      <c r="K694" s="8">
        <v>19.32</v>
      </c>
      <c r="L694" t="s">
        <v>33</v>
      </c>
    </row>
    <row r="695" spans="1:12" x14ac:dyDescent="0.25">
      <c r="A695" t="s">
        <v>1277</v>
      </c>
      <c r="B695" s="6">
        <v>45476</v>
      </c>
      <c r="C695" t="s">
        <v>460</v>
      </c>
      <c r="D695" t="s">
        <v>20</v>
      </c>
      <c r="E695" t="s">
        <v>1128</v>
      </c>
      <c r="F695" t="s">
        <v>1112</v>
      </c>
      <c r="G695" s="7">
        <v>5</v>
      </c>
      <c r="H695" s="8">
        <v>16.48</v>
      </c>
      <c r="I695" s="9">
        <v>5</v>
      </c>
      <c r="J695" s="8">
        <v>78.28</v>
      </c>
      <c r="K695" s="8">
        <v>19.61</v>
      </c>
      <c r="L695" t="s">
        <v>17</v>
      </c>
    </row>
    <row r="696" spans="1:12" x14ac:dyDescent="0.25">
      <c r="A696" t="s">
        <v>1278</v>
      </c>
      <c r="B696" s="6">
        <v>45855</v>
      </c>
      <c r="C696" t="s">
        <v>1279</v>
      </c>
      <c r="D696" t="s">
        <v>36</v>
      </c>
      <c r="E696" t="s">
        <v>1120</v>
      </c>
      <c r="F696" t="s">
        <v>1112</v>
      </c>
      <c r="G696" s="7">
        <v>1</v>
      </c>
      <c r="H696" s="8">
        <v>56.6</v>
      </c>
      <c r="I696" s="9">
        <v>10</v>
      </c>
      <c r="J696" s="8">
        <v>50.94</v>
      </c>
      <c r="K696" s="8">
        <v>19.63</v>
      </c>
      <c r="L696" t="s">
        <v>33</v>
      </c>
    </row>
    <row r="697" spans="1:12" x14ac:dyDescent="0.25">
      <c r="A697" t="s">
        <v>1280</v>
      </c>
      <c r="B697" s="6">
        <v>45400</v>
      </c>
      <c r="C697" t="s">
        <v>366</v>
      </c>
      <c r="D697" t="s">
        <v>36</v>
      </c>
      <c r="E697" t="s">
        <v>1111</v>
      </c>
      <c r="F697" t="s">
        <v>1112</v>
      </c>
      <c r="G697" s="7">
        <v>3</v>
      </c>
      <c r="H697" s="8">
        <v>22.26</v>
      </c>
      <c r="I697" s="9">
        <v>5</v>
      </c>
      <c r="J697" s="8">
        <v>63.44</v>
      </c>
      <c r="K697" s="8">
        <v>19.63</v>
      </c>
      <c r="L697" t="s">
        <v>17</v>
      </c>
    </row>
    <row r="698" spans="1:12" x14ac:dyDescent="0.25">
      <c r="A698" t="s">
        <v>1281</v>
      </c>
      <c r="B698" s="6">
        <v>46005</v>
      </c>
      <c r="C698" t="s">
        <v>416</v>
      </c>
      <c r="D698" t="s">
        <v>31</v>
      </c>
      <c r="E698" t="s">
        <v>1114</v>
      </c>
      <c r="F698" t="s">
        <v>1112</v>
      </c>
      <c r="G698" s="7">
        <v>1</v>
      </c>
      <c r="H698" s="8">
        <v>51.75</v>
      </c>
      <c r="I698" s="9">
        <v>0</v>
      </c>
      <c r="J698" s="8">
        <v>51.75</v>
      </c>
      <c r="K698" s="8">
        <v>19.93</v>
      </c>
      <c r="L698" t="s">
        <v>33</v>
      </c>
    </row>
    <row r="699" spans="1:12" x14ac:dyDescent="0.25">
      <c r="A699" t="s">
        <v>1282</v>
      </c>
      <c r="B699" s="6">
        <v>45754</v>
      </c>
      <c r="C699" t="s">
        <v>1056</v>
      </c>
      <c r="D699" t="s">
        <v>20</v>
      </c>
      <c r="E699" t="s">
        <v>1155</v>
      </c>
      <c r="F699" t="s">
        <v>1112</v>
      </c>
      <c r="G699" s="7">
        <v>1</v>
      </c>
      <c r="H699" s="8">
        <v>76.88</v>
      </c>
      <c r="I699" s="9">
        <v>10</v>
      </c>
      <c r="J699" s="8">
        <v>69.19</v>
      </c>
      <c r="K699" s="8">
        <v>20.02</v>
      </c>
      <c r="L699" t="s">
        <v>17</v>
      </c>
    </row>
    <row r="700" spans="1:12" x14ac:dyDescent="0.25">
      <c r="A700" t="s">
        <v>1283</v>
      </c>
      <c r="B700" s="6">
        <v>45444</v>
      </c>
      <c r="C700" t="s">
        <v>1284</v>
      </c>
      <c r="D700" t="s">
        <v>20</v>
      </c>
      <c r="E700" t="s">
        <v>1124</v>
      </c>
      <c r="F700" t="s">
        <v>1112</v>
      </c>
      <c r="G700" s="7">
        <v>1</v>
      </c>
      <c r="H700" s="8">
        <v>65.95</v>
      </c>
      <c r="I700" s="9">
        <v>10</v>
      </c>
      <c r="J700" s="8">
        <v>59.36</v>
      </c>
      <c r="K700" s="8">
        <v>20.11</v>
      </c>
      <c r="L700" t="s">
        <v>33</v>
      </c>
    </row>
    <row r="701" spans="1:12" x14ac:dyDescent="0.25">
      <c r="A701" t="s">
        <v>1285</v>
      </c>
      <c r="B701" s="6">
        <v>45790</v>
      </c>
      <c r="C701" t="s">
        <v>790</v>
      </c>
      <c r="D701" t="s">
        <v>24</v>
      </c>
      <c r="E701" t="s">
        <v>1120</v>
      </c>
      <c r="F701" t="s">
        <v>1112</v>
      </c>
      <c r="G701" s="7">
        <v>2</v>
      </c>
      <c r="H701" s="8">
        <v>39.549999999999997</v>
      </c>
      <c r="I701" s="9">
        <v>5</v>
      </c>
      <c r="J701" s="8">
        <v>75.150000000000006</v>
      </c>
      <c r="K701" s="8">
        <v>20.29</v>
      </c>
      <c r="L701" t="s">
        <v>33</v>
      </c>
    </row>
    <row r="702" spans="1:12" x14ac:dyDescent="0.25">
      <c r="A702" t="s">
        <v>1286</v>
      </c>
      <c r="B702" s="6">
        <v>45775</v>
      </c>
      <c r="C702" t="s">
        <v>1287</v>
      </c>
      <c r="D702" t="s">
        <v>31</v>
      </c>
      <c r="E702" t="s">
        <v>1134</v>
      </c>
      <c r="F702" t="s">
        <v>1112</v>
      </c>
      <c r="G702" s="7">
        <v>1</v>
      </c>
      <c r="H702" s="8">
        <v>78.67</v>
      </c>
      <c r="I702" s="9">
        <v>10</v>
      </c>
      <c r="J702" s="8">
        <v>70.8</v>
      </c>
      <c r="K702" s="8">
        <v>20.41</v>
      </c>
      <c r="L702" t="s">
        <v>33</v>
      </c>
    </row>
    <row r="703" spans="1:12" x14ac:dyDescent="0.25">
      <c r="A703" t="s">
        <v>1288</v>
      </c>
      <c r="B703" s="6">
        <v>45713</v>
      </c>
      <c r="C703" t="s">
        <v>1289</v>
      </c>
      <c r="D703" t="s">
        <v>31</v>
      </c>
      <c r="E703" t="s">
        <v>1124</v>
      </c>
      <c r="F703" t="s">
        <v>1112</v>
      </c>
      <c r="G703" s="7">
        <v>2</v>
      </c>
      <c r="H703" s="8">
        <v>46.25</v>
      </c>
      <c r="I703" s="9">
        <v>10</v>
      </c>
      <c r="J703" s="8">
        <v>83.25</v>
      </c>
      <c r="K703" s="8">
        <v>20.78</v>
      </c>
      <c r="L703" t="s">
        <v>33</v>
      </c>
    </row>
    <row r="704" spans="1:12" x14ac:dyDescent="0.25">
      <c r="A704" t="s">
        <v>1290</v>
      </c>
      <c r="B704" s="6">
        <v>45538</v>
      </c>
      <c r="C704" t="s">
        <v>1041</v>
      </c>
      <c r="D704" t="s">
        <v>20</v>
      </c>
      <c r="E704" t="s">
        <v>1128</v>
      </c>
      <c r="F704" t="s">
        <v>1112</v>
      </c>
      <c r="G704" s="7">
        <v>2</v>
      </c>
      <c r="H704" s="8">
        <v>56.62</v>
      </c>
      <c r="I704" s="9">
        <v>10</v>
      </c>
      <c r="J704" s="8">
        <v>101.92</v>
      </c>
      <c r="K704" s="8">
        <v>20.83</v>
      </c>
      <c r="L704" t="s">
        <v>17</v>
      </c>
    </row>
    <row r="705" spans="1:12" x14ac:dyDescent="0.25">
      <c r="A705" t="s">
        <v>1291</v>
      </c>
      <c r="B705" s="6">
        <v>45882</v>
      </c>
      <c r="C705" t="s">
        <v>1292</v>
      </c>
      <c r="D705" t="s">
        <v>24</v>
      </c>
      <c r="E705" t="s">
        <v>1128</v>
      </c>
      <c r="F705" t="s">
        <v>1112</v>
      </c>
      <c r="G705" s="7">
        <v>3</v>
      </c>
      <c r="H705" s="8">
        <v>37.69</v>
      </c>
      <c r="I705" s="9">
        <v>10</v>
      </c>
      <c r="J705" s="8">
        <v>101.76</v>
      </c>
      <c r="K705" s="8">
        <v>22.1</v>
      </c>
      <c r="L705" t="s">
        <v>33</v>
      </c>
    </row>
    <row r="706" spans="1:12" x14ac:dyDescent="0.25">
      <c r="A706" t="s">
        <v>1293</v>
      </c>
      <c r="B706" s="6">
        <v>45699</v>
      </c>
      <c r="C706" t="s">
        <v>1294</v>
      </c>
      <c r="D706" t="s">
        <v>36</v>
      </c>
      <c r="E706" t="s">
        <v>1124</v>
      </c>
      <c r="F706" t="s">
        <v>1112</v>
      </c>
      <c r="G706" s="7">
        <v>1</v>
      </c>
      <c r="H706" s="8">
        <v>55.6</v>
      </c>
      <c r="I706" s="9">
        <v>0</v>
      </c>
      <c r="J706" s="8">
        <v>55.6</v>
      </c>
      <c r="K706" s="8">
        <v>22.2</v>
      </c>
      <c r="L706" t="s">
        <v>33</v>
      </c>
    </row>
    <row r="707" spans="1:12" x14ac:dyDescent="0.25">
      <c r="A707" t="s">
        <v>1295</v>
      </c>
      <c r="B707" s="6">
        <v>45319</v>
      </c>
      <c r="C707" t="s">
        <v>1296</v>
      </c>
      <c r="D707" t="s">
        <v>36</v>
      </c>
      <c r="E707" t="s">
        <v>1124</v>
      </c>
      <c r="F707" t="s">
        <v>1112</v>
      </c>
      <c r="G707" s="7">
        <v>1</v>
      </c>
      <c r="H707" s="8">
        <v>65.650000000000006</v>
      </c>
      <c r="I707" s="9">
        <v>10</v>
      </c>
      <c r="J707" s="8">
        <v>59.09</v>
      </c>
      <c r="K707" s="8">
        <v>22.28</v>
      </c>
      <c r="L707" t="s">
        <v>17</v>
      </c>
    </row>
    <row r="708" spans="1:12" x14ac:dyDescent="0.25">
      <c r="A708" t="s">
        <v>1297</v>
      </c>
      <c r="B708" s="6">
        <v>45502</v>
      </c>
      <c r="C708" t="s">
        <v>293</v>
      </c>
      <c r="D708" t="s">
        <v>36</v>
      </c>
      <c r="E708" t="s">
        <v>1134</v>
      </c>
      <c r="F708" t="s">
        <v>1112</v>
      </c>
      <c r="G708" s="7">
        <v>1</v>
      </c>
      <c r="H708" s="8">
        <v>67.72</v>
      </c>
      <c r="I708" s="9">
        <v>5</v>
      </c>
      <c r="J708" s="8">
        <v>64.33</v>
      </c>
      <c r="K708" s="8">
        <v>22.32</v>
      </c>
      <c r="L708" t="s">
        <v>33</v>
      </c>
    </row>
    <row r="709" spans="1:12" x14ac:dyDescent="0.25">
      <c r="A709" t="s">
        <v>1298</v>
      </c>
      <c r="B709" s="6">
        <v>45560</v>
      </c>
      <c r="C709" t="s">
        <v>1299</v>
      </c>
      <c r="D709" t="s">
        <v>24</v>
      </c>
      <c r="E709" t="s">
        <v>1132</v>
      </c>
      <c r="F709" t="s">
        <v>1112</v>
      </c>
      <c r="G709" s="7">
        <v>2</v>
      </c>
      <c r="H709" s="8">
        <v>55.17</v>
      </c>
      <c r="I709" s="9">
        <v>5</v>
      </c>
      <c r="J709" s="8">
        <v>104.82</v>
      </c>
      <c r="K709" s="8">
        <v>22.41</v>
      </c>
      <c r="L709" t="s">
        <v>33</v>
      </c>
    </row>
    <row r="710" spans="1:12" x14ac:dyDescent="0.25">
      <c r="A710" t="s">
        <v>1300</v>
      </c>
      <c r="B710" s="6">
        <v>45345</v>
      </c>
      <c r="C710" t="s">
        <v>1301</v>
      </c>
      <c r="D710" t="s">
        <v>20</v>
      </c>
      <c r="E710" t="s">
        <v>1111</v>
      </c>
      <c r="F710" t="s">
        <v>1112</v>
      </c>
      <c r="G710" s="7">
        <v>2</v>
      </c>
      <c r="H710" s="8">
        <v>53.1</v>
      </c>
      <c r="I710" s="9">
        <v>15</v>
      </c>
      <c r="J710" s="8">
        <v>90.27</v>
      </c>
      <c r="K710" s="8">
        <v>22.72</v>
      </c>
      <c r="L710" t="s">
        <v>33</v>
      </c>
    </row>
    <row r="711" spans="1:12" x14ac:dyDescent="0.25">
      <c r="A711" t="s">
        <v>1302</v>
      </c>
      <c r="B711" s="6">
        <v>45580</v>
      </c>
      <c r="C711" t="s">
        <v>102</v>
      </c>
      <c r="D711" t="s">
        <v>31</v>
      </c>
      <c r="E711" t="s">
        <v>1117</v>
      </c>
      <c r="F711" t="s">
        <v>1112</v>
      </c>
      <c r="G711" s="7">
        <v>3</v>
      </c>
      <c r="H711" s="8">
        <v>26.21</v>
      </c>
      <c r="I711" s="9">
        <v>20</v>
      </c>
      <c r="J711" s="8">
        <v>62.9</v>
      </c>
      <c r="K711" s="8">
        <v>23.07</v>
      </c>
      <c r="L711" t="s">
        <v>17</v>
      </c>
    </row>
    <row r="712" spans="1:12" x14ac:dyDescent="0.25">
      <c r="A712" t="s">
        <v>1303</v>
      </c>
      <c r="B712" s="6">
        <v>45560</v>
      </c>
      <c r="C712" t="s">
        <v>1304</v>
      </c>
      <c r="D712" t="s">
        <v>24</v>
      </c>
      <c r="E712" t="s">
        <v>1124</v>
      </c>
      <c r="F712" t="s">
        <v>1112</v>
      </c>
      <c r="G712" s="7">
        <v>2</v>
      </c>
      <c r="H712" s="8">
        <v>54.21</v>
      </c>
      <c r="I712" s="9">
        <v>0</v>
      </c>
      <c r="J712" s="8">
        <v>108.42</v>
      </c>
      <c r="K712" s="8">
        <v>23.11</v>
      </c>
      <c r="L712" t="s">
        <v>17</v>
      </c>
    </row>
    <row r="713" spans="1:12" x14ac:dyDescent="0.25">
      <c r="A713" t="s">
        <v>1305</v>
      </c>
      <c r="B713" s="6">
        <v>45919</v>
      </c>
      <c r="C713" t="s">
        <v>1257</v>
      </c>
      <c r="D713" t="s">
        <v>36</v>
      </c>
      <c r="E713" t="s">
        <v>1128</v>
      </c>
      <c r="F713" t="s">
        <v>1112</v>
      </c>
      <c r="G713" s="7">
        <v>1</v>
      </c>
      <c r="H713" s="8">
        <v>62.85</v>
      </c>
      <c r="I713" s="9">
        <v>0</v>
      </c>
      <c r="J713" s="8">
        <v>62.85</v>
      </c>
      <c r="K713" s="8">
        <v>23.27</v>
      </c>
      <c r="L713" t="s">
        <v>33</v>
      </c>
    </row>
    <row r="714" spans="1:12" x14ac:dyDescent="0.25">
      <c r="A714" t="s">
        <v>1306</v>
      </c>
      <c r="B714" s="6">
        <v>45389</v>
      </c>
      <c r="C714" t="s">
        <v>84</v>
      </c>
      <c r="D714" t="s">
        <v>24</v>
      </c>
      <c r="E714" t="s">
        <v>1155</v>
      </c>
      <c r="F714" t="s">
        <v>1112</v>
      </c>
      <c r="G714" s="7">
        <v>2</v>
      </c>
      <c r="H714" s="8">
        <v>52.2</v>
      </c>
      <c r="I714" s="9">
        <v>10</v>
      </c>
      <c r="J714" s="8">
        <v>93.96</v>
      </c>
      <c r="K714" s="8">
        <v>23.45</v>
      </c>
      <c r="L714" t="s">
        <v>33</v>
      </c>
    </row>
    <row r="715" spans="1:12" x14ac:dyDescent="0.25">
      <c r="A715" t="s">
        <v>1307</v>
      </c>
      <c r="B715" s="6">
        <v>45864</v>
      </c>
      <c r="C715" t="s">
        <v>1029</v>
      </c>
      <c r="D715" t="s">
        <v>14</v>
      </c>
      <c r="E715" t="s">
        <v>1134</v>
      </c>
      <c r="F715" t="s">
        <v>1112</v>
      </c>
      <c r="G715" s="7">
        <v>1</v>
      </c>
      <c r="H715" s="8">
        <v>71.19</v>
      </c>
      <c r="I715" s="9">
        <v>15</v>
      </c>
      <c r="J715" s="8">
        <v>60.51</v>
      </c>
      <c r="K715" s="8">
        <v>23.91</v>
      </c>
      <c r="L715" t="s">
        <v>33</v>
      </c>
    </row>
    <row r="716" spans="1:12" x14ac:dyDescent="0.25">
      <c r="A716" t="s">
        <v>1308</v>
      </c>
      <c r="B716" s="6">
        <v>45827</v>
      </c>
      <c r="C716" t="s">
        <v>1216</v>
      </c>
      <c r="D716" t="s">
        <v>24</v>
      </c>
      <c r="E716" t="s">
        <v>1155</v>
      </c>
      <c r="F716" t="s">
        <v>1112</v>
      </c>
      <c r="G716" s="7">
        <v>1</v>
      </c>
      <c r="H716" s="8">
        <v>69.88</v>
      </c>
      <c r="I716" s="9">
        <v>5</v>
      </c>
      <c r="J716" s="8">
        <v>66.39</v>
      </c>
      <c r="K716" s="8">
        <v>24.13</v>
      </c>
      <c r="L716" t="s">
        <v>17</v>
      </c>
    </row>
    <row r="717" spans="1:12" x14ac:dyDescent="0.25">
      <c r="A717" t="s">
        <v>1309</v>
      </c>
      <c r="B717" s="6">
        <v>46002</v>
      </c>
      <c r="C717" t="s">
        <v>1310</v>
      </c>
      <c r="D717" t="s">
        <v>31</v>
      </c>
      <c r="E717" t="s">
        <v>1134</v>
      </c>
      <c r="F717" t="s">
        <v>1112</v>
      </c>
      <c r="G717" s="7">
        <v>2</v>
      </c>
      <c r="H717" s="8">
        <v>34.56</v>
      </c>
      <c r="I717" s="9">
        <v>0</v>
      </c>
      <c r="J717" s="8">
        <v>69.12</v>
      </c>
      <c r="K717" s="8">
        <v>24.79</v>
      </c>
      <c r="L717" t="s">
        <v>17</v>
      </c>
    </row>
    <row r="718" spans="1:12" x14ac:dyDescent="0.25">
      <c r="A718" t="s">
        <v>1311</v>
      </c>
      <c r="B718" s="6">
        <v>45370</v>
      </c>
      <c r="C718" t="s">
        <v>1312</v>
      </c>
      <c r="D718" t="s">
        <v>20</v>
      </c>
      <c r="E718" t="s">
        <v>1114</v>
      </c>
      <c r="F718" t="s">
        <v>1112</v>
      </c>
      <c r="G718" s="7">
        <v>3</v>
      </c>
      <c r="H718" s="8">
        <v>53.4</v>
      </c>
      <c r="I718" s="9">
        <v>25</v>
      </c>
      <c r="J718" s="8">
        <v>120.15</v>
      </c>
      <c r="K718" s="8">
        <v>24.92</v>
      </c>
      <c r="L718" t="s">
        <v>33</v>
      </c>
    </row>
    <row r="719" spans="1:12" x14ac:dyDescent="0.25">
      <c r="A719" t="s">
        <v>1313</v>
      </c>
      <c r="B719" s="6">
        <v>45544</v>
      </c>
      <c r="C719" t="s">
        <v>1186</v>
      </c>
      <c r="D719" t="s">
        <v>31</v>
      </c>
      <c r="E719" t="s">
        <v>1155</v>
      </c>
      <c r="F719" t="s">
        <v>1112</v>
      </c>
      <c r="G719" s="7">
        <v>2</v>
      </c>
      <c r="H719" s="8">
        <v>36.26</v>
      </c>
      <c r="I719" s="9">
        <v>0</v>
      </c>
      <c r="J719" s="8">
        <v>72.52</v>
      </c>
      <c r="K719" s="8">
        <v>25.01</v>
      </c>
      <c r="L719" t="s">
        <v>17</v>
      </c>
    </row>
    <row r="720" spans="1:12" x14ac:dyDescent="0.25">
      <c r="A720" t="s">
        <v>1314</v>
      </c>
      <c r="B720" s="6">
        <v>45797</v>
      </c>
      <c r="C720" t="s">
        <v>366</v>
      </c>
      <c r="D720" t="s">
        <v>36</v>
      </c>
      <c r="E720" t="s">
        <v>1117</v>
      </c>
      <c r="F720" t="s">
        <v>1112</v>
      </c>
      <c r="G720" s="7">
        <v>2</v>
      </c>
      <c r="H720" s="8">
        <v>57.59</v>
      </c>
      <c r="I720" s="9">
        <v>25</v>
      </c>
      <c r="J720" s="8">
        <v>86.39</v>
      </c>
      <c r="K720" s="8">
        <v>25.75</v>
      </c>
      <c r="L720" t="s">
        <v>33</v>
      </c>
    </row>
    <row r="721" spans="1:12" x14ac:dyDescent="0.25">
      <c r="A721" t="s">
        <v>1315</v>
      </c>
      <c r="B721" s="6">
        <v>45498</v>
      </c>
      <c r="C721" t="s">
        <v>1316</v>
      </c>
      <c r="D721" t="s">
        <v>24</v>
      </c>
      <c r="E721" t="s">
        <v>1128</v>
      </c>
      <c r="F721" t="s">
        <v>1112</v>
      </c>
      <c r="G721" s="7">
        <v>3</v>
      </c>
      <c r="H721" s="8">
        <v>29.58</v>
      </c>
      <c r="I721" s="9">
        <v>20</v>
      </c>
      <c r="J721" s="8">
        <v>70.989999999999995</v>
      </c>
      <c r="K721" s="8">
        <v>26.72</v>
      </c>
      <c r="L721" t="s">
        <v>17</v>
      </c>
    </row>
    <row r="722" spans="1:12" x14ac:dyDescent="0.25">
      <c r="A722" t="s">
        <v>1317</v>
      </c>
      <c r="B722" s="6">
        <v>45902</v>
      </c>
      <c r="C722" t="s">
        <v>222</v>
      </c>
      <c r="D722" t="s">
        <v>36</v>
      </c>
      <c r="E722" t="s">
        <v>1132</v>
      </c>
      <c r="F722" t="s">
        <v>1112</v>
      </c>
      <c r="G722" s="7">
        <v>2</v>
      </c>
      <c r="H722" s="8">
        <v>36.43</v>
      </c>
      <c r="I722" s="9">
        <v>0</v>
      </c>
      <c r="J722" s="8">
        <v>72.86</v>
      </c>
      <c r="K722" s="8">
        <v>26.73</v>
      </c>
      <c r="L722" t="s">
        <v>17</v>
      </c>
    </row>
    <row r="723" spans="1:12" x14ac:dyDescent="0.25">
      <c r="A723" t="s">
        <v>1318</v>
      </c>
      <c r="B723" s="6">
        <v>45827</v>
      </c>
      <c r="C723" t="s">
        <v>1077</v>
      </c>
      <c r="D723" t="s">
        <v>31</v>
      </c>
      <c r="E723" t="s">
        <v>1124</v>
      </c>
      <c r="F723" t="s">
        <v>1112</v>
      </c>
      <c r="G723" s="7">
        <v>3</v>
      </c>
      <c r="H723" s="8">
        <v>31.43</v>
      </c>
      <c r="I723" s="9">
        <v>20</v>
      </c>
      <c r="J723" s="8">
        <v>75.430000000000007</v>
      </c>
      <c r="K723" s="8">
        <v>26.74</v>
      </c>
      <c r="L723" t="s">
        <v>17</v>
      </c>
    </row>
    <row r="724" spans="1:12" x14ac:dyDescent="0.25">
      <c r="A724" t="s">
        <v>1319</v>
      </c>
      <c r="B724" s="6">
        <v>45950</v>
      </c>
      <c r="C724" t="s">
        <v>502</v>
      </c>
      <c r="D724" t="s">
        <v>36</v>
      </c>
      <c r="E724" t="s">
        <v>1124</v>
      </c>
      <c r="F724" t="s">
        <v>1112</v>
      </c>
      <c r="G724" s="7">
        <v>1</v>
      </c>
      <c r="H724" s="8">
        <v>79.23</v>
      </c>
      <c r="I724" s="9">
        <v>0</v>
      </c>
      <c r="J724" s="8">
        <v>79.23</v>
      </c>
      <c r="K724" s="8">
        <v>26.89</v>
      </c>
      <c r="L724" t="s">
        <v>33</v>
      </c>
    </row>
    <row r="725" spans="1:12" x14ac:dyDescent="0.25">
      <c r="A725" t="s">
        <v>1320</v>
      </c>
      <c r="B725" s="6">
        <v>45448</v>
      </c>
      <c r="C725" t="s">
        <v>166</v>
      </c>
      <c r="D725" t="s">
        <v>20</v>
      </c>
      <c r="E725" t="s">
        <v>1114</v>
      </c>
      <c r="F725" t="s">
        <v>1112</v>
      </c>
      <c r="G725" s="7">
        <v>2</v>
      </c>
      <c r="H725" s="8">
        <v>48.41</v>
      </c>
      <c r="I725" s="9">
        <v>0</v>
      </c>
      <c r="J725" s="8">
        <v>96.82</v>
      </c>
      <c r="K725" s="8">
        <v>26.99</v>
      </c>
      <c r="L725" t="s">
        <v>48</v>
      </c>
    </row>
    <row r="726" spans="1:12" x14ac:dyDescent="0.25">
      <c r="A726" t="s">
        <v>1321</v>
      </c>
      <c r="B726" s="6">
        <v>45329</v>
      </c>
      <c r="C726" t="s">
        <v>1322</v>
      </c>
      <c r="D726" t="s">
        <v>36</v>
      </c>
      <c r="E726" t="s">
        <v>1120</v>
      </c>
      <c r="F726" t="s">
        <v>1112</v>
      </c>
      <c r="G726" s="7">
        <v>4</v>
      </c>
      <c r="H726" s="8">
        <v>26.02</v>
      </c>
      <c r="I726" s="9">
        <v>25</v>
      </c>
      <c r="J726" s="8">
        <v>78.06</v>
      </c>
      <c r="K726" s="8">
        <v>27.56</v>
      </c>
      <c r="L726" t="s">
        <v>33</v>
      </c>
    </row>
    <row r="727" spans="1:12" x14ac:dyDescent="0.25">
      <c r="A727" t="s">
        <v>1323</v>
      </c>
      <c r="B727" s="6">
        <v>45566</v>
      </c>
      <c r="C727" t="s">
        <v>1324</v>
      </c>
      <c r="D727" t="s">
        <v>24</v>
      </c>
      <c r="E727" t="s">
        <v>1111</v>
      </c>
      <c r="F727" t="s">
        <v>1112</v>
      </c>
      <c r="G727" s="7">
        <v>2</v>
      </c>
      <c r="H727" s="8">
        <v>73.8</v>
      </c>
      <c r="I727" s="9">
        <v>15</v>
      </c>
      <c r="J727" s="8">
        <v>125.46</v>
      </c>
      <c r="K727" s="8">
        <v>27.85</v>
      </c>
      <c r="L727" t="s">
        <v>17</v>
      </c>
    </row>
    <row r="728" spans="1:12" x14ac:dyDescent="0.25">
      <c r="A728" t="s">
        <v>1325</v>
      </c>
      <c r="B728" s="6">
        <v>45607</v>
      </c>
      <c r="C728" t="s">
        <v>422</v>
      </c>
      <c r="D728" t="s">
        <v>14</v>
      </c>
      <c r="E728" t="s">
        <v>1128</v>
      </c>
      <c r="F728" t="s">
        <v>1112</v>
      </c>
      <c r="G728" s="7">
        <v>1</v>
      </c>
      <c r="H728" s="8">
        <v>70.66</v>
      </c>
      <c r="I728" s="9">
        <v>0</v>
      </c>
      <c r="J728" s="8">
        <v>70.66</v>
      </c>
      <c r="K728" s="8">
        <v>27.92</v>
      </c>
      <c r="L728" t="s">
        <v>17</v>
      </c>
    </row>
    <row r="729" spans="1:12" x14ac:dyDescent="0.25">
      <c r="A729" t="s">
        <v>1326</v>
      </c>
      <c r="B729" s="6">
        <v>45761</v>
      </c>
      <c r="C729" t="s">
        <v>1239</v>
      </c>
      <c r="D729" t="s">
        <v>36</v>
      </c>
      <c r="E729" t="s">
        <v>1155</v>
      </c>
      <c r="F729" t="s">
        <v>1112</v>
      </c>
      <c r="G729" s="7">
        <v>1</v>
      </c>
      <c r="H729" s="8">
        <v>71.209999999999994</v>
      </c>
      <c r="I729" s="9">
        <v>0</v>
      </c>
      <c r="J729" s="8">
        <v>71.209999999999994</v>
      </c>
      <c r="K729" s="8">
        <v>28.1</v>
      </c>
      <c r="L729" t="s">
        <v>33</v>
      </c>
    </row>
    <row r="730" spans="1:12" x14ac:dyDescent="0.25">
      <c r="A730" t="s">
        <v>1327</v>
      </c>
      <c r="B730" s="6">
        <v>45632</v>
      </c>
      <c r="C730" t="s">
        <v>1328</v>
      </c>
      <c r="D730" t="s">
        <v>20</v>
      </c>
      <c r="E730" t="s">
        <v>1114</v>
      </c>
      <c r="F730" t="s">
        <v>1112</v>
      </c>
      <c r="G730" s="7">
        <v>2</v>
      </c>
      <c r="H730" s="8">
        <v>38.24</v>
      </c>
      <c r="I730" s="9">
        <v>5</v>
      </c>
      <c r="J730" s="8">
        <v>72.66</v>
      </c>
      <c r="K730" s="8">
        <v>28.78</v>
      </c>
      <c r="L730" t="s">
        <v>33</v>
      </c>
    </row>
    <row r="731" spans="1:12" x14ac:dyDescent="0.25">
      <c r="A731" t="s">
        <v>1329</v>
      </c>
      <c r="B731" s="6">
        <v>45596</v>
      </c>
      <c r="C731" t="s">
        <v>1330</v>
      </c>
      <c r="D731" t="s">
        <v>31</v>
      </c>
      <c r="E731" t="s">
        <v>1111</v>
      </c>
      <c r="F731" t="s">
        <v>1112</v>
      </c>
      <c r="G731" s="7">
        <v>5</v>
      </c>
      <c r="H731" s="8">
        <v>16.760000000000002</v>
      </c>
      <c r="I731" s="9">
        <v>5</v>
      </c>
      <c r="J731" s="8">
        <v>79.61</v>
      </c>
      <c r="K731" s="8">
        <v>28.86</v>
      </c>
      <c r="L731" t="s">
        <v>33</v>
      </c>
    </row>
    <row r="732" spans="1:12" x14ac:dyDescent="0.25">
      <c r="A732" t="s">
        <v>1331</v>
      </c>
      <c r="B732" s="6">
        <v>45410</v>
      </c>
      <c r="C732" t="s">
        <v>1332</v>
      </c>
      <c r="D732" t="s">
        <v>20</v>
      </c>
      <c r="E732" t="s">
        <v>1111</v>
      </c>
      <c r="F732" t="s">
        <v>1112</v>
      </c>
      <c r="G732" s="7">
        <v>3</v>
      </c>
      <c r="H732" s="8">
        <v>25.92</v>
      </c>
      <c r="I732" s="9">
        <v>5</v>
      </c>
      <c r="J732" s="8">
        <v>73.87</v>
      </c>
      <c r="K732" s="8">
        <v>29.16</v>
      </c>
      <c r="L732" t="s">
        <v>17</v>
      </c>
    </row>
    <row r="733" spans="1:12" x14ac:dyDescent="0.25">
      <c r="A733" t="s">
        <v>1333</v>
      </c>
      <c r="B733" s="6">
        <v>45923</v>
      </c>
      <c r="C733" t="s">
        <v>1334</v>
      </c>
      <c r="D733" t="s">
        <v>20</v>
      </c>
      <c r="E733" t="s">
        <v>1114</v>
      </c>
      <c r="F733" t="s">
        <v>1112</v>
      </c>
      <c r="G733" s="7">
        <v>5</v>
      </c>
      <c r="H733" s="8">
        <v>17.170000000000002</v>
      </c>
      <c r="I733" s="9">
        <v>5</v>
      </c>
      <c r="J733" s="8">
        <v>81.56</v>
      </c>
      <c r="K733" s="8">
        <v>29.99</v>
      </c>
      <c r="L733" t="s">
        <v>17</v>
      </c>
    </row>
    <row r="734" spans="1:12" x14ac:dyDescent="0.25">
      <c r="A734" t="s">
        <v>1335</v>
      </c>
      <c r="B734" s="6">
        <v>45916</v>
      </c>
      <c r="C734" t="s">
        <v>441</v>
      </c>
      <c r="D734" t="s">
        <v>20</v>
      </c>
      <c r="E734" t="s">
        <v>1120</v>
      </c>
      <c r="F734" t="s">
        <v>1112</v>
      </c>
      <c r="G734" s="7">
        <v>1</v>
      </c>
      <c r="H734" s="8">
        <v>79.739999999999995</v>
      </c>
      <c r="I734" s="9">
        <v>0</v>
      </c>
      <c r="J734" s="8">
        <v>79.739999999999995</v>
      </c>
      <c r="K734" s="8">
        <v>30.2</v>
      </c>
      <c r="L734" t="s">
        <v>48</v>
      </c>
    </row>
    <row r="735" spans="1:12" x14ac:dyDescent="0.25">
      <c r="A735" t="s">
        <v>1336</v>
      </c>
      <c r="B735" s="6">
        <v>45364</v>
      </c>
      <c r="C735" t="s">
        <v>128</v>
      </c>
      <c r="D735" t="s">
        <v>20</v>
      </c>
      <c r="E735" t="s">
        <v>1184</v>
      </c>
      <c r="F735" t="s">
        <v>1112</v>
      </c>
      <c r="G735" s="7">
        <v>2</v>
      </c>
      <c r="H735" s="8">
        <v>56.78</v>
      </c>
      <c r="I735" s="9">
        <v>10</v>
      </c>
      <c r="J735" s="8">
        <v>102.2</v>
      </c>
      <c r="K735" s="8">
        <v>30.37</v>
      </c>
      <c r="L735" t="s">
        <v>17</v>
      </c>
    </row>
    <row r="736" spans="1:12" x14ac:dyDescent="0.25">
      <c r="A736" t="s">
        <v>1337</v>
      </c>
      <c r="B736" s="6">
        <v>45516</v>
      </c>
      <c r="C736" t="s">
        <v>1085</v>
      </c>
      <c r="D736" t="s">
        <v>36</v>
      </c>
      <c r="E736" t="s">
        <v>1184</v>
      </c>
      <c r="F736" t="s">
        <v>1112</v>
      </c>
      <c r="G736" s="7">
        <v>2</v>
      </c>
      <c r="H736" s="8">
        <v>75.569999999999993</v>
      </c>
      <c r="I736" s="9">
        <v>10</v>
      </c>
      <c r="J736" s="8">
        <v>136.03</v>
      </c>
      <c r="K736" s="8">
        <v>30.43</v>
      </c>
      <c r="L736" t="s">
        <v>33</v>
      </c>
    </row>
    <row r="737" spans="1:12" x14ac:dyDescent="0.25">
      <c r="A737" t="s">
        <v>1338</v>
      </c>
      <c r="B737" s="6">
        <v>45919</v>
      </c>
      <c r="C737" t="s">
        <v>1339</v>
      </c>
      <c r="D737" t="s">
        <v>31</v>
      </c>
      <c r="E737" t="s">
        <v>1132</v>
      </c>
      <c r="F737" t="s">
        <v>1112</v>
      </c>
      <c r="G737" s="7">
        <v>2</v>
      </c>
      <c r="H737" s="8">
        <v>41.05</v>
      </c>
      <c r="I737" s="9">
        <v>0</v>
      </c>
      <c r="J737" s="8">
        <v>82.1</v>
      </c>
      <c r="K737" s="8">
        <v>30.96</v>
      </c>
      <c r="L737" t="s">
        <v>33</v>
      </c>
    </row>
    <row r="738" spans="1:12" x14ac:dyDescent="0.25">
      <c r="A738" t="s">
        <v>1340</v>
      </c>
      <c r="B738" s="6">
        <v>45766</v>
      </c>
      <c r="C738" t="s">
        <v>266</v>
      </c>
      <c r="D738" t="s">
        <v>14</v>
      </c>
      <c r="E738" t="s">
        <v>1134</v>
      </c>
      <c r="F738" t="s">
        <v>1112</v>
      </c>
      <c r="G738" s="7">
        <v>2</v>
      </c>
      <c r="H738" s="8">
        <v>62.76</v>
      </c>
      <c r="I738" s="9">
        <v>0</v>
      </c>
      <c r="J738" s="8">
        <v>125.52</v>
      </c>
      <c r="K738" s="8">
        <v>31.4</v>
      </c>
      <c r="L738" t="s">
        <v>33</v>
      </c>
    </row>
    <row r="739" spans="1:12" x14ac:dyDescent="0.25">
      <c r="A739" t="s">
        <v>1341</v>
      </c>
      <c r="B739" s="6">
        <v>45481</v>
      </c>
      <c r="C739" t="s">
        <v>1342</v>
      </c>
      <c r="D739" t="s">
        <v>31</v>
      </c>
      <c r="E739" t="s">
        <v>1111</v>
      </c>
      <c r="F739" t="s">
        <v>1112</v>
      </c>
      <c r="G739" s="7">
        <v>2</v>
      </c>
      <c r="H739" s="8">
        <v>63.32</v>
      </c>
      <c r="I739" s="9">
        <v>5</v>
      </c>
      <c r="J739" s="8">
        <v>120.31</v>
      </c>
      <c r="K739" s="8">
        <v>31.81</v>
      </c>
      <c r="L739" t="s">
        <v>17</v>
      </c>
    </row>
    <row r="740" spans="1:12" x14ac:dyDescent="0.25">
      <c r="A740" t="s">
        <v>1343</v>
      </c>
      <c r="B740" s="6">
        <v>45552</v>
      </c>
      <c r="C740" t="s">
        <v>333</v>
      </c>
      <c r="D740" t="s">
        <v>36</v>
      </c>
      <c r="E740" t="s">
        <v>1132</v>
      </c>
      <c r="F740" t="s">
        <v>1112</v>
      </c>
      <c r="G740" s="7">
        <v>2</v>
      </c>
      <c r="H740" s="8">
        <v>44.58</v>
      </c>
      <c r="I740" s="9">
        <v>0</v>
      </c>
      <c r="J740" s="8">
        <v>89.16</v>
      </c>
      <c r="K740" s="8">
        <v>32.36</v>
      </c>
      <c r="L740" t="s">
        <v>48</v>
      </c>
    </row>
    <row r="741" spans="1:12" x14ac:dyDescent="0.25">
      <c r="A741" t="s">
        <v>1344</v>
      </c>
      <c r="B741" s="6">
        <v>45516</v>
      </c>
      <c r="C741" t="s">
        <v>1345</v>
      </c>
      <c r="D741" t="s">
        <v>31</v>
      </c>
      <c r="E741" t="s">
        <v>1124</v>
      </c>
      <c r="F741" t="s">
        <v>1112</v>
      </c>
      <c r="G741" s="7">
        <v>2</v>
      </c>
      <c r="H741" s="8">
        <v>59.63</v>
      </c>
      <c r="I741" s="9">
        <v>15</v>
      </c>
      <c r="J741" s="8">
        <v>101.37</v>
      </c>
      <c r="K741" s="8">
        <v>32.58</v>
      </c>
      <c r="L741" t="s">
        <v>33</v>
      </c>
    </row>
    <row r="742" spans="1:12" x14ac:dyDescent="0.25">
      <c r="A742" t="s">
        <v>1346</v>
      </c>
      <c r="B742" s="6">
        <v>45932</v>
      </c>
      <c r="C742" t="s">
        <v>1347</v>
      </c>
      <c r="D742" t="s">
        <v>24</v>
      </c>
      <c r="E742" t="s">
        <v>1134</v>
      </c>
      <c r="F742" t="s">
        <v>1112</v>
      </c>
      <c r="G742" s="7">
        <v>2</v>
      </c>
      <c r="H742" s="8">
        <v>51.54</v>
      </c>
      <c r="I742" s="9">
        <v>0</v>
      </c>
      <c r="J742" s="8">
        <v>103.08</v>
      </c>
      <c r="K742" s="8">
        <v>32.86</v>
      </c>
      <c r="L742" t="s">
        <v>17</v>
      </c>
    </row>
    <row r="743" spans="1:12" x14ac:dyDescent="0.25">
      <c r="A743" t="s">
        <v>1348</v>
      </c>
      <c r="B743" s="6">
        <v>45785</v>
      </c>
      <c r="C743" t="s">
        <v>1234</v>
      </c>
      <c r="D743" t="s">
        <v>36</v>
      </c>
      <c r="E743" t="s">
        <v>1128</v>
      </c>
      <c r="F743" t="s">
        <v>1112</v>
      </c>
      <c r="G743" s="7">
        <v>2</v>
      </c>
      <c r="H743" s="8">
        <v>58.48</v>
      </c>
      <c r="I743" s="9">
        <v>0</v>
      </c>
      <c r="J743" s="8">
        <v>116.96</v>
      </c>
      <c r="K743" s="8">
        <v>33.01</v>
      </c>
      <c r="L743" t="s">
        <v>17</v>
      </c>
    </row>
    <row r="744" spans="1:12" x14ac:dyDescent="0.25">
      <c r="A744" t="s">
        <v>1349</v>
      </c>
      <c r="B744" s="6">
        <v>45307</v>
      </c>
      <c r="C744" t="s">
        <v>299</v>
      </c>
      <c r="D744" t="s">
        <v>14</v>
      </c>
      <c r="E744" t="s">
        <v>1124</v>
      </c>
      <c r="F744" t="s">
        <v>1112</v>
      </c>
      <c r="G744" s="7">
        <v>2</v>
      </c>
      <c r="H744" s="8">
        <v>49.17</v>
      </c>
      <c r="I744" s="9">
        <v>5</v>
      </c>
      <c r="J744" s="8">
        <v>93.42</v>
      </c>
      <c r="K744" s="8">
        <v>33.18</v>
      </c>
      <c r="L744" t="s">
        <v>17</v>
      </c>
    </row>
    <row r="745" spans="1:12" x14ac:dyDescent="0.25">
      <c r="A745" t="s">
        <v>1350</v>
      </c>
      <c r="B745" s="6">
        <v>45619</v>
      </c>
      <c r="C745" t="s">
        <v>1251</v>
      </c>
      <c r="D745" t="s">
        <v>14</v>
      </c>
      <c r="E745" t="s">
        <v>1132</v>
      </c>
      <c r="F745" t="s">
        <v>1112</v>
      </c>
      <c r="G745" s="7">
        <v>3</v>
      </c>
      <c r="H745" s="8">
        <v>51.26</v>
      </c>
      <c r="I745" s="9">
        <v>10</v>
      </c>
      <c r="J745" s="8">
        <v>138.4</v>
      </c>
      <c r="K745" s="8">
        <v>33.5</v>
      </c>
      <c r="L745" t="s">
        <v>17</v>
      </c>
    </row>
    <row r="746" spans="1:12" x14ac:dyDescent="0.25">
      <c r="A746" t="s">
        <v>1351</v>
      </c>
      <c r="B746" s="6">
        <v>45345</v>
      </c>
      <c r="C746" t="s">
        <v>1352</v>
      </c>
      <c r="D746" t="s">
        <v>20</v>
      </c>
      <c r="E746" t="s">
        <v>1114</v>
      </c>
      <c r="F746" t="s">
        <v>1112</v>
      </c>
      <c r="G746" s="7">
        <v>3</v>
      </c>
      <c r="H746" s="8">
        <v>33.130000000000003</v>
      </c>
      <c r="I746" s="9">
        <v>0</v>
      </c>
      <c r="J746" s="8">
        <v>99.39</v>
      </c>
      <c r="K746" s="8">
        <v>34.97</v>
      </c>
      <c r="L746" t="s">
        <v>33</v>
      </c>
    </row>
    <row r="747" spans="1:12" x14ac:dyDescent="0.25">
      <c r="A747" t="s">
        <v>1353</v>
      </c>
      <c r="B747" s="6">
        <v>45751</v>
      </c>
      <c r="C747" t="s">
        <v>1354</v>
      </c>
      <c r="D747" t="s">
        <v>36</v>
      </c>
      <c r="E747" t="s">
        <v>1132</v>
      </c>
      <c r="F747" t="s">
        <v>1112</v>
      </c>
      <c r="G747" s="7">
        <v>3</v>
      </c>
      <c r="H747" s="8">
        <v>62.6</v>
      </c>
      <c r="I747" s="9">
        <v>15</v>
      </c>
      <c r="J747" s="8">
        <v>159.63</v>
      </c>
      <c r="K747" s="8">
        <v>35.57</v>
      </c>
      <c r="L747" t="s">
        <v>33</v>
      </c>
    </row>
    <row r="748" spans="1:12" x14ac:dyDescent="0.25">
      <c r="A748" t="s">
        <v>1355</v>
      </c>
      <c r="B748" s="6">
        <v>46006</v>
      </c>
      <c r="C748" t="s">
        <v>1356</v>
      </c>
      <c r="D748" t="s">
        <v>24</v>
      </c>
      <c r="E748" t="s">
        <v>1155</v>
      </c>
      <c r="F748" t="s">
        <v>1112</v>
      </c>
      <c r="G748" s="7">
        <v>2</v>
      </c>
      <c r="H748" s="8">
        <v>58.11</v>
      </c>
      <c r="I748" s="9">
        <v>5</v>
      </c>
      <c r="J748" s="8">
        <v>110.41</v>
      </c>
      <c r="K748" s="8">
        <v>36.15</v>
      </c>
      <c r="L748" t="s">
        <v>33</v>
      </c>
    </row>
    <row r="749" spans="1:12" x14ac:dyDescent="0.25">
      <c r="A749" t="s">
        <v>1357</v>
      </c>
      <c r="B749" s="6">
        <v>45906</v>
      </c>
      <c r="C749" t="s">
        <v>1358</v>
      </c>
      <c r="D749" t="s">
        <v>14</v>
      </c>
      <c r="E749" t="s">
        <v>1134</v>
      </c>
      <c r="F749" t="s">
        <v>1112</v>
      </c>
      <c r="G749" s="7">
        <v>3</v>
      </c>
      <c r="H749" s="8">
        <v>44.17</v>
      </c>
      <c r="I749" s="9">
        <v>5</v>
      </c>
      <c r="J749" s="8">
        <v>125.88</v>
      </c>
      <c r="K749" s="8">
        <v>36.479999999999997</v>
      </c>
      <c r="L749" t="s">
        <v>33</v>
      </c>
    </row>
    <row r="750" spans="1:12" x14ac:dyDescent="0.25">
      <c r="A750" t="s">
        <v>1359</v>
      </c>
      <c r="B750" s="6">
        <v>45611</v>
      </c>
      <c r="C750" t="s">
        <v>1360</v>
      </c>
      <c r="D750" t="s">
        <v>14</v>
      </c>
      <c r="E750" t="s">
        <v>1114</v>
      </c>
      <c r="F750" t="s">
        <v>1112</v>
      </c>
      <c r="G750" s="7">
        <v>2</v>
      </c>
      <c r="H750" s="8">
        <v>51.34</v>
      </c>
      <c r="I750" s="9">
        <v>10</v>
      </c>
      <c r="J750" s="8">
        <v>92.41</v>
      </c>
      <c r="K750" s="8">
        <v>36.51</v>
      </c>
      <c r="L750" t="s">
        <v>33</v>
      </c>
    </row>
    <row r="751" spans="1:12" x14ac:dyDescent="0.25">
      <c r="A751" t="s">
        <v>1361</v>
      </c>
      <c r="B751" s="6">
        <v>45381</v>
      </c>
      <c r="C751" t="s">
        <v>268</v>
      </c>
      <c r="D751" t="s">
        <v>31</v>
      </c>
      <c r="E751" t="s">
        <v>1155</v>
      </c>
      <c r="F751" t="s">
        <v>1112</v>
      </c>
      <c r="G751" s="7">
        <v>2</v>
      </c>
      <c r="H751" s="8">
        <v>59.81</v>
      </c>
      <c r="I751" s="9">
        <v>20</v>
      </c>
      <c r="J751" s="8">
        <v>95.7</v>
      </c>
      <c r="K751" s="8">
        <v>37.53</v>
      </c>
      <c r="L751" t="s">
        <v>48</v>
      </c>
    </row>
    <row r="752" spans="1:12" x14ac:dyDescent="0.25">
      <c r="A752" t="s">
        <v>1362</v>
      </c>
      <c r="B752" s="6">
        <v>45322</v>
      </c>
      <c r="C752" t="s">
        <v>647</v>
      </c>
      <c r="D752" t="s">
        <v>31</v>
      </c>
      <c r="E752" t="s">
        <v>1120</v>
      </c>
      <c r="F752" t="s">
        <v>1112</v>
      </c>
      <c r="G752" s="7">
        <v>3</v>
      </c>
      <c r="H752" s="8">
        <v>62.62</v>
      </c>
      <c r="I752" s="9">
        <v>10</v>
      </c>
      <c r="J752" s="8">
        <v>169.07</v>
      </c>
      <c r="K752" s="8">
        <v>38.1</v>
      </c>
      <c r="L752" t="s">
        <v>33</v>
      </c>
    </row>
    <row r="753" spans="1:12" x14ac:dyDescent="0.25">
      <c r="A753" t="s">
        <v>1363</v>
      </c>
      <c r="B753" s="6">
        <v>45366</v>
      </c>
      <c r="C753" t="s">
        <v>1364</v>
      </c>
      <c r="D753" t="s">
        <v>24</v>
      </c>
      <c r="E753" t="s">
        <v>1120</v>
      </c>
      <c r="F753" t="s">
        <v>1112</v>
      </c>
      <c r="G753" s="7">
        <v>2</v>
      </c>
      <c r="H753" s="8">
        <v>75.25</v>
      </c>
      <c r="I753" s="9">
        <v>20</v>
      </c>
      <c r="J753" s="8">
        <v>120.4</v>
      </c>
      <c r="K753" s="8">
        <v>40.159999999999997</v>
      </c>
      <c r="L753" t="s">
        <v>33</v>
      </c>
    </row>
    <row r="754" spans="1:12" x14ac:dyDescent="0.25">
      <c r="A754" t="s">
        <v>1365</v>
      </c>
      <c r="B754" s="6">
        <v>45865</v>
      </c>
      <c r="C754" t="s">
        <v>1366</v>
      </c>
      <c r="D754" t="s">
        <v>24</v>
      </c>
      <c r="E754" t="s">
        <v>1117</v>
      </c>
      <c r="F754" t="s">
        <v>1112</v>
      </c>
      <c r="G754" s="7">
        <v>4</v>
      </c>
      <c r="H754" s="8">
        <v>42.65</v>
      </c>
      <c r="I754" s="9">
        <v>10</v>
      </c>
      <c r="J754" s="8">
        <v>153.54</v>
      </c>
      <c r="K754" s="8">
        <v>40.83</v>
      </c>
      <c r="L754" t="s">
        <v>33</v>
      </c>
    </row>
    <row r="755" spans="1:12" x14ac:dyDescent="0.25">
      <c r="A755" t="s">
        <v>1367</v>
      </c>
      <c r="B755" s="6">
        <v>45338</v>
      </c>
      <c r="C755" t="s">
        <v>628</v>
      </c>
      <c r="D755" t="s">
        <v>36</v>
      </c>
      <c r="E755" t="s">
        <v>1128</v>
      </c>
      <c r="F755" t="s">
        <v>1112</v>
      </c>
      <c r="G755" s="7">
        <v>3</v>
      </c>
      <c r="H755" s="8">
        <v>43.5</v>
      </c>
      <c r="I755" s="9">
        <v>5</v>
      </c>
      <c r="J755" s="8">
        <v>123.98</v>
      </c>
      <c r="K755" s="8">
        <v>41.34</v>
      </c>
      <c r="L755" t="s">
        <v>33</v>
      </c>
    </row>
    <row r="756" spans="1:12" x14ac:dyDescent="0.25">
      <c r="A756" t="s">
        <v>1368</v>
      </c>
      <c r="B756" s="6">
        <v>45365</v>
      </c>
      <c r="C756" t="s">
        <v>323</v>
      </c>
      <c r="D756" t="s">
        <v>31</v>
      </c>
      <c r="E756" t="s">
        <v>1120</v>
      </c>
      <c r="F756" t="s">
        <v>1112</v>
      </c>
      <c r="G756" s="7">
        <v>2</v>
      </c>
      <c r="H756" s="8">
        <v>65.34</v>
      </c>
      <c r="I756" s="9">
        <v>15</v>
      </c>
      <c r="J756" s="8">
        <v>111.08</v>
      </c>
      <c r="K756" s="8">
        <v>42.24</v>
      </c>
      <c r="L756" t="s">
        <v>17</v>
      </c>
    </row>
    <row r="757" spans="1:12" x14ac:dyDescent="0.25">
      <c r="A757" t="s">
        <v>1369</v>
      </c>
      <c r="B757" s="6">
        <v>45397</v>
      </c>
      <c r="C757" t="s">
        <v>1370</v>
      </c>
      <c r="D757" t="s">
        <v>31</v>
      </c>
      <c r="E757" t="s">
        <v>1114</v>
      </c>
      <c r="F757" t="s">
        <v>1112</v>
      </c>
      <c r="G757" s="7">
        <v>4</v>
      </c>
      <c r="H757" s="8">
        <v>42.76</v>
      </c>
      <c r="I757" s="9">
        <v>0</v>
      </c>
      <c r="J757" s="8">
        <v>171.04</v>
      </c>
      <c r="K757" s="8">
        <v>42.25</v>
      </c>
      <c r="L757" t="s">
        <v>17</v>
      </c>
    </row>
    <row r="758" spans="1:12" x14ac:dyDescent="0.25">
      <c r="A758" t="s">
        <v>1371</v>
      </c>
      <c r="B758" s="6">
        <v>45690</v>
      </c>
      <c r="C758" t="s">
        <v>1372</v>
      </c>
      <c r="D758" t="s">
        <v>31</v>
      </c>
      <c r="E758" t="s">
        <v>1117</v>
      </c>
      <c r="F758" t="s">
        <v>1112</v>
      </c>
      <c r="G758" s="7">
        <v>2</v>
      </c>
      <c r="H758" s="8">
        <v>65.010000000000005</v>
      </c>
      <c r="I758" s="9">
        <v>5</v>
      </c>
      <c r="J758" s="8">
        <v>123.52</v>
      </c>
      <c r="K758" s="8">
        <v>43.08</v>
      </c>
      <c r="L758" t="s">
        <v>33</v>
      </c>
    </row>
    <row r="759" spans="1:12" x14ac:dyDescent="0.25">
      <c r="A759" t="s">
        <v>1373</v>
      </c>
      <c r="B759" s="6">
        <v>45613</v>
      </c>
      <c r="C759" t="s">
        <v>678</v>
      </c>
      <c r="D759" t="s">
        <v>14</v>
      </c>
      <c r="E759" t="s">
        <v>1128</v>
      </c>
      <c r="F759" t="s">
        <v>1112</v>
      </c>
      <c r="G759" s="7">
        <v>2</v>
      </c>
      <c r="H759" s="8">
        <v>64.260000000000005</v>
      </c>
      <c r="I759" s="9">
        <v>0</v>
      </c>
      <c r="J759" s="8">
        <v>128.52000000000001</v>
      </c>
      <c r="K759" s="8">
        <v>43.56</v>
      </c>
      <c r="L759" t="s">
        <v>17</v>
      </c>
    </row>
    <row r="760" spans="1:12" x14ac:dyDescent="0.25">
      <c r="A760" t="s">
        <v>1374</v>
      </c>
      <c r="B760" s="6">
        <v>45429</v>
      </c>
      <c r="C760" t="s">
        <v>499</v>
      </c>
      <c r="D760" t="s">
        <v>24</v>
      </c>
      <c r="E760" t="s">
        <v>1128</v>
      </c>
      <c r="F760" t="s">
        <v>1112</v>
      </c>
      <c r="G760" s="7">
        <v>3</v>
      </c>
      <c r="H760" s="8">
        <v>41.19</v>
      </c>
      <c r="I760" s="9">
        <v>5</v>
      </c>
      <c r="J760" s="8">
        <v>117.39</v>
      </c>
      <c r="K760" s="8">
        <v>44.58</v>
      </c>
      <c r="L760" t="s">
        <v>33</v>
      </c>
    </row>
    <row r="761" spans="1:12" x14ac:dyDescent="0.25">
      <c r="A761" t="s">
        <v>1375</v>
      </c>
      <c r="B761" s="6">
        <v>45425</v>
      </c>
      <c r="C761" t="s">
        <v>1376</v>
      </c>
      <c r="D761" t="s">
        <v>36</v>
      </c>
      <c r="E761" t="s">
        <v>1184</v>
      </c>
      <c r="F761" t="s">
        <v>1112</v>
      </c>
      <c r="G761" s="7">
        <v>4</v>
      </c>
      <c r="H761" s="8">
        <v>55.37</v>
      </c>
      <c r="I761" s="9">
        <v>5</v>
      </c>
      <c r="J761" s="8">
        <v>210.41</v>
      </c>
      <c r="K761" s="8">
        <v>46.75</v>
      </c>
      <c r="L761" t="s">
        <v>48</v>
      </c>
    </row>
    <row r="762" spans="1:12" x14ac:dyDescent="0.25">
      <c r="A762" t="s">
        <v>1377</v>
      </c>
      <c r="B762" s="6">
        <v>45645</v>
      </c>
      <c r="C762" t="s">
        <v>1161</v>
      </c>
      <c r="D762" t="s">
        <v>31</v>
      </c>
      <c r="E762" t="s">
        <v>1117</v>
      </c>
      <c r="F762" t="s">
        <v>1112</v>
      </c>
      <c r="G762" s="7">
        <v>5</v>
      </c>
      <c r="H762" s="8">
        <v>48.14</v>
      </c>
      <c r="I762" s="9">
        <v>10</v>
      </c>
      <c r="J762" s="8">
        <v>216.63</v>
      </c>
      <c r="K762" s="8">
        <v>49.94</v>
      </c>
      <c r="L762" t="s">
        <v>33</v>
      </c>
    </row>
    <row r="763" spans="1:12" x14ac:dyDescent="0.25">
      <c r="A763" t="s">
        <v>1378</v>
      </c>
      <c r="B763" s="6">
        <v>45557</v>
      </c>
      <c r="C763" t="s">
        <v>645</v>
      </c>
      <c r="D763" t="s">
        <v>14</v>
      </c>
      <c r="E763" t="s">
        <v>1134</v>
      </c>
      <c r="F763" t="s">
        <v>1112</v>
      </c>
      <c r="G763" s="7">
        <v>3</v>
      </c>
      <c r="H763" s="8">
        <v>65.89</v>
      </c>
      <c r="I763" s="9">
        <v>15</v>
      </c>
      <c r="J763" s="8">
        <v>168.02</v>
      </c>
      <c r="K763" s="8">
        <v>50.16</v>
      </c>
      <c r="L763" t="s">
        <v>33</v>
      </c>
    </row>
    <row r="764" spans="1:12" x14ac:dyDescent="0.25">
      <c r="A764" t="s">
        <v>1379</v>
      </c>
      <c r="B764" s="6">
        <v>45733</v>
      </c>
      <c r="C764" t="s">
        <v>1372</v>
      </c>
      <c r="D764" t="s">
        <v>24</v>
      </c>
      <c r="E764" t="s">
        <v>1134</v>
      </c>
      <c r="F764" t="s">
        <v>1112</v>
      </c>
      <c r="G764" s="7">
        <v>5</v>
      </c>
      <c r="H764" s="8">
        <v>31.67</v>
      </c>
      <c r="I764" s="9">
        <v>5</v>
      </c>
      <c r="J764" s="8">
        <v>150.43</v>
      </c>
      <c r="K764" s="8">
        <v>50.37</v>
      </c>
      <c r="L764" t="s">
        <v>33</v>
      </c>
    </row>
    <row r="765" spans="1:12" x14ac:dyDescent="0.25">
      <c r="A765" t="s">
        <v>1380</v>
      </c>
      <c r="B765" s="6">
        <v>45762</v>
      </c>
      <c r="C765" t="s">
        <v>1381</v>
      </c>
      <c r="D765" t="s">
        <v>24</v>
      </c>
      <c r="E765" t="s">
        <v>1111</v>
      </c>
      <c r="F765" t="s">
        <v>1112</v>
      </c>
      <c r="G765" s="7">
        <v>3</v>
      </c>
      <c r="H765" s="8">
        <v>61.19</v>
      </c>
      <c r="I765" s="9">
        <v>20</v>
      </c>
      <c r="J765" s="8">
        <v>146.86000000000001</v>
      </c>
      <c r="K765" s="8">
        <v>51.07</v>
      </c>
      <c r="L765" t="s">
        <v>33</v>
      </c>
    </row>
    <row r="766" spans="1:12" x14ac:dyDescent="0.25">
      <c r="A766" t="s">
        <v>1382</v>
      </c>
      <c r="B766" s="6">
        <v>45609</v>
      </c>
      <c r="C766" t="s">
        <v>759</v>
      </c>
      <c r="D766" t="s">
        <v>14</v>
      </c>
      <c r="E766" t="s">
        <v>1184</v>
      </c>
      <c r="F766" t="s">
        <v>1112</v>
      </c>
      <c r="G766" s="7">
        <v>2</v>
      </c>
      <c r="H766" s="8">
        <v>78.63</v>
      </c>
      <c r="I766" s="9">
        <v>0</v>
      </c>
      <c r="J766" s="8">
        <v>157.26</v>
      </c>
      <c r="K766" s="8">
        <v>51.91</v>
      </c>
      <c r="L766" t="s">
        <v>33</v>
      </c>
    </row>
    <row r="767" spans="1:12" x14ac:dyDescent="0.25">
      <c r="A767" t="s">
        <v>1383</v>
      </c>
      <c r="B767" s="6">
        <v>45611</v>
      </c>
      <c r="C767" t="s">
        <v>1384</v>
      </c>
      <c r="D767" t="s">
        <v>24</v>
      </c>
      <c r="E767" t="s">
        <v>1117</v>
      </c>
      <c r="F767" t="s">
        <v>1112</v>
      </c>
      <c r="G767" s="7">
        <v>2</v>
      </c>
      <c r="H767" s="8">
        <v>74.47</v>
      </c>
      <c r="I767" s="9">
        <v>0</v>
      </c>
      <c r="J767" s="8">
        <v>148.94</v>
      </c>
      <c r="K767" s="8">
        <v>52.71</v>
      </c>
      <c r="L767" t="s">
        <v>17</v>
      </c>
    </row>
    <row r="768" spans="1:12" x14ac:dyDescent="0.25">
      <c r="A768" t="s">
        <v>1385</v>
      </c>
      <c r="B768" s="6">
        <v>45299</v>
      </c>
      <c r="C768" t="s">
        <v>1386</v>
      </c>
      <c r="D768" t="s">
        <v>24</v>
      </c>
      <c r="E768" t="s">
        <v>1114</v>
      </c>
      <c r="F768" t="s">
        <v>1112</v>
      </c>
      <c r="G768" s="7">
        <v>2</v>
      </c>
      <c r="H768" s="8">
        <v>76.75</v>
      </c>
      <c r="I768" s="9">
        <v>0</v>
      </c>
      <c r="J768" s="8">
        <v>153.5</v>
      </c>
      <c r="K768" s="8">
        <v>55.74</v>
      </c>
      <c r="L768" t="s">
        <v>17</v>
      </c>
    </row>
    <row r="769" spans="1:12" x14ac:dyDescent="0.25">
      <c r="A769" t="s">
        <v>1387</v>
      </c>
      <c r="B769" s="6">
        <v>45767</v>
      </c>
      <c r="C769" t="s">
        <v>1388</v>
      </c>
      <c r="D769" t="s">
        <v>31</v>
      </c>
      <c r="E769" t="s">
        <v>1134</v>
      </c>
      <c r="F769" t="s">
        <v>1112</v>
      </c>
      <c r="G769" s="7">
        <v>3</v>
      </c>
      <c r="H769" s="8">
        <v>71.64</v>
      </c>
      <c r="I769" s="9">
        <v>10</v>
      </c>
      <c r="J769" s="8">
        <v>193.43</v>
      </c>
      <c r="K769" s="8">
        <v>59.52</v>
      </c>
      <c r="L769" t="s">
        <v>33</v>
      </c>
    </row>
    <row r="770" spans="1:12" x14ac:dyDescent="0.25">
      <c r="A770" t="s">
        <v>1389</v>
      </c>
      <c r="B770" s="6">
        <v>45755</v>
      </c>
      <c r="C770" t="s">
        <v>1390</v>
      </c>
      <c r="D770" t="s">
        <v>14</v>
      </c>
      <c r="E770" t="s">
        <v>1184</v>
      </c>
      <c r="F770" t="s">
        <v>1112</v>
      </c>
      <c r="G770" s="7">
        <v>4</v>
      </c>
      <c r="H770" s="8">
        <v>59.6</v>
      </c>
      <c r="I770" s="9">
        <v>5</v>
      </c>
      <c r="J770" s="8">
        <v>226.48</v>
      </c>
      <c r="K770" s="8">
        <v>60.14</v>
      </c>
      <c r="L770" t="s">
        <v>33</v>
      </c>
    </row>
    <row r="771" spans="1:12" x14ac:dyDescent="0.25">
      <c r="A771" t="s">
        <v>1391</v>
      </c>
      <c r="B771" s="6">
        <v>45456</v>
      </c>
      <c r="C771" t="s">
        <v>1392</v>
      </c>
      <c r="D771" t="s">
        <v>14</v>
      </c>
      <c r="E771" t="s">
        <v>1114</v>
      </c>
      <c r="F771" t="s">
        <v>1112</v>
      </c>
      <c r="G771" s="7">
        <v>4</v>
      </c>
      <c r="H771" s="8">
        <v>59.7</v>
      </c>
      <c r="I771" s="9">
        <v>25</v>
      </c>
      <c r="J771" s="8">
        <v>179.1</v>
      </c>
      <c r="K771" s="8">
        <v>60.4</v>
      </c>
      <c r="L771" t="s">
        <v>33</v>
      </c>
    </row>
    <row r="772" spans="1:12" x14ac:dyDescent="0.25">
      <c r="A772" t="s">
        <v>1393</v>
      </c>
      <c r="B772" s="6">
        <v>45951</v>
      </c>
      <c r="C772" t="s">
        <v>1394</v>
      </c>
      <c r="D772" t="s">
        <v>36</v>
      </c>
      <c r="E772" t="s">
        <v>1184</v>
      </c>
      <c r="F772" t="s">
        <v>1112</v>
      </c>
      <c r="G772" s="7">
        <v>3</v>
      </c>
      <c r="H772" s="8">
        <v>59.98</v>
      </c>
      <c r="I772" s="9">
        <v>0</v>
      </c>
      <c r="J772" s="8">
        <v>179.94</v>
      </c>
      <c r="K772" s="8">
        <v>60.63</v>
      </c>
      <c r="L772" t="s">
        <v>17</v>
      </c>
    </row>
    <row r="773" spans="1:12" x14ac:dyDescent="0.25">
      <c r="A773" t="s">
        <v>1395</v>
      </c>
      <c r="B773" s="6">
        <v>46004</v>
      </c>
      <c r="C773" t="s">
        <v>144</v>
      </c>
      <c r="D773" t="s">
        <v>14</v>
      </c>
      <c r="E773" t="s">
        <v>1134</v>
      </c>
      <c r="F773" t="s">
        <v>1112</v>
      </c>
      <c r="G773" s="7">
        <v>3</v>
      </c>
      <c r="H773" s="8">
        <v>75.459999999999994</v>
      </c>
      <c r="I773" s="9">
        <v>20</v>
      </c>
      <c r="J773" s="8">
        <v>181.1</v>
      </c>
      <c r="K773" s="8">
        <v>63.76</v>
      </c>
      <c r="L773" t="s">
        <v>17</v>
      </c>
    </row>
    <row r="774" spans="1:12" x14ac:dyDescent="0.25">
      <c r="A774" t="s">
        <v>1396</v>
      </c>
      <c r="B774" s="6">
        <v>45562</v>
      </c>
      <c r="C774" t="s">
        <v>1388</v>
      </c>
      <c r="D774" t="s">
        <v>31</v>
      </c>
      <c r="E774" t="s">
        <v>1184</v>
      </c>
      <c r="F774" t="s">
        <v>1112</v>
      </c>
      <c r="G774" s="7">
        <v>4</v>
      </c>
      <c r="H774" s="8">
        <v>62.74</v>
      </c>
      <c r="I774" s="9">
        <v>15</v>
      </c>
      <c r="J774" s="8">
        <v>213.32</v>
      </c>
      <c r="K774" s="8">
        <v>63.93</v>
      </c>
      <c r="L774" t="s">
        <v>33</v>
      </c>
    </row>
    <row r="775" spans="1:12" x14ac:dyDescent="0.25">
      <c r="A775" t="s">
        <v>1397</v>
      </c>
      <c r="B775" s="6">
        <v>45497</v>
      </c>
      <c r="C775" t="s">
        <v>276</v>
      </c>
      <c r="D775" t="s">
        <v>14</v>
      </c>
      <c r="E775" t="s">
        <v>1114</v>
      </c>
      <c r="F775" t="s">
        <v>1112</v>
      </c>
      <c r="G775" s="7">
        <v>4</v>
      </c>
      <c r="H775" s="8">
        <v>65.540000000000006</v>
      </c>
      <c r="I775" s="9">
        <v>25</v>
      </c>
      <c r="J775" s="8">
        <v>196.62</v>
      </c>
      <c r="K775" s="8">
        <v>64.39</v>
      </c>
      <c r="L775" t="s">
        <v>48</v>
      </c>
    </row>
    <row r="776" spans="1:12" x14ac:dyDescent="0.25">
      <c r="A776" t="s">
        <v>1398</v>
      </c>
      <c r="B776" s="6">
        <v>45695</v>
      </c>
      <c r="C776" t="s">
        <v>404</v>
      </c>
      <c r="D776" t="s">
        <v>36</v>
      </c>
      <c r="E776" t="s">
        <v>1124</v>
      </c>
      <c r="F776" t="s">
        <v>1112</v>
      </c>
      <c r="G776" s="7">
        <v>3</v>
      </c>
      <c r="H776" s="8">
        <v>63.39</v>
      </c>
      <c r="I776" s="9">
        <v>5</v>
      </c>
      <c r="J776" s="8">
        <v>180.66</v>
      </c>
      <c r="K776" s="8">
        <v>66.38</v>
      </c>
      <c r="L776" t="s">
        <v>33</v>
      </c>
    </row>
    <row r="777" spans="1:12" x14ac:dyDescent="0.25">
      <c r="A777" t="s">
        <v>1399</v>
      </c>
      <c r="B777" s="6">
        <v>45653</v>
      </c>
      <c r="C777" t="s">
        <v>128</v>
      </c>
      <c r="D777" t="s">
        <v>14</v>
      </c>
      <c r="E777" t="s">
        <v>1117</v>
      </c>
      <c r="F777" t="s">
        <v>1112</v>
      </c>
      <c r="G777" s="7">
        <v>4</v>
      </c>
      <c r="H777" s="8">
        <v>78.569999999999993</v>
      </c>
      <c r="I777" s="9">
        <v>5</v>
      </c>
      <c r="J777" s="8">
        <v>298.57</v>
      </c>
      <c r="K777" s="8">
        <v>68.45</v>
      </c>
      <c r="L777" t="s">
        <v>33</v>
      </c>
    </row>
    <row r="778" spans="1:12" x14ac:dyDescent="0.25">
      <c r="A778" t="s">
        <v>1400</v>
      </c>
      <c r="B778" s="6">
        <v>45686</v>
      </c>
      <c r="C778" t="s">
        <v>722</v>
      </c>
      <c r="D778" t="s">
        <v>36</v>
      </c>
      <c r="E778" t="s">
        <v>1132</v>
      </c>
      <c r="F778" t="s">
        <v>1112</v>
      </c>
      <c r="G778" s="7">
        <v>3</v>
      </c>
      <c r="H778" s="8">
        <v>65.400000000000006</v>
      </c>
      <c r="I778" s="9">
        <v>10</v>
      </c>
      <c r="J778" s="8">
        <v>176.58</v>
      </c>
      <c r="K778" s="8">
        <v>68.569999999999993</v>
      </c>
      <c r="L778" t="s">
        <v>33</v>
      </c>
    </row>
    <row r="779" spans="1:12" x14ac:dyDescent="0.25">
      <c r="A779" t="s">
        <v>1401</v>
      </c>
      <c r="B779" s="6">
        <v>45777</v>
      </c>
      <c r="C779" t="s">
        <v>74</v>
      </c>
      <c r="D779" t="s">
        <v>36</v>
      </c>
      <c r="E779" t="s">
        <v>1155</v>
      </c>
      <c r="F779" t="s">
        <v>1112</v>
      </c>
      <c r="G779" s="7">
        <v>3</v>
      </c>
      <c r="H779" s="8">
        <v>72.13</v>
      </c>
      <c r="I779" s="9">
        <v>0</v>
      </c>
      <c r="J779" s="8">
        <v>216.39</v>
      </c>
      <c r="K779" s="8">
        <v>77.47</v>
      </c>
      <c r="L779" t="s">
        <v>33</v>
      </c>
    </row>
    <row r="780" spans="1:12" x14ac:dyDescent="0.25">
      <c r="A780" t="s">
        <v>1402</v>
      </c>
      <c r="B780" s="6">
        <v>45945</v>
      </c>
      <c r="C780" t="s">
        <v>386</v>
      </c>
      <c r="D780" t="s">
        <v>36</v>
      </c>
      <c r="E780" t="s">
        <v>1111</v>
      </c>
      <c r="F780" t="s">
        <v>1112</v>
      </c>
      <c r="G780" s="7">
        <v>4</v>
      </c>
      <c r="H780" s="8">
        <v>74.36</v>
      </c>
      <c r="I780" s="9">
        <v>10</v>
      </c>
      <c r="J780" s="8">
        <v>267.7</v>
      </c>
      <c r="K780" s="8">
        <v>79.23</v>
      </c>
      <c r="L780" t="s">
        <v>33</v>
      </c>
    </row>
    <row r="781" spans="1:12" x14ac:dyDescent="0.25">
      <c r="A781" t="s">
        <v>1403</v>
      </c>
      <c r="B781" s="6">
        <v>45754</v>
      </c>
      <c r="C781" t="s">
        <v>1404</v>
      </c>
      <c r="D781" t="s">
        <v>24</v>
      </c>
      <c r="E781" t="s">
        <v>1134</v>
      </c>
      <c r="F781" t="s">
        <v>1112</v>
      </c>
      <c r="G781" s="7">
        <v>3</v>
      </c>
      <c r="H781" s="8">
        <v>67.36</v>
      </c>
      <c r="I781" s="9">
        <v>0</v>
      </c>
      <c r="J781" s="8">
        <v>202.08</v>
      </c>
      <c r="K781" s="8">
        <v>80.58</v>
      </c>
      <c r="L781" t="s">
        <v>33</v>
      </c>
    </row>
    <row r="782" spans="1:12" x14ac:dyDescent="0.25">
      <c r="A782" t="s">
        <v>1405</v>
      </c>
      <c r="B782" s="6">
        <v>45831</v>
      </c>
      <c r="C782" t="s">
        <v>378</v>
      </c>
      <c r="D782" t="s">
        <v>31</v>
      </c>
      <c r="E782" t="s">
        <v>1124</v>
      </c>
      <c r="F782" t="s">
        <v>1112</v>
      </c>
      <c r="G782" s="7">
        <v>4</v>
      </c>
      <c r="H782" s="8">
        <v>74.75</v>
      </c>
      <c r="I782" s="9">
        <v>10</v>
      </c>
      <c r="J782" s="8">
        <v>269.10000000000002</v>
      </c>
      <c r="K782" s="8">
        <v>82.35</v>
      </c>
      <c r="L782" t="s">
        <v>33</v>
      </c>
    </row>
    <row r="783" spans="1:12" x14ac:dyDescent="0.25">
      <c r="A783" t="s">
        <v>1406</v>
      </c>
      <c r="B783" s="6">
        <v>45516</v>
      </c>
      <c r="C783" t="s">
        <v>256</v>
      </c>
      <c r="D783" t="s">
        <v>14</v>
      </c>
      <c r="E783" t="s">
        <v>1155</v>
      </c>
      <c r="F783" t="s">
        <v>1112</v>
      </c>
      <c r="G783" s="7">
        <v>4</v>
      </c>
      <c r="H783" s="8">
        <v>63.52</v>
      </c>
      <c r="I783" s="9">
        <v>0</v>
      </c>
      <c r="J783" s="8">
        <v>254.08</v>
      </c>
      <c r="K783" s="8">
        <v>82.86</v>
      </c>
      <c r="L783" t="s">
        <v>33</v>
      </c>
    </row>
    <row r="784" spans="1:12" x14ac:dyDescent="0.25">
      <c r="A784" t="s">
        <v>1407</v>
      </c>
      <c r="B784" s="6">
        <v>45949</v>
      </c>
      <c r="C784" t="s">
        <v>1161</v>
      </c>
      <c r="D784" t="s">
        <v>31</v>
      </c>
      <c r="E784" t="s">
        <v>1124</v>
      </c>
      <c r="F784" t="s">
        <v>1112</v>
      </c>
      <c r="G784" s="7">
        <v>3</v>
      </c>
      <c r="H784" s="8">
        <v>78.09</v>
      </c>
      <c r="I784" s="9">
        <v>0</v>
      </c>
      <c r="J784" s="8">
        <v>234.27</v>
      </c>
      <c r="K784" s="8">
        <v>86.28</v>
      </c>
      <c r="L784" t="s">
        <v>33</v>
      </c>
    </row>
    <row r="785" spans="1:12" x14ac:dyDescent="0.25">
      <c r="A785" t="s">
        <v>1408</v>
      </c>
      <c r="B785" s="6">
        <v>45964</v>
      </c>
      <c r="C785" t="s">
        <v>1409</v>
      </c>
      <c r="D785" t="s">
        <v>20</v>
      </c>
      <c r="E785" t="s">
        <v>1184</v>
      </c>
      <c r="F785" t="s">
        <v>1112</v>
      </c>
      <c r="G785" s="7">
        <v>4</v>
      </c>
      <c r="H785" s="8">
        <v>73.63</v>
      </c>
      <c r="I785" s="9">
        <v>20</v>
      </c>
      <c r="J785" s="8">
        <v>235.62</v>
      </c>
      <c r="K785" s="8">
        <v>87.48</v>
      </c>
      <c r="L785" t="s">
        <v>33</v>
      </c>
    </row>
    <row r="786" spans="1:12" x14ac:dyDescent="0.25">
      <c r="A786" t="s">
        <v>1410</v>
      </c>
      <c r="B786" s="6">
        <v>45367</v>
      </c>
      <c r="C786" t="s">
        <v>220</v>
      </c>
      <c r="D786" t="s">
        <v>14</v>
      </c>
      <c r="E786" t="s">
        <v>1134</v>
      </c>
      <c r="F786" t="s">
        <v>1112</v>
      </c>
      <c r="G786" s="7">
        <v>3</v>
      </c>
      <c r="H786" s="8">
        <v>74.02</v>
      </c>
      <c r="I786" s="9">
        <v>0</v>
      </c>
      <c r="J786" s="8">
        <v>222.06</v>
      </c>
      <c r="K786" s="8">
        <v>88.02</v>
      </c>
      <c r="L786" t="s">
        <v>17</v>
      </c>
    </row>
    <row r="787" spans="1:12" x14ac:dyDescent="0.25">
      <c r="A787" t="s">
        <v>1411</v>
      </c>
      <c r="B787" s="6">
        <v>45344</v>
      </c>
      <c r="C787" t="s">
        <v>1412</v>
      </c>
      <c r="D787" t="s">
        <v>36</v>
      </c>
      <c r="E787" t="s">
        <v>1114</v>
      </c>
      <c r="F787" t="s">
        <v>1112</v>
      </c>
      <c r="G787" s="7">
        <v>5</v>
      </c>
      <c r="H787" s="8">
        <v>56.28</v>
      </c>
      <c r="I787" s="9">
        <v>0</v>
      </c>
      <c r="J787" s="8">
        <v>281.39999999999998</v>
      </c>
      <c r="K787" s="8">
        <v>102.48</v>
      </c>
      <c r="L787" t="s">
        <v>17</v>
      </c>
    </row>
    <row r="788" spans="1:12" x14ac:dyDescent="0.25">
      <c r="A788" t="s">
        <v>1413</v>
      </c>
      <c r="B788" s="6">
        <v>45628</v>
      </c>
      <c r="C788" t="s">
        <v>1414</v>
      </c>
      <c r="D788" t="s">
        <v>14</v>
      </c>
      <c r="E788" t="s">
        <v>1117</v>
      </c>
      <c r="F788" t="s">
        <v>1112</v>
      </c>
      <c r="G788" s="7">
        <v>5</v>
      </c>
      <c r="H788" s="8">
        <v>71.5</v>
      </c>
      <c r="I788" s="9">
        <v>0</v>
      </c>
      <c r="J788" s="8">
        <v>357.5</v>
      </c>
      <c r="K788" s="8">
        <v>118.84</v>
      </c>
      <c r="L788" t="s">
        <v>33</v>
      </c>
    </row>
    <row r="789" spans="1:12" x14ac:dyDescent="0.25">
      <c r="A789" t="s">
        <v>1415</v>
      </c>
      <c r="B789" s="6">
        <v>45555</v>
      </c>
      <c r="C789" t="s">
        <v>1312</v>
      </c>
      <c r="D789" t="s">
        <v>31</v>
      </c>
      <c r="E789" t="s">
        <v>1416</v>
      </c>
      <c r="F789" t="s">
        <v>1417</v>
      </c>
      <c r="G789" s="7">
        <v>1</v>
      </c>
      <c r="H789" s="8">
        <v>10.93</v>
      </c>
      <c r="I789" s="9">
        <v>15</v>
      </c>
      <c r="J789" s="8">
        <v>9.2899999999999991</v>
      </c>
      <c r="K789" s="8">
        <v>1.83</v>
      </c>
      <c r="L789" t="s">
        <v>33</v>
      </c>
    </row>
    <row r="790" spans="1:12" x14ac:dyDescent="0.25">
      <c r="A790" t="s">
        <v>1418</v>
      </c>
      <c r="B790" s="6">
        <v>45896</v>
      </c>
      <c r="C790" t="s">
        <v>1419</v>
      </c>
      <c r="D790" t="s">
        <v>20</v>
      </c>
      <c r="E790" t="s">
        <v>1420</v>
      </c>
      <c r="F790" t="s">
        <v>1417</v>
      </c>
      <c r="G790" s="7">
        <v>1</v>
      </c>
      <c r="H790" s="8">
        <v>8.6199999999999992</v>
      </c>
      <c r="I790" s="9">
        <v>5</v>
      </c>
      <c r="J790" s="8">
        <v>8.19</v>
      </c>
      <c r="K790" s="8">
        <v>1.92</v>
      </c>
      <c r="L790" t="s">
        <v>17</v>
      </c>
    </row>
    <row r="791" spans="1:12" x14ac:dyDescent="0.25">
      <c r="A791" t="s">
        <v>1421</v>
      </c>
      <c r="B791" s="6">
        <v>45647</v>
      </c>
      <c r="C791" t="s">
        <v>222</v>
      </c>
      <c r="D791" t="s">
        <v>36</v>
      </c>
      <c r="E791" t="s">
        <v>1422</v>
      </c>
      <c r="F791" t="s">
        <v>1417</v>
      </c>
      <c r="G791" s="7">
        <v>1</v>
      </c>
      <c r="H791" s="8">
        <v>11.77</v>
      </c>
      <c r="I791" s="9">
        <v>0</v>
      </c>
      <c r="J791" s="8">
        <v>11.77</v>
      </c>
      <c r="K791" s="8">
        <v>2.48</v>
      </c>
      <c r="L791" t="s">
        <v>17</v>
      </c>
    </row>
    <row r="792" spans="1:12" x14ac:dyDescent="0.25">
      <c r="A792" t="s">
        <v>1423</v>
      </c>
      <c r="B792" s="6">
        <v>45997</v>
      </c>
      <c r="C792" t="s">
        <v>1424</v>
      </c>
      <c r="D792" t="s">
        <v>36</v>
      </c>
      <c r="E792" t="s">
        <v>1416</v>
      </c>
      <c r="F792" t="s">
        <v>1417</v>
      </c>
      <c r="G792" s="7">
        <v>1</v>
      </c>
      <c r="H792" s="8">
        <v>8.75</v>
      </c>
      <c r="I792" s="9">
        <v>0</v>
      </c>
      <c r="J792" s="8">
        <v>8.75</v>
      </c>
      <c r="K792" s="8">
        <v>2.4900000000000002</v>
      </c>
      <c r="L792" t="s">
        <v>33</v>
      </c>
    </row>
    <row r="793" spans="1:12" x14ac:dyDescent="0.25">
      <c r="A793" t="s">
        <v>1425</v>
      </c>
      <c r="B793" s="6">
        <v>45836</v>
      </c>
      <c r="C793" t="s">
        <v>755</v>
      </c>
      <c r="D793" t="s">
        <v>24</v>
      </c>
      <c r="E793" t="s">
        <v>1426</v>
      </c>
      <c r="F793" t="s">
        <v>1417</v>
      </c>
      <c r="G793" s="7">
        <v>1</v>
      </c>
      <c r="H793" s="8">
        <v>16.489999999999998</v>
      </c>
      <c r="I793" s="9">
        <v>0</v>
      </c>
      <c r="J793" s="8">
        <v>16.489999999999998</v>
      </c>
      <c r="K793" s="8">
        <v>2.65</v>
      </c>
      <c r="L793" t="s">
        <v>17</v>
      </c>
    </row>
    <row r="794" spans="1:12" x14ac:dyDescent="0.25">
      <c r="A794" t="s">
        <v>1427</v>
      </c>
      <c r="B794" s="6">
        <v>45873</v>
      </c>
      <c r="C794" t="s">
        <v>863</v>
      </c>
      <c r="D794" t="s">
        <v>36</v>
      </c>
      <c r="E794" t="s">
        <v>1422</v>
      </c>
      <c r="F794" t="s">
        <v>1417</v>
      </c>
      <c r="G794" s="7">
        <v>1</v>
      </c>
      <c r="H794" s="8">
        <v>14.46</v>
      </c>
      <c r="I794" s="9">
        <v>0</v>
      </c>
      <c r="J794" s="8">
        <v>14.46</v>
      </c>
      <c r="K794" s="8">
        <v>2.73</v>
      </c>
      <c r="L794" t="s">
        <v>17</v>
      </c>
    </row>
    <row r="795" spans="1:12" x14ac:dyDescent="0.25">
      <c r="A795" t="s">
        <v>1428</v>
      </c>
      <c r="B795" s="6">
        <v>45949</v>
      </c>
      <c r="C795" t="s">
        <v>1122</v>
      </c>
      <c r="D795" t="s">
        <v>20</v>
      </c>
      <c r="E795" t="s">
        <v>1429</v>
      </c>
      <c r="F795" t="s">
        <v>1417</v>
      </c>
      <c r="G795" s="7">
        <v>1</v>
      </c>
      <c r="H795" s="8">
        <v>15.42</v>
      </c>
      <c r="I795" s="9">
        <v>20</v>
      </c>
      <c r="J795" s="8">
        <v>12.34</v>
      </c>
      <c r="K795" s="8">
        <v>2.74</v>
      </c>
      <c r="L795" t="s">
        <v>33</v>
      </c>
    </row>
    <row r="796" spans="1:12" x14ac:dyDescent="0.25">
      <c r="A796" t="s">
        <v>1430</v>
      </c>
      <c r="B796" s="6">
        <v>45507</v>
      </c>
      <c r="C796" t="s">
        <v>1431</v>
      </c>
      <c r="D796" t="s">
        <v>31</v>
      </c>
      <c r="E796" t="s">
        <v>1426</v>
      </c>
      <c r="F796" t="s">
        <v>1417</v>
      </c>
      <c r="G796" s="7">
        <v>1</v>
      </c>
      <c r="H796" s="8">
        <v>16.11</v>
      </c>
      <c r="I796" s="9">
        <v>10</v>
      </c>
      <c r="J796" s="8">
        <v>14.5</v>
      </c>
      <c r="K796" s="8">
        <v>2.77</v>
      </c>
      <c r="L796" t="s">
        <v>17</v>
      </c>
    </row>
    <row r="797" spans="1:12" x14ac:dyDescent="0.25">
      <c r="A797" t="s">
        <v>1432</v>
      </c>
      <c r="B797" s="6">
        <v>45577</v>
      </c>
      <c r="C797" t="s">
        <v>1433</v>
      </c>
      <c r="D797" t="s">
        <v>20</v>
      </c>
      <c r="E797" t="s">
        <v>1426</v>
      </c>
      <c r="F797" t="s">
        <v>1417</v>
      </c>
      <c r="G797" s="7">
        <v>1</v>
      </c>
      <c r="H797" s="8">
        <v>15.81</v>
      </c>
      <c r="I797" s="9">
        <v>0</v>
      </c>
      <c r="J797" s="8">
        <v>15.81</v>
      </c>
      <c r="K797" s="8">
        <v>2.79</v>
      </c>
      <c r="L797" t="s">
        <v>33</v>
      </c>
    </row>
    <row r="798" spans="1:12" x14ac:dyDescent="0.25">
      <c r="A798" t="s">
        <v>1434</v>
      </c>
      <c r="B798" s="6">
        <v>45768</v>
      </c>
      <c r="C798" t="s">
        <v>1435</v>
      </c>
      <c r="D798" t="s">
        <v>36</v>
      </c>
      <c r="E798" t="s">
        <v>1436</v>
      </c>
      <c r="F798" t="s">
        <v>1417</v>
      </c>
      <c r="G798" s="7">
        <v>1</v>
      </c>
      <c r="H798" s="8">
        <v>10.45</v>
      </c>
      <c r="I798" s="9">
        <v>5</v>
      </c>
      <c r="J798" s="8">
        <v>9.93</v>
      </c>
      <c r="K798" s="8">
        <v>2.9</v>
      </c>
      <c r="L798" t="s">
        <v>33</v>
      </c>
    </row>
    <row r="799" spans="1:12" x14ac:dyDescent="0.25">
      <c r="A799" t="s">
        <v>1437</v>
      </c>
      <c r="B799" s="6">
        <v>45500</v>
      </c>
      <c r="C799" t="s">
        <v>1438</v>
      </c>
      <c r="D799" t="s">
        <v>36</v>
      </c>
      <c r="E799" t="s">
        <v>1439</v>
      </c>
      <c r="F799" t="s">
        <v>1417</v>
      </c>
      <c r="G799" s="7">
        <v>1</v>
      </c>
      <c r="H799" s="8">
        <v>11.71</v>
      </c>
      <c r="I799" s="9">
        <v>5</v>
      </c>
      <c r="J799" s="8">
        <v>11.12</v>
      </c>
      <c r="K799" s="8">
        <v>3.1</v>
      </c>
      <c r="L799" t="s">
        <v>48</v>
      </c>
    </row>
    <row r="800" spans="1:12" x14ac:dyDescent="0.25">
      <c r="A800" t="s">
        <v>1440</v>
      </c>
      <c r="B800" s="6">
        <v>45377</v>
      </c>
      <c r="C800" t="s">
        <v>1441</v>
      </c>
      <c r="D800" t="s">
        <v>36</v>
      </c>
      <c r="E800" t="s">
        <v>1416</v>
      </c>
      <c r="F800" t="s">
        <v>1417</v>
      </c>
      <c r="G800" s="7">
        <v>1</v>
      </c>
      <c r="H800" s="8">
        <v>19.78</v>
      </c>
      <c r="I800" s="9">
        <v>0</v>
      </c>
      <c r="J800" s="8">
        <v>19.78</v>
      </c>
      <c r="K800" s="8">
        <v>3.27</v>
      </c>
      <c r="L800" t="s">
        <v>17</v>
      </c>
    </row>
    <row r="801" spans="1:12" x14ac:dyDescent="0.25">
      <c r="A801" t="s">
        <v>1442</v>
      </c>
      <c r="B801" s="6">
        <v>45515</v>
      </c>
      <c r="C801" t="s">
        <v>1241</v>
      </c>
      <c r="D801" t="s">
        <v>36</v>
      </c>
      <c r="E801" t="s">
        <v>1443</v>
      </c>
      <c r="F801" t="s">
        <v>1417</v>
      </c>
      <c r="G801" s="7">
        <v>1</v>
      </c>
      <c r="H801" s="8">
        <v>10.93</v>
      </c>
      <c r="I801" s="9">
        <v>10</v>
      </c>
      <c r="J801" s="8">
        <v>9.84</v>
      </c>
      <c r="K801" s="8">
        <v>3.38</v>
      </c>
      <c r="L801" t="s">
        <v>17</v>
      </c>
    </row>
    <row r="802" spans="1:12" x14ac:dyDescent="0.25">
      <c r="A802" t="s">
        <v>1444</v>
      </c>
      <c r="B802" s="6">
        <v>45351</v>
      </c>
      <c r="C802" t="s">
        <v>724</v>
      </c>
      <c r="D802" t="s">
        <v>24</v>
      </c>
      <c r="E802" t="s">
        <v>1426</v>
      </c>
      <c r="F802" t="s">
        <v>1417</v>
      </c>
      <c r="G802" s="7">
        <v>1</v>
      </c>
      <c r="H802" s="8">
        <v>19.97</v>
      </c>
      <c r="I802" s="9">
        <v>0</v>
      </c>
      <c r="J802" s="8">
        <v>19.97</v>
      </c>
      <c r="K802" s="8">
        <v>3.54</v>
      </c>
      <c r="L802" t="s">
        <v>33</v>
      </c>
    </row>
    <row r="803" spans="1:12" x14ac:dyDescent="0.25">
      <c r="A803" t="s">
        <v>1445</v>
      </c>
      <c r="B803" s="6">
        <v>45615</v>
      </c>
      <c r="C803" t="s">
        <v>382</v>
      </c>
      <c r="D803" t="s">
        <v>14</v>
      </c>
      <c r="E803" t="s">
        <v>1416</v>
      </c>
      <c r="F803" t="s">
        <v>1417</v>
      </c>
      <c r="G803" s="7">
        <v>1</v>
      </c>
      <c r="H803" s="8">
        <v>21.59</v>
      </c>
      <c r="I803" s="9">
        <v>0</v>
      </c>
      <c r="J803" s="8">
        <v>21.59</v>
      </c>
      <c r="K803" s="8">
        <v>3.76</v>
      </c>
      <c r="L803" t="s">
        <v>33</v>
      </c>
    </row>
    <row r="804" spans="1:12" x14ac:dyDescent="0.25">
      <c r="A804" t="s">
        <v>1446</v>
      </c>
      <c r="B804" s="6">
        <v>46010</v>
      </c>
      <c r="C804" t="s">
        <v>1447</v>
      </c>
      <c r="D804" t="s">
        <v>24</v>
      </c>
      <c r="E804" t="s">
        <v>1426</v>
      </c>
      <c r="F804" t="s">
        <v>1417</v>
      </c>
      <c r="G804" s="7">
        <v>1</v>
      </c>
      <c r="H804" s="8">
        <v>13.69</v>
      </c>
      <c r="I804" s="9">
        <v>15</v>
      </c>
      <c r="J804" s="8">
        <v>11.64</v>
      </c>
      <c r="K804" s="8">
        <v>3.86</v>
      </c>
      <c r="L804" t="s">
        <v>17</v>
      </c>
    </row>
    <row r="805" spans="1:12" x14ac:dyDescent="0.25">
      <c r="A805" t="s">
        <v>1448</v>
      </c>
      <c r="B805" s="6">
        <v>45777</v>
      </c>
      <c r="C805" t="s">
        <v>1449</v>
      </c>
      <c r="D805" t="s">
        <v>24</v>
      </c>
      <c r="E805" t="s">
        <v>1436</v>
      </c>
      <c r="F805" t="s">
        <v>1417</v>
      </c>
      <c r="G805" s="7">
        <v>1</v>
      </c>
      <c r="H805" s="8">
        <v>19.149999999999999</v>
      </c>
      <c r="I805" s="9">
        <v>0</v>
      </c>
      <c r="J805" s="8">
        <v>19.149999999999999</v>
      </c>
      <c r="K805" s="8">
        <v>3.96</v>
      </c>
      <c r="L805" t="s">
        <v>33</v>
      </c>
    </row>
    <row r="806" spans="1:12" x14ac:dyDescent="0.25">
      <c r="A806" t="s">
        <v>1450</v>
      </c>
      <c r="B806" s="6">
        <v>45917</v>
      </c>
      <c r="C806" t="s">
        <v>598</v>
      </c>
      <c r="D806" t="s">
        <v>20</v>
      </c>
      <c r="E806" t="s">
        <v>1443</v>
      </c>
      <c r="F806" t="s">
        <v>1417</v>
      </c>
      <c r="G806" s="7">
        <v>1</v>
      </c>
      <c r="H806" s="8">
        <v>15.93</v>
      </c>
      <c r="I806" s="9">
        <v>0</v>
      </c>
      <c r="J806" s="8">
        <v>15.93</v>
      </c>
      <c r="K806" s="8">
        <v>4.24</v>
      </c>
      <c r="L806" t="s">
        <v>17</v>
      </c>
    </row>
    <row r="807" spans="1:12" x14ac:dyDescent="0.25">
      <c r="A807" t="s">
        <v>1451</v>
      </c>
      <c r="B807" s="6">
        <v>45866</v>
      </c>
      <c r="C807" t="s">
        <v>1452</v>
      </c>
      <c r="D807" t="s">
        <v>20</v>
      </c>
      <c r="E807" t="s">
        <v>1416</v>
      </c>
      <c r="F807" t="s">
        <v>1417</v>
      </c>
      <c r="G807" s="7">
        <v>1</v>
      </c>
      <c r="H807" s="8">
        <v>26.83</v>
      </c>
      <c r="I807" s="9">
        <v>5</v>
      </c>
      <c r="J807" s="8">
        <v>25.49</v>
      </c>
      <c r="K807" s="8">
        <v>4.4000000000000004</v>
      </c>
      <c r="L807" t="s">
        <v>48</v>
      </c>
    </row>
    <row r="808" spans="1:12" x14ac:dyDescent="0.25">
      <c r="A808" t="s">
        <v>1453</v>
      </c>
      <c r="B808" s="6">
        <v>45295</v>
      </c>
      <c r="C808" t="s">
        <v>571</v>
      </c>
      <c r="D808" t="s">
        <v>36</v>
      </c>
      <c r="E808" t="s">
        <v>1429</v>
      </c>
      <c r="F808" t="s">
        <v>1417</v>
      </c>
      <c r="G808" s="7">
        <v>3</v>
      </c>
      <c r="H808" s="8">
        <v>10.66</v>
      </c>
      <c r="I808" s="9">
        <v>10</v>
      </c>
      <c r="J808" s="8">
        <v>28.78</v>
      </c>
      <c r="K808" s="8">
        <v>4.4400000000000004</v>
      </c>
      <c r="L808" t="s">
        <v>33</v>
      </c>
    </row>
    <row r="809" spans="1:12" x14ac:dyDescent="0.25">
      <c r="A809" t="s">
        <v>1454</v>
      </c>
      <c r="B809" s="6">
        <v>45316</v>
      </c>
      <c r="C809" t="s">
        <v>446</v>
      </c>
      <c r="D809" t="s">
        <v>20</v>
      </c>
      <c r="E809" t="s">
        <v>1436</v>
      </c>
      <c r="F809" t="s">
        <v>1417</v>
      </c>
      <c r="G809" s="7">
        <v>1</v>
      </c>
      <c r="H809" s="8">
        <v>24.47</v>
      </c>
      <c r="I809" s="9">
        <v>20</v>
      </c>
      <c r="J809" s="8">
        <v>19.579999999999998</v>
      </c>
      <c r="K809" s="8">
        <v>4.62</v>
      </c>
      <c r="L809" t="s">
        <v>33</v>
      </c>
    </row>
    <row r="810" spans="1:12" x14ac:dyDescent="0.25">
      <c r="A810" t="s">
        <v>1455</v>
      </c>
      <c r="B810" s="6">
        <v>45392</v>
      </c>
      <c r="C810" t="s">
        <v>1456</v>
      </c>
      <c r="D810" t="s">
        <v>24</v>
      </c>
      <c r="E810" t="s">
        <v>1457</v>
      </c>
      <c r="F810" t="s">
        <v>1417</v>
      </c>
      <c r="G810" s="7">
        <v>1</v>
      </c>
      <c r="H810" s="8">
        <v>16.12</v>
      </c>
      <c r="I810" s="9">
        <v>0</v>
      </c>
      <c r="J810" s="8">
        <v>16.12</v>
      </c>
      <c r="K810" s="8">
        <v>4.96</v>
      </c>
      <c r="L810" t="s">
        <v>33</v>
      </c>
    </row>
    <row r="811" spans="1:12" x14ac:dyDescent="0.25">
      <c r="A811" t="s">
        <v>1458</v>
      </c>
      <c r="B811" s="6">
        <v>45585</v>
      </c>
      <c r="C811" t="s">
        <v>1119</v>
      </c>
      <c r="D811" t="s">
        <v>36</v>
      </c>
      <c r="E811" t="s">
        <v>1429</v>
      </c>
      <c r="F811" t="s">
        <v>1417</v>
      </c>
      <c r="G811" s="7">
        <v>2</v>
      </c>
      <c r="H811" s="8">
        <v>16.010000000000002</v>
      </c>
      <c r="I811" s="9">
        <v>0</v>
      </c>
      <c r="J811" s="8">
        <v>32.020000000000003</v>
      </c>
      <c r="K811" s="8">
        <v>5.12</v>
      </c>
      <c r="L811" t="s">
        <v>17</v>
      </c>
    </row>
    <row r="812" spans="1:12" x14ac:dyDescent="0.25">
      <c r="A812" t="s">
        <v>1459</v>
      </c>
      <c r="B812" s="6">
        <v>45962</v>
      </c>
      <c r="C812" t="s">
        <v>1356</v>
      </c>
      <c r="D812" t="s">
        <v>31</v>
      </c>
      <c r="E812" t="s">
        <v>1436</v>
      </c>
      <c r="F812" t="s">
        <v>1417</v>
      </c>
      <c r="G812" s="7">
        <v>1</v>
      </c>
      <c r="H812" s="8">
        <v>22.9</v>
      </c>
      <c r="I812" s="9">
        <v>0</v>
      </c>
      <c r="J812" s="8">
        <v>22.9</v>
      </c>
      <c r="K812" s="8">
        <v>5.3</v>
      </c>
      <c r="L812" t="s">
        <v>17</v>
      </c>
    </row>
    <row r="813" spans="1:12" x14ac:dyDescent="0.25">
      <c r="A813" t="s">
        <v>1460</v>
      </c>
      <c r="B813" s="6">
        <v>45635</v>
      </c>
      <c r="C813" t="s">
        <v>971</v>
      </c>
      <c r="D813" t="s">
        <v>36</v>
      </c>
      <c r="E813" t="s">
        <v>1429</v>
      </c>
      <c r="F813" t="s">
        <v>1417</v>
      </c>
      <c r="G813" s="7">
        <v>2</v>
      </c>
      <c r="H813" s="8">
        <v>13.83</v>
      </c>
      <c r="I813" s="9">
        <v>5</v>
      </c>
      <c r="J813" s="8">
        <v>26.28</v>
      </c>
      <c r="K813" s="8">
        <v>5.3</v>
      </c>
      <c r="L813" t="s">
        <v>33</v>
      </c>
    </row>
    <row r="814" spans="1:12" x14ac:dyDescent="0.25">
      <c r="A814" t="s">
        <v>1461</v>
      </c>
      <c r="B814" s="6">
        <v>45620</v>
      </c>
      <c r="C814" t="s">
        <v>678</v>
      </c>
      <c r="D814" t="s">
        <v>24</v>
      </c>
      <c r="E814" t="s">
        <v>1429</v>
      </c>
      <c r="F814" t="s">
        <v>1417</v>
      </c>
      <c r="G814" s="7">
        <v>2</v>
      </c>
      <c r="H814" s="8">
        <v>9.2200000000000006</v>
      </c>
      <c r="I814" s="9">
        <v>5</v>
      </c>
      <c r="J814" s="8">
        <v>17.52</v>
      </c>
      <c r="K814" s="8">
        <v>5.32</v>
      </c>
      <c r="L814" t="s">
        <v>17</v>
      </c>
    </row>
    <row r="815" spans="1:12" x14ac:dyDescent="0.25">
      <c r="A815" t="s">
        <v>1462</v>
      </c>
      <c r="B815" s="6">
        <v>45655</v>
      </c>
      <c r="C815" t="s">
        <v>1005</v>
      </c>
      <c r="D815" t="s">
        <v>24</v>
      </c>
      <c r="E815" t="s">
        <v>1436</v>
      </c>
      <c r="F815" t="s">
        <v>1417</v>
      </c>
      <c r="G815" s="7">
        <v>2</v>
      </c>
      <c r="H815" s="8">
        <v>15.05</v>
      </c>
      <c r="I815" s="9">
        <v>0</v>
      </c>
      <c r="J815" s="8">
        <v>30.1</v>
      </c>
      <c r="K815" s="8">
        <v>5.37</v>
      </c>
      <c r="L815" t="s">
        <v>48</v>
      </c>
    </row>
    <row r="816" spans="1:12" x14ac:dyDescent="0.25">
      <c r="A816" t="s">
        <v>1463</v>
      </c>
      <c r="B816" s="6">
        <v>45818</v>
      </c>
      <c r="C816" t="s">
        <v>1464</v>
      </c>
      <c r="D816" t="s">
        <v>14</v>
      </c>
      <c r="E816" t="s">
        <v>1420</v>
      </c>
      <c r="F816" t="s">
        <v>1417</v>
      </c>
      <c r="G816" s="7">
        <v>2</v>
      </c>
      <c r="H816" s="8">
        <v>16.43</v>
      </c>
      <c r="I816" s="9">
        <v>0</v>
      </c>
      <c r="J816" s="8">
        <v>32.86</v>
      </c>
      <c r="K816" s="8">
        <v>5.53</v>
      </c>
      <c r="L816" t="s">
        <v>48</v>
      </c>
    </row>
    <row r="817" spans="1:12" x14ac:dyDescent="0.25">
      <c r="A817" t="s">
        <v>1465</v>
      </c>
      <c r="B817" s="6">
        <v>45402</v>
      </c>
      <c r="C817" t="s">
        <v>575</v>
      </c>
      <c r="D817" t="s">
        <v>24</v>
      </c>
      <c r="E817" t="s">
        <v>1426</v>
      </c>
      <c r="F817" t="s">
        <v>1417</v>
      </c>
      <c r="G817" s="7">
        <v>1</v>
      </c>
      <c r="H817" s="8">
        <v>29.58</v>
      </c>
      <c r="I817" s="9">
        <v>10</v>
      </c>
      <c r="J817" s="8">
        <v>26.62</v>
      </c>
      <c r="K817" s="8">
        <v>5.62</v>
      </c>
      <c r="L817" t="s">
        <v>33</v>
      </c>
    </row>
    <row r="818" spans="1:12" x14ac:dyDescent="0.25">
      <c r="A818" t="s">
        <v>1466</v>
      </c>
      <c r="B818" s="6">
        <v>45762</v>
      </c>
      <c r="C818" t="s">
        <v>388</v>
      </c>
      <c r="D818" t="s">
        <v>31</v>
      </c>
      <c r="E818" t="s">
        <v>1443</v>
      </c>
      <c r="F818" t="s">
        <v>1417</v>
      </c>
      <c r="G818" s="7">
        <v>1</v>
      </c>
      <c r="H818" s="8">
        <v>37.97</v>
      </c>
      <c r="I818" s="9">
        <v>10</v>
      </c>
      <c r="J818" s="8">
        <v>34.17</v>
      </c>
      <c r="K818" s="8">
        <v>5.77</v>
      </c>
      <c r="L818" t="s">
        <v>48</v>
      </c>
    </row>
    <row r="819" spans="1:12" x14ac:dyDescent="0.25">
      <c r="A819" t="s">
        <v>1467</v>
      </c>
      <c r="B819" s="6">
        <v>45853</v>
      </c>
      <c r="C819" t="s">
        <v>788</v>
      </c>
      <c r="D819" t="s">
        <v>36</v>
      </c>
      <c r="E819" t="s">
        <v>1429</v>
      </c>
      <c r="F819" t="s">
        <v>1417</v>
      </c>
      <c r="G819" s="7">
        <v>1</v>
      </c>
      <c r="H819" s="8">
        <v>23.11</v>
      </c>
      <c r="I819" s="9">
        <v>15</v>
      </c>
      <c r="J819" s="8">
        <v>19.64</v>
      </c>
      <c r="K819" s="8">
        <v>5.92</v>
      </c>
      <c r="L819" t="s">
        <v>33</v>
      </c>
    </row>
    <row r="820" spans="1:12" x14ac:dyDescent="0.25">
      <c r="A820" t="s">
        <v>1468</v>
      </c>
      <c r="B820" s="6">
        <v>45336</v>
      </c>
      <c r="C820" t="s">
        <v>1469</v>
      </c>
      <c r="D820" t="s">
        <v>36</v>
      </c>
      <c r="E820" t="s">
        <v>1436</v>
      </c>
      <c r="F820" t="s">
        <v>1417</v>
      </c>
      <c r="G820" s="7">
        <v>1</v>
      </c>
      <c r="H820" s="8">
        <v>31.11</v>
      </c>
      <c r="I820" s="9">
        <v>0</v>
      </c>
      <c r="J820" s="8">
        <v>31.11</v>
      </c>
      <c r="K820" s="8">
        <v>5.95</v>
      </c>
      <c r="L820" t="s">
        <v>17</v>
      </c>
    </row>
    <row r="821" spans="1:12" x14ac:dyDescent="0.25">
      <c r="A821" t="s">
        <v>1470</v>
      </c>
      <c r="B821" s="6">
        <v>45409</v>
      </c>
      <c r="C821" t="s">
        <v>1471</v>
      </c>
      <c r="D821" t="s">
        <v>36</v>
      </c>
      <c r="E821" t="s">
        <v>1420</v>
      </c>
      <c r="F821" t="s">
        <v>1417</v>
      </c>
      <c r="G821" s="7">
        <v>2</v>
      </c>
      <c r="H821" s="8">
        <v>11.27</v>
      </c>
      <c r="I821" s="9">
        <v>0</v>
      </c>
      <c r="J821" s="8">
        <v>22.54</v>
      </c>
      <c r="K821" s="8">
        <v>5.97</v>
      </c>
      <c r="L821" t="s">
        <v>33</v>
      </c>
    </row>
    <row r="822" spans="1:12" x14ac:dyDescent="0.25">
      <c r="A822" t="s">
        <v>1472</v>
      </c>
      <c r="B822" s="6">
        <v>45831</v>
      </c>
      <c r="C822" t="s">
        <v>239</v>
      </c>
      <c r="D822" t="s">
        <v>24</v>
      </c>
      <c r="E822" t="s">
        <v>1426</v>
      </c>
      <c r="F822" t="s">
        <v>1417</v>
      </c>
      <c r="G822" s="7">
        <v>1</v>
      </c>
      <c r="H822" s="8">
        <v>18.27</v>
      </c>
      <c r="I822" s="9">
        <v>0</v>
      </c>
      <c r="J822" s="8">
        <v>18.27</v>
      </c>
      <c r="K822" s="8">
        <v>6.13</v>
      </c>
      <c r="L822" t="s">
        <v>17</v>
      </c>
    </row>
    <row r="823" spans="1:12" x14ac:dyDescent="0.25">
      <c r="A823" t="s">
        <v>1473</v>
      </c>
      <c r="B823" s="6">
        <v>45726</v>
      </c>
      <c r="C823" t="s">
        <v>1474</v>
      </c>
      <c r="D823" t="s">
        <v>20</v>
      </c>
      <c r="E823" t="s">
        <v>1426</v>
      </c>
      <c r="F823" t="s">
        <v>1417</v>
      </c>
      <c r="G823" s="7">
        <v>1</v>
      </c>
      <c r="H823" s="8">
        <v>19.97</v>
      </c>
      <c r="I823" s="9">
        <v>0</v>
      </c>
      <c r="J823" s="8">
        <v>19.97</v>
      </c>
      <c r="K823" s="8">
        <v>6.25</v>
      </c>
      <c r="L823" t="s">
        <v>48</v>
      </c>
    </row>
    <row r="824" spans="1:12" x14ac:dyDescent="0.25">
      <c r="A824" t="s">
        <v>1475</v>
      </c>
      <c r="B824" s="6">
        <v>45970</v>
      </c>
      <c r="C824" t="s">
        <v>1058</v>
      </c>
      <c r="D824" t="s">
        <v>24</v>
      </c>
      <c r="E824" t="s">
        <v>1457</v>
      </c>
      <c r="F824" t="s">
        <v>1417</v>
      </c>
      <c r="G824" s="7">
        <v>1</v>
      </c>
      <c r="H824" s="8">
        <v>30.37</v>
      </c>
      <c r="I824" s="9">
        <v>10</v>
      </c>
      <c r="J824" s="8">
        <v>27.33</v>
      </c>
      <c r="K824" s="8">
        <v>6.25</v>
      </c>
      <c r="L824" t="s">
        <v>33</v>
      </c>
    </row>
    <row r="825" spans="1:12" x14ac:dyDescent="0.25">
      <c r="A825" t="s">
        <v>1476</v>
      </c>
      <c r="B825" s="6">
        <v>45871</v>
      </c>
      <c r="C825" t="s">
        <v>1477</v>
      </c>
      <c r="D825" t="s">
        <v>20</v>
      </c>
      <c r="E825" t="s">
        <v>1478</v>
      </c>
      <c r="F825" t="s">
        <v>1417</v>
      </c>
      <c r="G825" s="7">
        <v>1</v>
      </c>
      <c r="H825" s="8">
        <v>32.9</v>
      </c>
      <c r="I825" s="9">
        <v>20</v>
      </c>
      <c r="J825" s="8">
        <v>26.32</v>
      </c>
      <c r="K825" s="8">
        <v>6.5</v>
      </c>
      <c r="L825" t="s">
        <v>33</v>
      </c>
    </row>
    <row r="826" spans="1:12" x14ac:dyDescent="0.25">
      <c r="A826" t="s">
        <v>1479</v>
      </c>
      <c r="B826" s="6">
        <v>45619</v>
      </c>
      <c r="C826" t="s">
        <v>1480</v>
      </c>
      <c r="D826" t="s">
        <v>20</v>
      </c>
      <c r="E826" t="s">
        <v>1420</v>
      </c>
      <c r="F826" t="s">
        <v>1417</v>
      </c>
      <c r="G826" s="7">
        <v>1</v>
      </c>
      <c r="H826" s="8">
        <v>26.44</v>
      </c>
      <c r="I826" s="9">
        <v>20</v>
      </c>
      <c r="J826" s="8">
        <v>21.15</v>
      </c>
      <c r="K826" s="8">
        <v>6.54</v>
      </c>
      <c r="L826" t="s">
        <v>33</v>
      </c>
    </row>
    <row r="827" spans="1:12" x14ac:dyDescent="0.25">
      <c r="A827" t="s">
        <v>1481</v>
      </c>
      <c r="B827" s="6">
        <v>45906</v>
      </c>
      <c r="C827" t="s">
        <v>729</v>
      </c>
      <c r="D827" t="s">
        <v>36</v>
      </c>
      <c r="E827" t="s">
        <v>1443</v>
      </c>
      <c r="F827" t="s">
        <v>1417</v>
      </c>
      <c r="G827" s="7">
        <v>1</v>
      </c>
      <c r="H827" s="8">
        <v>37.72</v>
      </c>
      <c r="I827" s="9">
        <v>20</v>
      </c>
      <c r="J827" s="8">
        <v>30.18</v>
      </c>
      <c r="K827" s="8">
        <v>6.75</v>
      </c>
      <c r="L827" t="s">
        <v>33</v>
      </c>
    </row>
    <row r="828" spans="1:12" x14ac:dyDescent="0.25">
      <c r="A828" t="s">
        <v>1482</v>
      </c>
      <c r="B828" s="6">
        <v>45316</v>
      </c>
      <c r="C828" t="s">
        <v>1483</v>
      </c>
      <c r="D828" t="s">
        <v>24</v>
      </c>
      <c r="E828" t="s">
        <v>1429</v>
      </c>
      <c r="F828" t="s">
        <v>1417</v>
      </c>
      <c r="G828" s="7">
        <v>1</v>
      </c>
      <c r="H828" s="8">
        <v>29.98</v>
      </c>
      <c r="I828" s="9">
        <v>5</v>
      </c>
      <c r="J828" s="8">
        <v>28.48</v>
      </c>
      <c r="K828" s="8">
        <v>6.76</v>
      </c>
      <c r="L828" t="s">
        <v>33</v>
      </c>
    </row>
    <row r="829" spans="1:12" x14ac:dyDescent="0.25">
      <c r="A829" t="s">
        <v>1484</v>
      </c>
      <c r="B829" s="6">
        <v>46007</v>
      </c>
      <c r="C829" t="s">
        <v>76</v>
      </c>
      <c r="D829" t="s">
        <v>31</v>
      </c>
      <c r="E829" t="s">
        <v>1426</v>
      </c>
      <c r="F829" t="s">
        <v>1417</v>
      </c>
      <c r="G829" s="7">
        <v>2</v>
      </c>
      <c r="H829" s="8">
        <v>11.42</v>
      </c>
      <c r="I829" s="9">
        <v>0</v>
      </c>
      <c r="J829" s="8">
        <v>22.84</v>
      </c>
      <c r="K829" s="8">
        <v>6.78</v>
      </c>
      <c r="L829" t="s">
        <v>17</v>
      </c>
    </row>
    <row r="830" spans="1:12" x14ac:dyDescent="0.25">
      <c r="A830" t="s">
        <v>1485</v>
      </c>
      <c r="B830" s="6">
        <v>45491</v>
      </c>
      <c r="C830" t="s">
        <v>1486</v>
      </c>
      <c r="D830" t="s">
        <v>36</v>
      </c>
      <c r="E830" t="s">
        <v>1420</v>
      </c>
      <c r="F830" t="s">
        <v>1417</v>
      </c>
      <c r="G830" s="7">
        <v>2</v>
      </c>
      <c r="H830" s="8">
        <v>17.25</v>
      </c>
      <c r="I830" s="9">
        <v>15</v>
      </c>
      <c r="J830" s="8">
        <v>29.33</v>
      </c>
      <c r="K830" s="8">
        <v>6.83</v>
      </c>
      <c r="L830" t="s">
        <v>33</v>
      </c>
    </row>
    <row r="831" spans="1:12" x14ac:dyDescent="0.25">
      <c r="A831" t="s">
        <v>1487</v>
      </c>
      <c r="B831" s="6">
        <v>45731</v>
      </c>
      <c r="C831" t="s">
        <v>1488</v>
      </c>
      <c r="D831" t="s">
        <v>14</v>
      </c>
      <c r="E831" t="s">
        <v>1457</v>
      </c>
      <c r="F831" t="s">
        <v>1417</v>
      </c>
      <c r="G831" s="7">
        <v>1</v>
      </c>
      <c r="H831" s="8">
        <v>48.97</v>
      </c>
      <c r="I831" s="9">
        <v>10</v>
      </c>
      <c r="J831" s="8">
        <v>44.07</v>
      </c>
      <c r="K831" s="8">
        <v>6.91</v>
      </c>
      <c r="L831" t="s">
        <v>48</v>
      </c>
    </row>
    <row r="832" spans="1:12" x14ac:dyDescent="0.25">
      <c r="A832" t="s">
        <v>1489</v>
      </c>
      <c r="B832" s="6">
        <v>45380</v>
      </c>
      <c r="C832" t="s">
        <v>1490</v>
      </c>
      <c r="D832" t="s">
        <v>31</v>
      </c>
      <c r="E832" t="s">
        <v>1422</v>
      </c>
      <c r="F832" t="s">
        <v>1417</v>
      </c>
      <c r="G832" s="7">
        <v>3</v>
      </c>
      <c r="H832" s="8">
        <v>9.4</v>
      </c>
      <c r="I832" s="9">
        <v>5</v>
      </c>
      <c r="J832" s="8">
        <v>26.79</v>
      </c>
      <c r="K832" s="8">
        <v>6.93</v>
      </c>
      <c r="L832" t="s">
        <v>33</v>
      </c>
    </row>
    <row r="833" spans="1:12" x14ac:dyDescent="0.25">
      <c r="A833" t="s">
        <v>1491</v>
      </c>
      <c r="B833" s="6">
        <v>45716</v>
      </c>
      <c r="C833" t="s">
        <v>717</v>
      </c>
      <c r="D833" t="s">
        <v>24</v>
      </c>
      <c r="E833" t="s">
        <v>1420</v>
      </c>
      <c r="F833" t="s">
        <v>1417</v>
      </c>
      <c r="G833" s="7">
        <v>1</v>
      </c>
      <c r="H833" s="8">
        <v>42.93</v>
      </c>
      <c r="I833" s="9">
        <v>15</v>
      </c>
      <c r="J833" s="8">
        <v>36.49</v>
      </c>
      <c r="K833" s="8">
        <v>6.95</v>
      </c>
      <c r="L833" t="s">
        <v>17</v>
      </c>
    </row>
    <row r="834" spans="1:12" x14ac:dyDescent="0.25">
      <c r="A834" t="s">
        <v>1492</v>
      </c>
      <c r="B834" s="6">
        <v>45776</v>
      </c>
      <c r="C834" t="s">
        <v>142</v>
      </c>
      <c r="D834" t="s">
        <v>36</v>
      </c>
      <c r="E834" t="s">
        <v>1422</v>
      </c>
      <c r="F834" t="s">
        <v>1417</v>
      </c>
      <c r="G834" s="7">
        <v>1</v>
      </c>
      <c r="H834" s="8">
        <v>33.49</v>
      </c>
      <c r="I834" s="9">
        <v>15</v>
      </c>
      <c r="J834" s="8">
        <v>28.47</v>
      </c>
      <c r="K834" s="8">
        <v>7.09</v>
      </c>
      <c r="L834" t="s">
        <v>33</v>
      </c>
    </row>
    <row r="835" spans="1:12" x14ac:dyDescent="0.25">
      <c r="A835" t="s">
        <v>1493</v>
      </c>
      <c r="B835" s="6">
        <v>45897</v>
      </c>
      <c r="C835" t="s">
        <v>1494</v>
      </c>
      <c r="D835" t="s">
        <v>36</v>
      </c>
      <c r="E835" t="s">
        <v>1420</v>
      </c>
      <c r="F835" t="s">
        <v>1417</v>
      </c>
      <c r="G835" s="7">
        <v>2</v>
      </c>
      <c r="H835" s="8">
        <v>17.5</v>
      </c>
      <c r="I835" s="9">
        <v>15</v>
      </c>
      <c r="J835" s="8">
        <v>29.75</v>
      </c>
      <c r="K835" s="8">
        <v>7.22</v>
      </c>
      <c r="L835" t="s">
        <v>33</v>
      </c>
    </row>
    <row r="836" spans="1:12" x14ac:dyDescent="0.25">
      <c r="A836" t="s">
        <v>1495</v>
      </c>
      <c r="B836" s="6">
        <v>45313</v>
      </c>
      <c r="C836" t="s">
        <v>88</v>
      </c>
      <c r="D836" t="s">
        <v>24</v>
      </c>
      <c r="E836" t="s">
        <v>1478</v>
      </c>
      <c r="F836" t="s">
        <v>1417</v>
      </c>
      <c r="G836" s="7">
        <v>1</v>
      </c>
      <c r="H836" s="8">
        <v>39.25</v>
      </c>
      <c r="I836" s="9">
        <v>15</v>
      </c>
      <c r="J836" s="8">
        <v>33.36</v>
      </c>
      <c r="K836" s="8">
        <v>7.42</v>
      </c>
      <c r="L836" t="s">
        <v>33</v>
      </c>
    </row>
    <row r="837" spans="1:12" x14ac:dyDescent="0.25">
      <c r="A837" t="s">
        <v>1496</v>
      </c>
      <c r="B837" s="6">
        <v>45789</v>
      </c>
      <c r="C837" t="s">
        <v>733</v>
      </c>
      <c r="D837" t="s">
        <v>31</v>
      </c>
      <c r="E837" t="s">
        <v>1436</v>
      </c>
      <c r="F837" t="s">
        <v>1417</v>
      </c>
      <c r="G837" s="7">
        <v>2</v>
      </c>
      <c r="H837" s="8">
        <v>17.579999999999998</v>
      </c>
      <c r="I837" s="9">
        <v>20</v>
      </c>
      <c r="J837" s="8">
        <v>28.13</v>
      </c>
      <c r="K837" s="8">
        <v>7.63</v>
      </c>
      <c r="L837" t="s">
        <v>33</v>
      </c>
    </row>
    <row r="838" spans="1:12" x14ac:dyDescent="0.25">
      <c r="A838" t="s">
        <v>1497</v>
      </c>
      <c r="B838" s="6">
        <v>45730</v>
      </c>
      <c r="C838" t="s">
        <v>1498</v>
      </c>
      <c r="D838" t="s">
        <v>24</v>
      </c>
      <c r="E838" t="s">
        <v>1478</v>
      </c>
      <c r="F838" t="s">
        <v>1417</v>
      </c>
      <c r="G838" s="7">
        <v>1</v>
      </c>
      <c r="H838" s="8">
        <v>31.45</v>
      </c>
      <c r="I838" s="9">
        <v>0</v>
      </c>
      <c r="J838" s="8">
        <v>31.45</v>
      </c>
      <c r="K838" s="8">
        <v>7.69</v>
      </c>
      <c r="L838" t="s">
        <v>33</v>
      </c>
    </row>
    <row r="839" spans="1:12" x14ac:dyDescent="0.25">
      <c r="A839" t="s">
        <v>1499</v>
      </c>
      <c r="B839" s="6">
        <v>45944</v>
      </c>
      <c r="C839" t="s">
        <v>1500</v>
      </c>
      <c r="D839" t="s">
        <v>20</v>
      </c>
      <c r="E839" t="s">
        <v>1429</v>
      </c>
      <c r="F839" t="s">
        <v>1417</v>
      </c>
      <c r="G839" s="7">
        <v>1</v>
      </c>
      <c r="H839" s="8">
        <v>52.7</v>
      </c>
      <c r="I839" s="9">
        <v>10</v>
      </c>
      <c r="J839" s="8">
        <v>47.43</v>
      </c>
      <c r="K839" s="8">
        <v>7.69</v>
      </c>
      <c r="L839" t="s">
        <v>17</v>
      </c>
    </row>
    <row r="840" spans="1:12" x14ac:dyDescent="0.25">
      <c r="A840" t="s">
        <v>1501</v>
      </c>
      <c r="B840" s="6">
        <v>45588</v>
      </c>
      <c r="C840" t="s">
        <v>1126</v>
      </c>
      <c r="D840" t="s">
        <v>14</v>
      </c>
      <c r="E840" t="s">
        <v>1422</v>
      </c>
      <c r="F840" t="s">
        <v>1417</v>
      </c>
      <c r="G840" s="7">
        <v>2</v>
      </c>
      <c r="H840" s="8">
        <v>20.71</v>
      </c>
      <c r="I840" s="9">
        <v>15</v>
      </c>
      <c r="J840" s="8">
        <v>35.21</v>
      </c>
      <c r="K840" s="8">
        <v>7.72</v>
      </c>
      <c r="L840" t="s">
        <v>17</v>
      </c>
    </row>
    <row r="841" spans="1:12" x14ac:dyDescent="0.25">
      <c r="A841" t="s">
        <v>1502</v>
      </c>
      <c r="B841" s="6">
        <v>45322</v>
      </c>
      <c r="C841" t="s">
        <v>1503</v>
      </c>
      <c r="D841" t="s">
        <v>31</v>
      </c>
      <c r="E841" t="s">
        <v>1426</v>
      </c>
      <c r="F841" t="s">
        <v>1417</v>
      </c>
      <c r="G841" s="7">
        <v>2</v>
      </c>
      <c r="H841" s="8">
        <v>14.89</v>
      </c>
      <c r="I841" s="9">
        <v>10</v>
      </c>
      <c r="J841" s="8">
        <v>26.8</v>
      </c>
      <c r="K841" s="8">
        <v>7.8</v>
      </c>
      <c r="L841" t="s">
        <v>33</v>
      </c>
    </row>
    <row r="842" spans="1:12" x14ac:dyDescent="0.25">
      <c r="A842" t="s">
        <v>1504</v>
      </c>
      <c r="B842" s="6">
        <v>45701</v>
      </c>
      <c r="C842" t="s">
        <v>1505</v>
      </c>
      <c r="D842" t="s">
        <v>20</v>
      </c>
      <c r="E842" t="s">
        <v>1420</v>
      </c>
      <c r="F842" t="s">
        <v>1417</v>
      </c>
      <c r="G842" s="7">
        <v>1</v>
      </c>
      <c r="H842" s="8">
        <v>49.45</v>
      </c>
      <c r="I842" s="9">
        <v>10</v>
      </c>
      <c r="J842" s="8">
        <v>44.51</v>
      </c>
      <c r="K842" s="8">
        <v>7.81</v>
      </c>
      <c r="L842" t="s">
        <v>33</v>
      </c>
    </row>
    <row r="843" spans="1:12" x14ac:dyDescent="0.25">
      <c r="A843" t="s">
        <v>1506</v>
      </c>
      <c r="B843" s="6">
        <v>45396</v>
      </c>
      <c r="C843" t="s">
        <v>567</v>
      </c>
      <c r="D843" t="s">
        <v>20</v>
      </c>
      <c r="E843" t="s">
        <v>1426</v>
      </c>
      <c r="F843" t="s">
        <v>1417</v>
      </c>
      <c r="G843" s="7">
        <v>1</v>
      </c>
      <c r="H843" s="8">
        <v>31.8</v>
      </c>
      <c r="I843" s="9">
        <v>15</v>
      </c>
      <c r="J843" s="8">
        <v>27.03</v>
      </c>
      <c r="K843" s="8">
        <v>7.93</v>
      </c>
      <c r="L843" t="s">
        <v>48</v>
      </c>
    </row>
    <row r="844" spans="1:12" x14ac:dyDescent="0.25">
      <c r="A844" t="s">
        <v>1507</v>
      </c>
      <c r="B844" s="6">
        <v>45639</v>
      </c>
      <c r="C844" t="s">
        <v>1051</v>
      </c>
      <c r="D844" t="s">
        <v>31</v>
      </c>
      <c r="E844" t="s">
        <v>1436</v>
      </c>
      <c r="F844" t="s">
        <v>1417</v>
      </c>
      <c r="G844" s="7">
        <v>2</v>
      </c>
      <c r="H844" s="8">
        <v>21.28</v>
      </c>
      <c r="I844" s="9">
        <v>20</v>
      </c>
      <c r="J844" s="8">
        <v>34.049999999999997</v>
      </c>
      <c r="K844" s="8">
        <v>7.93</v>
      </c>
      <c r="L844" t="s">
        <v>17</v>
      </c>
    </row>
    <row r="845" spans="1:12" x14ac:dyDescent="0.25">
      <c r="A845" t="s">
        <v>1508</v>
      </c>
      <c r="B845" s="6">
        <v>45805</v>
      </c>
      <c r="C845" t="s">
        <v>1509</v>
      </c>
      <c r="D845" t="s">
        <v>24</v>
      </c>
      <c r="E845" t="s">
        <v>1478</v>
      </c>
      <c r="F845" t="s">
        <v>1417</v>
      </c>
      <c r="G845" s="7">
        <v>1</v>
      </c>
      <c r="H845" s="8">
        <v>28.45</v>
      </c>
      <c r="I845" s="9">
        <v>0</v>
      </c>
      <c r="J845" s="8">
        <v>28.45</v>
      </c>
      <c r="K845" s="8">
        <v>8.09</v>
      </c>
      <c r="L845" t="s">
        <v>17</v>
      </c>
    </row>
    <row r="846" spans="1:12" x14ac:dyDescent="0.25">
      <c r="A846" t="s">
        <v>1510</v>
      </c>
      <c r="B846" s="6">
        <v>45519</v>
      </c>
      <c r="C846" t="s">
        <v>1511</v>
      </c>
      <c r="D846" t="s">
        <v>24</v>
      </c>
      <c r="E846" t="s">
        <v>1436</v>
      </c>
      <c r="F846" t="s">
        <v>1417</v>
      </c>
      <c r="G846" s="7">
        <v>1</v>
      </c>
      <c r="H846" s="8">
        <v>42.16</v>
      </c>
      <c r="I846" s="9">
        <v>0</v>
      </c>
      <c r="J846" s="8">
        <v>42.16</v>
      </c>
      <c r="K846" s="8">
        <v>8.14</v>
      </c>
      <c r="L846" t="s">
        <v>33</v>
      </c>
    </row>
    <row r="847" spans="1:12" x14ac:dyDescent="0.25">
      <c r="A847" t="s">
        <v>1512</v>
      </c>
      <c r="B847" s="6">
        <v>45813</v>
      </c>
      <c r="C847" t="s">
        <v>1513</v>
      </c>
      <c r="D847" t="s">
        <v>36</v>
      </c>
      <c r="E847" t="s">
        <v>1436</v>
      </c>
      <c r="F847" t="s">
        <v>1417</v>
      </c>
      <c r="G847" s="7">
        <v>1</v>
      </c>
      <c r="H847" s="8">
        <v>30.02</v>
      </c>
      <c r="I847" s="9">
        <v>0</v>
      </c>
      <c r="J847" s="8">
        <v>30.02</v>
      </c>
      <c r="K847" s="8">
        <v>8.24</v>
      </c>
      <c r="L847" t="s">
        <v>17</v>
      </c>
    </row>
    <row r="848" spans="1:12" x14ac:dyDescent="0.25">
      <c r="A848" t="s">
        <v>1514</v>
      </c>
      <c r="B848" s="6">
        <v>45987</v>
      </c>
      <c r="C848" t="s">
        <v>1515</v>
      </c>
      <c r="D848" t="s">
        <v>14</v>
      </c>
      <c r="E848" t="s">
        <v>1436</v>
      </c>
      <c r="F848" t="s">
        <v>1417</v>
      </c>
      <c r="G848" s="7">
        <v>1</v>
      </c>
      <c r="H848" s="8">
        <v>26.49</v>
      </c>
      <c r="I848" s="9">
        <v>0</v>
      </c>
      <c r="J848" s="8">
        <v>26.49</v>
      </c>
      <c r="K848" s="8">
        <v>8.25</v>
      </c>
      <c r="L848" t="s">
        <v>33</v>
      </c>
    </row>
    <row r="849" spans="1:12" x14ac:dyDescent="0.25">
      <c r="A849" t="s">
        <v>1516</v>
      </c>
      <c r="B849" s="6">
        <v>45380</v>
      </c>
      <c r="C849" t="s">
        <v>1517</v>
      </c>
      <c r="D849" t="s">
        <v>36</v>
      </c>
      <c r="E849" t="s">
        <v>1422</v>
      </c>
      <c r="F849" t="s">
        <v>1417</v>
      </c>
      <c r="G849" s="7">
        <v>2</v>
      </c>
      <c r="H849" s="8">
        <v>19.55</v>
      </c>
      <c r="I849" s="9">
        <v>20</v>
      </c>
      <c r="J849" s="8">
        <v>31.28</v>
      </c>
      <c r="K849" s="8">
        <v>8.26</v>
      </c>
      <c r="L849" t="s">
        <v>17</v>
      </c>
    </row>
    <row r="850" spans="1:12" x14ac:dyDescent="0.25">
      <c r="A850" t="s">
        <v>1518</v>
      </c>
      <c r="B850" s="6">
        <v>45549</v>
      </c>
      <c r="C850" t="s">
        <v>1284</v>
      </c>
      <c r="D850" t="s">
        <v>20</v>
      </c>
      <c r="E850" t="s">
        <v>1429</v>
      </c>
      <c r="F850" t="s">
        <v>1417</v>
      </c>
      <c r="G850" s="7">
        <v>1</v>
      </c>
      <c r="H850" s="8">
        <v>38.869999999999997</v>
      </c>
      <c r="I850" s="9">
        <v>0</v>
      </c>
      <c r="J850" s="8">
        <v>38.869999999999997</v>
      </c>
      <c r="K850" s="8">
        <v>8.41</v>
      </c>
      <c r="L850" t="s">
        <v>48</v>
      </c>
    </row>
    <row r="851" spans="1:12" x14ac:dyDescent="0.25">
      <c r="A851" t="s">
        <v>1519</v>
      </c>
      <c r="B851" s="6">
        <v>45321</v>
      </c>
      <c r="C851" t="s">
        <v>1520</v>
      </c>
      <c r="D851" t="s">
        <v>20</v>
      </c>
      <c r="E851" t="s">
        <v>1439</v>
      </c>
      <c r="F851" t="s">
        <v>1417</v>
      </c>
      <c r="G851" s="7">
        <v>1</v>
      </c>
      <c r="H851" s="8">
        <v>44.78</v>
      </c>
      <c r="I851" s="9">
        <v>20</v>
      </c>
      <c r="J851" s="8">
        <v>35.82</v>
      </c>
      <c r="K851" s="8">
        <v>8.5</v>
      </c>
      <c r="L851" t="s">
        <v>17</v>
      </c>
    </row>
    <row r="852" spans="1:12" x14ac:dyDescent="0.25">
      <c r="A852" t="s">
        <v>1521</v>
      </c>
      <c r="B852" s="6">
        <v>45700</v>
      </c>
      <c r="C852" t="s">
        <v>1289</v>
      </c>
      <c r="D852" t="s">
        <v>20</v>
      </c>
      <c r="E852" t="s">
        <v>1422</v>
      </c>
      <c r="F852" t="s">
        <v>1417</v>
      </c>
      <c r="G852" s="7">
        <v>1</v>
      </c>
      <c r="H852" s="8">
        <v>52.35</v>
      </c>
      <c r="I852" s="9">
        <v>0</v>
      </c>
      <c r="J852" s="8">
        <v>52.35</v>
      </c>
      <c r="K852" s="8">
        <v>8.52</v>
      </c>
      <c r="L852" t="s">
        <v>33</v>
      </c>
    </row>
    <row r="853" spans="1:12" x14ac:dyDescent="0.25">
      <c r="A853" t="s">
        <v>1522</v>
      </c>
      <c r="B853" s="6">
        <v>45850</v>
      </c>
      <c r="C853" t="s">
        <v>210</v>
      </c>
      <c r="D853" t="s">
        <v>24</v>
      </c>
      <c r="E853" t="s">
        <v>1420</v>
      </c>
      <c r="F853" t="s">
        <v>1417</v>
      </c>
      <c r="G853" s="7">
        <v>2</v>
      </c>
      <c r="H853" s="8">
        <v>16.91</v>
      </c>
      <c r="I853" s="9">
        <v>10</v>
      </c>
      <c r="J853" s="8">
        <v>30.44</v>
      </c>
      <c r="K853" s="8">
        <v>8.57</v>
      </c>
      <c r="L853" t="s">
        <v>33</v>
      </c>
    </row>
    <row r="854" spans="1:12" x14ac:dyDescent="0.25">
      <c r="A854" t="s">
        <v>1523</v>
      </c>
      <c r="B854" s="6">
        <v>45993</v>
      </c>
      <c r="C854" t="s">
        <v>1524</v>
      </c>
      <c r="D854" t="s">
        <v>31</v>
      </c>
      <c r="E854" t="s">
        <v>1457</v>
      </c>
      <c r="F854" t="s">
        <v>1417</v>
      </c>
      <c r="G854" s="7">
        <v>2</v>
      </c>
      <c r="H854" s="8">
        <v>15.54</v>
      </c>
      <c r="I854" s="9">
        <v>0</v>
      </c>
      <c r="J854" s="8">
        <v>31.08</v>
      </c>
      <c r="K854" s="8">
        <v>8.59</v>
      </c>
      <c r="L854" t="s">
        <v>48</v>
      </c>
    </row>
    <row r="855" spans="1:12" x14ac:dyDescent="0.25">
      <c r="A855" t="s">
        <v>1525</v>
      </c>
      <c r="B855" s="6">
        <v>45636</v>
      </c>
      <c r="C855" t="s">
        <v>790</v>
      </c>
      <c r="D855" t="s">
        <v>20</v>
      </c>
      <c r="E855" t="s">
        <v>1439</v>
      </c>
      <c r="F855" t="s">
        <v>1417</v>
      </c>
      <c r="G855" s="7">
        <v>1</v>
      </c>
      <c r="H855" s="8">
        <v>54.65</v>
      </c>
      <c r="I855" s="9">
        <v>5</v>
      </c>
      <c r="J855" s="8">
        <v>51.92</v>
      </c>
      <c r="K855" s="8">
        <v>8.61</v>
      </c>
      <c r="L855" t="s">
        <v>33</v>
      </c>
    </row>
    <row r="856" spans="1:12" x14ac:dyDescent="0.25">
      <c r="A856" t="s">
        <v>1526</v>
      </c>
      <c r="B856" s="6">
        <v>45486</v>
      </c>
      <c r="C856" t="s">
        <v>1527</v>
      </c>
      <c r="D856" t="s">
        <v>31</v>
      </c>
      <c r="E856" t="s">
        <v>1457</v>
      </c>
      <c r="F856" t="s">
        <v>1417</v>
      </c>
      <c r="G856" s="7">
        <v>2</v>
      </c>
      <c r="H856" s="8">
        <v>25.2</v>
      </c>
      <c r="I856" s="9">
        <v>10</v>
      </c>
      <c r="J856" s="8">
        <v>45.36</v>
      </c>
      <c r="K856" s="8">
        <v>8.7200000000000006</v>
      </c>
      <c r="L856" t="s">
        <v>33</v>
      </c>
    </row>
    <row r="857" spans="1:12" x14ac:dyDescent="0.25">
      <c r="A857" t="s">
        <v>1528</v>
      </c>
      <c r="B857" s="6">
        <v>45562</v>
      </c>
      <c r="C857" t="s">
        <v>531</v>
      </c>
      <c r="D857" t="s">
        <v>36</v>
      </c>
      <c r="E857" t="s">
        <v>1426</v>
      </c>
      <c r="F857" t="s">
        <v>1417</v>
      </c>
      <c r="G857" s="7">
        <v>1</v>
      </c>
      <c r="H857" s="8">
        <v>56.55</v>
      </c>
      <c r="I857" s="9">
        <v>5</v>
      </c>
      <c r="J857" s="8">
        <v>53.72</v>
      </c>
      <c r="K857" s="8">
        <v>8.81</v>
      </c>
      <c r="L857" t="s">
        <v>33</v>
      </c>
    </row>
    <row r="858" spans="1:12" x14ac:dyDescent="0.25">
      <c r="A858" t="s">
        <v>1529</v>
      </c>
      <c r="B858" s="6">
        <v>45492</v>
      </c>
      <c r="C858" t="s">
        <v>100</v>
      </c>
      <c r="D858" t="s">
        <v>20</v>
      </c>
      <c r="E858" t="s">
        <v>1422</v>
      </c>
      <c r="F858" t="s">
        <v>1417</v>
      </c>
      <c r="G858" s="7">
        <v>1</v>
      </c>
      <c r="H858" s="8">
        <v>39.69</v>
      </c>
      <c r="I858" s="9">
        <v>15</v>
      </c>
      <c r="J858" s="8">
        <v>33.74</v>
      </c>
      <c r="K858" s="8">
        <v>8.82</v>
      </c>
      <c r="L858" t="s">
        <v>33</v>
      </c>
    </row>
    <row r="859" spans="1:12" x14ac:dyDescent="0.25">
      <c r="A859" t="s">
        <v>1530</v>
      </c>
      <c r="B859" s="6">
        <v>45976</v>
      </c>
      <c r="C859" t="s">
        <v>1531</v>
      </c>
      <c r="D859" t="s">
        <v>36</v>
      </c>
      <c r="E859" t="s">
        <v>1429</v>
      </c>
      <c r="F859" t="s">
        <v>1417</v>
      </c>
      <c r="G859" s="7">
        <v>1</v>
      </c>
      <c r="H859" s="8">
        <v>45.68</v>
      </c>
      <c r="I859" s="9">
        <v>0</v>
      </c>
      <c r="J859" s="8">
        <v>45.68</v>
      </c>
      <c r="K859" s="8">
        <v>9.1300000000000008</v>
      </c>
      <c r="L859" t="s">
        <v>33</v>
      </c>
    </row>
    <row r="860" spans="1:12" x14ac:dyDescent="0.25">
      <c r="A860" t="s">
        <v>1532</v>
      </c>
      <c r="B860" s="6">
        <v>45498</v>
      </c>
      <c r="C860" t="s">
        <v>1533</v>
      </c>
      <c r="D860" t="s">
        <v>20</v>
      </c>
      <c r="E860" t="s">
        <v>1426</v>
      </c>
      <c r="F860" t="s">
        <v>1417</v>
      </c>
      <c r="G860" s="7">
        <v>1</v>
      </c>
      <c r="H860" s="8">
        <v>52.15</v>
      </c>
      <c r="I860" s="9">
        <v>10</v>
      </c>
      <c r="J860" s="8">
        <v>46.94</v>
      </c>
      <c r="K860" s="8">
        <v>9.1300000000000008</v>
      </c>
      <c r="L860" t="s">
        <v>17</v>
      </c>
    </row>
    <row r="861" spans="1:12" x14ac:dyDescent="0.25">
      <c r="A861" t="s">
        <v>1534</v>
      </c>
      <c r="B861" s="6">
        <v>45374</v>
      </c>
      <c r="C861" t="s">
        <v>1535</v>
      </c>
      <c r="D861" t="s">
        <v>36</v>
      </c>
      <c r="E861" t="s">
        <v>1426</v>
      </c>
      <c r="F861" t="s">
        <v>1417</v>
      </c>
      <c r="G861" s="7">
        <v>1</v>
      </c>
      <c r="H861" s="8">
        <v>48.63</v>
      </c>
      <c r="I861" s="9">
        <v>15</v>
      </c>
      <c r="J861" s="8">
        <v>41.34</v>
      </c>
      <c r="K861" s="8">
        <v>9.15</v>
      </c>
      <c r="L861" t="s">
        <v>33</v>
      </c>
    </row>
    <row r="862" spans="1:12" x14ac:dyDescent="0.25">
      <c r="A862" t="s">
        <v>1536</v>
      </c>
      <c r="B862" s="6">
        <v>45556</v>
      </c>
      <c r="C862" t="s">
        <v>1537</v>
      </c>
      <c r="D862" t="s">
        <v>24</v>
      </c>
      <c r="E862" t="s">
        <v>1420</v>
      </c>
      <c r="F862" t="s">
        <v>1417</v>
      </c>
      <c r="G862" s="7">
        <v>2</v>
      </c>
      <c r="H862" s="8">
        <v>21.08</v>
      </c>
      <c r="I862" s="9">
        <v>5</v>
      </c>
      <c r="J862" s="8">
        <v>40.049999999999997</v>
      </c>
      <c r="K862" s="8">
        <v>9.16</v>
      </c>
      <c r="L862" t="s">
        <v>17</v>
      </c>
    </row>
    <row r="863" spans="1:12" x14ac:dyDescent="0.25">
      <c r="A863" t="s">
        <v>1538</v>
      </c>
      <c r="B863" s="6">
        <v>45475</v>
      </c>
      <c r="C863" t="s">
        <v>366</v>
      </c>
      <c r="D863" t="s">
        <v>20</v>
      </c>
      <c r="E863" t="s">
        <v>1429</v>
      </c>
      <c r="F863" t="s">
        <v>1417</v>
      </c>
      <c r="G863" s="7">
        <v>1</v>
      </c>
      <c r="H863" s="8">
        <v>32.61</v>
      </c>
      <c r="I863" s="9">
        <v>10</v>
      </c>
      <c r="J863" s="8">
        <v>29.35</v>
      </c>
      <c r="K863" s="8">
        <v>9.36</v>
      </c>
      <c r="L863" t="s">
        <v>17</v>
      </c>
    </row>
    <row r="864" spans="1:12" x14ac:dyDescent="0.25">
      <c r="A864" t="s">
        <v>1539</v>
      </c>
      <c r="B864" s="6">
        <v>45479</v>
      </c>
      <c r="C864" t="s">
        <v>1540</v>
      </c>
      <c r="D864" t="s">
        <v>36</v>
      </c>
      <c r="E864" t="s">
        <v>1429</v>
      </c>
      <c r="F864" t="s">
        <v>1417</v>
      </c>
      <c r="G864" s="7">
        <v>4</v>
      </c>
      <c r="H864" s="8">
        <v>10.15</v>
      </c>
      <c r="I864" s="9">
        <v>10</v>
      </c>
      <c r="J864" s="8">
        <v>36.54</v>
      </c>
      <c r="K864" s="8">
        <v>9.36</v>
      </c>
      <c r="L864" t="s">
        <v>17</v>
      </c>
    </row>
    <row r="865" spans="1:12" x14ac:dyDescent="0.25">
      <c r="A865" t="s">
        <v>1541</v>
      </c>
      <c r="B865" s="6">
        <v>45863</v>
      </c>
      <c r="C865" t="s">
        <v>1480</v>
      </c>
      <c r="D865" t="s">
        <v>31</v>
      </c>
      <c r="E865" t="s">
        <v>1420</v>
      </c>
      <c r="F865" t="s">
        <v>1417</v>
      </c>
      <c r="G865" s="7">
        <v>1</v>
      </c>
      <c r="H865" s="8">
        <v>30.13</v>
      </c>
      <c r="I865" s="9">
        <v>10</v>
      </c>
      <c r="J865" s="8">
        <v>27.12</v>
      </c>
      <c r="K865" s="8">
        <v>9.3699999999999992</v>
      </c>
      <c r="L865" t="s">
        <v>33</v>
      </c>
    </row>
    <row r="866" spans="1:12" x14ac:dyDescent="0.25">
      <c r="A866" t="s">
        <v>1542</v>
      </c>
      <c r="B866" s="6">
        <v>45569</v>
      </c>
      <c r="C866" t="s">
        <v>1543</v>
      </c>
      <c r="D866" t="s">
        <v>24</v>
      </c>
      <c r="E866" t="s">
        <v>1457</v>
      </c>
      <c r="F866" t="s">
        <v>1417</v>
      </c>
      <c r="G866" s="7">
        <v>1</v>
      </c>
      <c r="H866" s="8">
        <v>27.27</v>
      </c>
      <c r="I866" s="9">
        <v>0</v>
      </c>
      <c r="J866" s="8">
        <v>27.27</v>
      </c>
      <c r="K866" s="8">
        <v>9.3800000000000008</v>
      </c>
      <c r="L866" t="s">
        <v>33</v>
      </c>
    </row>
    <row r="867" spans="1:12" x14ac:dyDescent="0.25">
      <c r="A867" t="s">
        <v>1544</v>
      </c>
      <c r="B867" s="6">
        <v>45381</v>
      </c>
      <c r="C867" t="s">
        <v>1545</v>
      </c>
      <c r="D867" t="s">
        <v>31</v>
      </c>
      <c r="E867" t="s">
        <v>1478</v>
      </c>
      <c r="F867" t="s">
        <v>1417</v>
      </c>
      <c r="G867" s="7">
        <v>1</v>
      </c>
      <c r="H867" s="8">
        <v>45.7</v>
      </c>
      <c r="I867" s="9">
        <v>5</v>
      </c>
      <c r="J867" s="8">
        <v>43.42</v>
      </c>
      <c r="K867" s="8">
        <v>9.51</v>
      </c>
      <c r="L867" t="s">
        <v>33</v>
      </c>
    </row>
    <row r="868" spans="1:12" x14ac:dyDescent="0.25">
      <c r="A868" t="s">
        <v>1546</v>
      </c>
      <c r="B868" s="6">
        <v>45968</v>
      </c>
      <c r="C868" t="s">
        <v>921</v>
      </c>
      <c r="D868" t="s">
        <v>24</v>
      </c>
      <c r="E868" t="s">
        <v>1426</v>
      </c>
      <c r="F868" t="s">
        <v>1417</v>
      </c>
      <c r="G868" s="7">
        <v>1</v>
      </c>
      <c r="H868" s="8">
        <v>35.08</v>
      </c>
      <c r="I868" s="9">
        <v>0</v>
      </c>
      <c r="J868" s="8">
        <v>35.08</v>
      </c>
      <c r="K868" s="8">
        <v>9.5399999999999991</v>
      </c>
      <c r="L868" t="s">
        <v>17</v>
      </c>
    </row>
    <row r="869" spans="1:12" x14ac:dyDescent="0.25">
      <c r="A869" t="s">
        <v>1547</v>
      </c>
      <c r="B869" s="6">
        <v>45330</v>
      </c>
      <c r="C869" t="s">
        <v>1545</v>
      </c>
      <c r="D869" t="s">
        <v>24</v>
      </c>
      <c r="E869" t="s">
        <v>1439</v>
      </c>
      <c r="F869" t="s">
        <v>1417</v>
      </c>
      <c r="G869" s="7">
        <v>1</v>
      </c>
      <c r="H869" s="8">
        <v>38.03</v>
      </c>
      <c r="I869" s="9">
        <v>0</v>
      </c>
      <c r="J869" s="8">
        <v>38.03</v>
      </c>
      <c r="K869" s="8">
        <v>9.6199999999999992</v>
      </c>
      <c r="L869" t="s">
        <v>17</v>
      </c>
    </row>
    <row r="870" spans="1:12" x14ac:dyDescent="0.25">
      <c r="A870" t="s">
        <v>1548</v>
      </c>
      <c r="B870" s="6">
        <v>45747</v>
      </c>
      <c r="C870" t="s">
        <v>1549</v>
      </c>
      <c r="D870" t="s">
        <v>24</v>
      </c>
      <c r="E870" t="s">
        <v>1420</v>
      </c>
      <c r="F870" t="s">
        <v>1417</v>
      </c>
      <c r="G870" s="7">
        <v>2</v>
      </c>
      <c r="H870" s="8">
        <v>27.55</v>
      </c>
      <c r="I870" s="9">
        <v>10</v>
      </c>
      <c r="J870" s="8">
        <v>49.59</v>
      </c>
      <c r="K870" s="8">
        <v>9.7799999999999994</v>
      </c>
      <c r="L870" t="s">
        <v>17</v>
      </c>
    </row>
    <row r="871" spans="1:12" x14ac:dyDescent="0.25">
      <c r="A871" t="s">
        <v>1550</v>
      </c>
      <c r="B871" s="6">
        <v>45343</v>
      </c>
      <c r="C871" t="s">
        <v>352</v>
      </c>
      <c r="D871" t="s">
        <v>14</v>
      </c>
      <c r="E871" t="s">
        <v>1443</v>
      </c>
      <c r="F871" t="s">
        <v>1417</v>
      </c>
      <c r="G871" s="7">
        <v>1</v>
      </c>
      <c r="H871" s="8">
        <v>36.47</v>
      </c>
      <c r="I871" s="9">
        <v>0</v>
      </c>
      <c r="J871" s="8">
        <v>36.47</v>
      </c>
      <c r="K871" s="8">
        <v>10.06</v>
      </c>
      <c r="L871" t="s">
        <v>33</v>
      </c>
    </row>
    <row r="872" spans="1:12" x14ac:dyDescent="0.25">
      <c r="A872" t="s">
        <v>1551</v>
      </c>
      <c r="B872" s="6">
        <v>46004</v>
      </c>
      <c r="C872" t="s">
        <v>325</v>
      </c>
      <c r="D872" t="s">
        <v>36</v>
      </c>
      <c r="E872" t="s">
        <v>1457</v>
      </c>
      <c r="F872" t="s">
        <v>1417</v>
      </c>
      <c r="G872" s="7">
        <v>1</v>
      </c>
      <c r="H872" s="8">
        <v>48.3</v>
      </c>
      <c r="I872" s="9">
        <v>10</v>
      </c>
      <c r="J872" s="8">
        <v>43.47</v>
      </c>
      <c r="K872" s="8">
        <v>10.06</v>
      </c>
      <c r="L872" t="s">
        <v>33</v>
      </c>
    </row>
    <row r="873" spans="1:12" x14ac:dyDescent="0.25">
      <c r="A873" t="s">
        <v>1552</v>
      </c>
      <c r="B873" s="6">
        <v>45339</v>
      </c>
      <c r="C873" t="s">
        <v>1553</v>
      </c>
      <c r="D873" t="s">
        <v>20</v>
      </c>
      <c r="E873" t="s">
        <v>1429</v>
      </c>
      <c r="F873" t="s">
        <v>1417</v>
      </c>
      <c r="G873" s="7">
        <v>2</v>
      </c>
      <c r="H873" s="8">
        <v>23.88</v>
      </c>
      <c r="I873" s="9">
        <v>0</v>
      </c>
      <c r="J873" s="8">
        <v>47.76</v>
      </c>
      <c r="K873" s="8">
        <v>10.24</v>
      </c>
      <c r="L873" t="s">
        <v>33</v>
      </c>
    </row>
    <row r="874" spans="1:12" x14ac:dyDescent="0.25">
      <c r="A874" t="s">
        <v>1554</v>
      </c>
      <c r="B874" s="6">
        <v>45960</v>
      </c>
      <c r="C874" t="s">
        <v>1555</v>
      </c>
      <c r="D874" t="s">
        <v>14</v>
      </c>
      <c r="E874" t="s">
        <v>1422</v>
      </c>
      <c r="F874" t="s">
        <v>1417</v>
      </c>
      <c r="G874" s="7">
        <v>1</v>
      </c>
      <c r="H874" s="8">
        <v>32.68</v>
      </c>
      <c r="I874" s="9">
        <v>5</v>
      </c>
      <c r="J874" s="8">
        <v>31.05</v>
      </c>
      <c r="K874" s="8">
        <v>10.39</v>
      </c>
      <c r="L874" t="s">
        <v>33</v>
      </c>
    </row>
    <row r="875" spans="1:12" x14ac:dyDescent="0.25">
      <c r="A875" t="s">
        <v>1556</v>
      </c>
      <c r="B875" s="6">
        <v>45357</v>
      </c>
      <c r="C875" t="s">
        <v>1557</v>
      </c>
      <c r="D875" t="s">
        <v>31</v>
      </c>
      <c r="E875" t="s">
        <v>1457</v>
      </c>
      <c r="F875" t="s">
        <v>1417</v>
      </c>
      <c r="G875" s="7">
        <v>1</v>
      </c>
      <c r="H875" s="8">
        <v>50.87</v>
      </c>
      <c r="I875" s="9">
        <v>10</v>
      </c>
      <c r="J875" s="8">
        <v>45.78</v>
      </c>
      <c r="K875" s="8">
        <v>10.39</v>
      </c>
      <c r="L875" t="s">
        <v>33</v>
      </c>
    </row>
    <row r="876" spans="1:12" x14ac:dyDescent="0.25">
      <c r="A876" t="s">
        <v>1558</v>
      </c>
      <c r="B876" s="6">
        <v>45903</v>
      </c>
      <c r="C876" t="s">
        <v>1533</v>
      </c>
      <c r="D876" t="s">
        <v>36</v>
      </c>
      <c r="E876" t="s">
        <v>1457</v>
      </c>
      <c r="F876" t="s">
        <v>1417</v>
      </c>
      <c r="G876" s="7">
        <v>1</v>
      </c>
      <c r="H876" s="8">
        <v>37.1</v>
      </c>
      <c r="I876" s="9">
        <v>15</v>
      </c>
      <c r="J876" s="8">
        <v>31.54</v>
      </c>
      <c r="K876" s="8">
        <v>10.46</v>
      </c>
      <c r="L876" t="s">
        <v>48</v>
      </c>
    </row>
    <row r="877" spans="1:12" x14ac:dyDescent="0.25">
      <c r="A877" t="s">
        <v>1559</v>
      </c>
      <c r="B877" s="6">
        <v>45757</v>
      </c>
      <c r="C877" t="s">
        <v>1560</v>
      </c>
      <c r="D877" t="s">
        <v>36</v>
      </c>
      <c r="E877" t="s">
        <v>1420</v>
      </c>
      <c r="F877" t="s">
        <v>1417</v>
      </c>
      <c r="G877" s="7">
        <v>1</v>
      </c>
      <c r="H877" s="8">
        <v>56.95</v>
      </c>
      <c r="I877" s="9">
        <v>0</v>
      </c>
      <c r="J877" s="8">
        <v>56.95</v>
      </c>
      <c r="K877" s="8">
        <v>10.48</v>
      </c>
      <c r="L877" t="s">
        <v>33</v>
      </c>
    </row>
    <row r="878" spans="1:12" x14ac:dyDescent="0.25">
      <c r="A878" t="s">
        <v>1561</v>
      </c>
      <c r="B878" s="6">
        <v>45448</v>
      </c>
      <c r="C878" t="s">
        <v>1562</v>
      </c>
      <c r="D878" t="s">
        <v>36</v>
      </c>
      <c r="E878" t="s">
        <v>1416</v>
      </c>
      <c r="F878" t="s">
        <v>1417</v>
      </c>
      <c r="G878" s="7">
        <v>1</v>
      </c>
      <c r="H878" s="8">
        <v>32.49</v>
      </c>
      <c r="I878" s="9">
        <v>0</v>
      </c>
      <c r="J878" s="8">
        <v>32.49</v>
      </c>
      <c r="K878" s="8">
        <v>10.55</v>
      </c>
      <c r="L878" t="s">
        <v>48</v>
      </c>
    </row>
    <row r="879" spans="1:12" x14ac:dyDescent="0.25">
      <c r="A879" t="s">
        <v>1563</v>
      </c>
      <c r="B879" s="6">
        <v>45783</v>
      </c>
      <c r="C879" t="s">
        <v>1564</v>
      </c>
      <c r="D879" t="s">
        <v>24</v>
      </c>
      <c r="E879" t="s">
        <v>1420</v>
      </c>
      <c r="F879" t="s">
        <v>1417</v>
      </c>
      <c r="G879" s="7">
        <v>3</v>
      </c>
      <c r="H879" s="8">
        <v>22.37</v>
      </c>
      <c r="I879" s="9">
        <v>0</v>
      </c>
      <c r="J879" s="8">
        <v>67.11</v>
      </c>
      <c r="K879" s="8">
        <v>10.56</v>
      </c>
      <c r="L879" t="s">
        <v>48</v>
      </c>
    </row>
    <row r="880" spans="1:12" x14ac:dyDescent="0.25">
      <c r="A880" t="s">
        <v>1565</v>
      </c>
      <c r="B880" s="6">
        <v>45583</v>
      </c>
      <c r="C880" t="s">
        <v>1566</v>
      </c>
      <c r="D880" t="s">
        <v>31</v>
      </c>
      <c r="E880" t="s">
        <v>1457</v>
      </c>
      <c r="F880" t="s">
        <v>1417</v>
      </c>
      <c r="G880" s="7">
        <v>3</v>
      </c>
      <c r="H880" s="8">
        <v>15.44</v>
      </c>
      <c r="I880" s="9">
        <v>0</v>
      </c>
      <c r="J880" s="8">
        <v>46.32</v>
      </c>
      <c r="K880" s="8">
        <v>10.6</v>
      </c>
      <c r="L880" t="s">
        <v>33</v>
      </c>
    </row>
    <row r="881" spans="1:12" x14ac:dyDescent="0.25">
      <c r="A881" t="s">
        <v>1567</v>
      </c>
      <c r="B881" s="6">
        <v>45600</v>
      </c>
      <c r="C881" t="s">
        <v>297</v>
      </c>
      <c r="D881" t="s">
        <v>14</v>
      </c>
      <c r="E881" t="s">
        <v>1420</v>
      </c>
      <c r="F881" t="s">
        <v>1417</v>
      </c>
      <c r="G881" s="7">
        <v>3</v>
      </c>
      <c r="H881" s="8">
        <v>23.15</v>
      </c>
      <c r="I881" s="9">
        <v>20</v>
      </c>
      <c r="J881" s="8">
        <v>55.56</v>
      </c>
      <c r="K881" s="8">
        <v>10.63</v>
      </c>
      <c r="L881" t="s">
        <v>33</v>
      </c>
    </row>
    <row r="882" spans="1:12" x14ac:dyDescent="0.25">
      <c r="A882" t="s">
        <v>1568</v>
      </c>
      <c r="B882" s="6">
        <v>45846</v>
      </c>
      <c r="C882" t="s">
        <v>1569</v>
      </c>
      <c r="D882" t="s">
        <v>14</v>
      </c>
      <c r="E882" t="s">
        <v>1439</v>
      </c>
      <c r="F882" t="s">
        <v>1417</v>
      </c>
      <c r="G882" s="7">
        <v>3</v>
      </c>
      <c r="H882" s="8">
        <v>12.48</v>
      </c>
      <c r="I882" s="9">
        <v>15</v>
      </c>
      <c r="J882" s="8">
        <v>31.82</v>
      </c>
      <c r="K882" s="8">
        <v>10.65</v>
      </c>
      <c r="L882" t="s">
        <v>17</v>
      </c>
    </row>
    <row r="883" spans="1:12" x14ac:dyDescent="0.25">
      <c r="A883" t="s">
        <v>1570</v>
      </c>
      <c r="B883" s="6">
        <v>45891</v>
      </c>
      <c r="C883" t="s">
        <v>579</v>
      </c>
      <c r="D883" t="s">
        <v>31</v>
      </c>
      <c r="E883" t="s">
        <v>1426</v>
      </c>
      <c r="F883" t="s">
        <v>1417</v>
      </c>
      <c r="G883" s="7">
        <v>1</v>
      </c>
      <c r="H883" s="8">
        <v>57.55</v>
      </c>
      <c r="I883" s="9">
        <v>15</v>
      </c>
      <c r="J883" s="8">
        <v>48.92</v>
      </c>
      <c r="K883" s="8">
        <v>10.77</v>
      </c>
      <c r="L883" t="s">
        <v>33</v>
      </c>
    </row>
    <row r="884" spans="1:12" x14ac:dyDescent="0.25">
      <c r="A884" t="s">
        <v>1571</v>
      </c>
      <c r="B884" s="6">
        <v>45333</v>
      </c>
      <c r="C884" t="s">
        <v>1572</v>
      </c>
      <c r="D884" t="s">
        <v>36</v>
      </c>
      <c r="E884" t="s">
        <v>1420</v>
      </c>
      <c r="F884" t="s">
        <v>1417</v>
      </c>
      <c r="G884" s="7">
        <v>1</v>
      </c>
      <c r="H884" s="8">
        <v>39.17</v>
      </c>
      <c r="I884" s="9">
        <v>5</v>
      </c>
      <c r="J884" s="8">
        <v>37.21</v>
      </c>
      <c r="K884" s="8">
        <v>10.91</v>
      </c>
      <c r="L884" t="s">
        <v>17</v>
      </c>
    </row>
    <row r="885" spans="1:12" x14ac:dyDescent="0.25">
      <c r="A885" t="s">
        <v>1573</v>
      </c>
      <c r="B885" s="6">
        <v>45969</v>
      </c>
      <c r="C885" t="s">
        <v>1574</v>
      </c>
      <c r="D885" t="s">
        <v>36</v>
      </c>
      <c r="E885" t="s">
        <v>1457</v>
      </c>
      <c r="F885" t="s">
        <v>1417</v>
      </c>
      <c r="G885" s="7">
        <v>1</v>
      </c>
      <c r="H885" s="8">
        <v>43.88</v>
      </c>
      <c r="I885" s="9">
        <v>0</v>
      </c>
      <c r="J885" s="8">
        <v>43.88</v>
      </c>
      <c r="K885" s="8">
        <v>10.98</v>
      </c>
      <c r="L885" t="s">
        <v>33</v>
      </c>
    </row>
    <row r="886" spans="1:12" x14ac:dyDescent="0.25">
      <c r="A886" t="s">
        <v>1575</v>
      </c>
      <c r="B886" s="6">
        <v>45511</v>
      </c>
      <c r="C886" t="s">
        <v>1576</v>
      </c>
      <c r="D886" t="s">
        <v>31</v>
      </c>
      <c r="E886" t="s">
        <v>1429</v>
      </c>
      <c r="F886" t="s">
        <v>1417</v>
      </c>
      <c r="G886" s="7">
        <v>4</v>
      </c>
      <c r="H886" s="8">
        <v>12.01</v>
      </c>
      <c r="I886" s="9">
        <v>0</v>
      </c>
      <c r="J886" s="8">
        <v>48.04</v>
      </c>
      <c r="K886" s="8">
        <v>11.02</v>
      </c>
      <c r="L886" t="s">
        <v>33</v>
      </c>
    </row>
    <row r="887" spans="1:12" x14ac:dyDescent="0.25">
      <c r="A887" t="s">
        <v>1577</v>
      </c>
      <c r="B887" s="6">
        <v>45335</v>
      </c>
      <c r="C887" t="s">
        <v>1079</v>
      </c>
      <c r="D887" t="s">
        <v>24</v>
      </c>
      <c r="E887" t="s">
        <v>1416</v>
      </c>
      <c r="F887" t="s">
        <v>1417</v>
      </c>
      <c r="G887" s="7">
        <v>2</v>
      </c>
      <c r="H887" s="8">
        <v>19.77</v>
      </c>
      <c r="I887" s="9">
        <v>20</v>
      </c>
      <c r="J887" s="8">
        <v>31.63</v>
      </c>
      <c r="K887" s="8">
        <v>11.04</v>
      </c>
      <c r="L887" t="s">
        <v>48</v>
      </c>
    </row>
    <row r="888" spans="1:12" x14ac:dyDescent="0.25">
      <c r="A888" t="s">
        <v>1578</v>
      </c>
      <c r="B888" s="6">
        <v>45551</v>
      </c>
      <c r="C888" t="s">
        <v>691</v>
      </c>
      <c r="D888" t="s">
        <v>24</v>
      </c>
      <c r="E888" t="s">
        <v>1457</v>
      </c>
      <c r="F888" t="s">
        <v>1417</v>
      </c>
      <c r="G888" s="7">
        <v>2</v>
      </c>
      <c r="H888" s="8">
        <v>41.3</v>
      </c>
      <c r="I888" s="9">
        <v>15</v>
      </c>
      <c r="J888" s="8">
        <v>70.209999999999994</v>
      </c>
      <c r="K888" s="8">
        <v>11.18</v>
      </c>
      <c r="L888" t="s">
        <v>17</v>
      </c>
    </row>
    <row r="889" spans="1:12" x14ac:dyDescent="0.25">
      <c r="A889" t="s">
        <v>1579</v>
      </c>
      <c r="B889" s="6">
        <v>45933</v>
      </c>
      <c r="C889" t="s">
        <v>1580</v>
      </c>
      <c r="D889" t="s">
        <v>31</v>
      </c>
      <c r="E889" t="s">
        <v>1443</v>
      </c>
      <c r="F889" t="s">
        <v>1417</v>
      </c>
      <c r="G889" s="7">
        <v>1</v>
      </c>
      <c r="H889" s="8">
        <v>33.369999999999997</v>
      </c>
      <c r="I889" s="9">
        <v>0</v>
      </c>
      <c r="J889" s="8">
        <v>33.369999999999997</v>
      </c>
      <c r="K889" s="8">
        <v>11.31</v>
      </c>
      <c r="L889" t="s">
        <v>17</v>
      </c>
    </row>
    <row r="890" spans="1:12" x14ac:dyDescent="0.25">
      <c r="A890" t="s">
        <v>1581</v>
      </c>
      <c r="B890" s="6">
        <v>45603</v>
      </c>
      <c r="C890" t="s">
        <v>1582</v>
      </c>
      <c r="D890" t="s">
        <v>14</v>
      </c>
      <c r="E890" t="s">
        <v>1426</v>
      </c>
      <c r="F890" t="s">
        <v>1417</v>
      </c>
      <c r="G890" s="7">
        <v>1</v>
      </c>
      <c r="H890" s="8">
        <v>49.73</v>
      </c>
      <c r="I890" s="9">
        <v>25</v>
      </c>
      <c r="J890" s="8">
        <v>37.299999999999997</v>
      </c>
      <c r="K890" s="8">
        <v>11.53</v>
      </c>
      <c r="L890" t="s">
        <v>17</v>
      </c>
    </row>
    <row r="891" spans="1:12" x14ac:dyDescent="0.25">
      <c r="A891" t="s">
        <v>1583</v>
      </c>
      <c r="B891" s="6">
        <v>45939</v>
      </c>
      <c r="C891" t="s">
        <v>724</v>
      </c>
      <c r="D891" t="s">
        <v>31</v>
      </c>
      <c r="E891" t="s">
        <v>1420</v>
      </c>
      <c r="F891" t="s">
        <v>1417</v>
      </c>
      <c r="G891" s="7">
        <v>2</v>
      </c>
      <c r="H891" s="8">
        <v>22.86</v>
      </c>
      <c r="I891" s="9">
        <v>10</v>
      </c>
      <c r="J891" s="8">
        <v>41.15</v>
      </c>
      <c r="K891" s="8">
        <v>11.75</v>
      </c>
      <c r="L891" t="s">
        <v>48</v>
      </c>
    </row>
    <row r="892" spans="1:12" x14ac:dyDescent="0.25">
      <c r="A892" t="s">
        <v>1584</v>
      </c>
      <c r="B892" s="6">
        <v>45351</v>
      </c>
      <c r="C892" t="s">
        <v>1585</v>
      </c>
      <c r="D892" t="s">
        <v>36</v>
      </c>
      <c r="E892" t="s">
        <v>1422</v>
      </c>
      <c r="F892" t="s">
        <v>1417</v>
      </c>
      <c r="G892" s="7">
        <v>3</v>
      </c>
      <c r="H892" s="8">
        <v>15.54</v>
      </c>
      <c r="I892" s="9">
        <v>0</v>
      </c>
      <c r="J892" s="8">
        <v>46.62</v>
      </c>
      <c r="K892" s="8">
        <v>11.91</v>
      </c>
      <c r="L892" t="s">
        <v>33</v>
      </c>
    </row>
    <row r="893" spans="1:12" x14ac:dyDescent="0.25">
      <c r="A893" t="s">
        <v>1586</v>
      </c>
      <c r="B893" s="6">
        <v>45585</v>
      </c>
      <c r="C893" t="s">
        <v>735</v>
      </c>
      <c r="D893" t="s">
        <v>20</v>
      </c>
      <c r="E893" t="s">
        <v>1436</v>
      </c>
      <c r="F893" t="s">
        <v>1417</v>
      </c>
      <c r="G893" s="7">
        <v>3</v>
      </c>
      <c r="H893" s="8">
        <v>19.27</v>
      </c>
      <c r="I893" s="9">
        <v>0</v>
      </c>
      <c r="J893" s="8">
        <v>57.81</v>
      </c>
      <c r="K893" s="8">
        <v>12.03</v>
      </c>
      <c r="L893" t="s">
        <v>33</v>
      </c>
    </row>
    <row r="894" spans="1:12" x14ac:dyDescent="0.25">
      <c r="A894" t="s">
        <v>1587</v>
      </c>
      <c r="B894" s="6">
        <v>45438</v>
      </c>
      <c r="C894" t="s">
        <v>495</v>
      </c>
      <c r="D894" t="s">
        <v>31</v>
      </c>
      <c r="E894" t="s">
        <v>1426</v>
      </c>
      <c r="F894" t="s">
        <v>1417</v>
      </c>
      <c r="G894" s="7">
        <v>2</v>
      </c>
      <c r="H894" s="8">
        <v>38.549999999999997</v>
      </c>
      <c r="I894" s="9">
        <v>0</v>
      </c>
      <c r="J894" s="8">
        <v>77.099999999999994</v>
      </c>
      <c r="K894" s="8">
        <v>12.11</v>
      </c>
      <c r="L894" t="s">
        <v>33</v>
      </c>
    </row>
    <row r="895" spans="1:12" x14ac:dyDescent="0.25">
      <c r="A895" t="s">
        <v>1588</v>
      </c>
      <c r="B895" s="6">
        <v>45747</v>
      </c>
      <c r="C895" t="s">
        <v>1589</v>
      </c>
      <c r="D895" t="s">
        <v>36</v>
      </c>
      <c r="E895" t="s">
        <v>1478</v>
      </c>
      <c r="F895" t="s">
        <v>1417</v>
      </c>
      <c r="G895" s="7">
        <v>2</v>
      </c>
      <c r="H895" s="8">
        <v>29.64</v>
      </c>
      <c r="I895" s="9">
        <v>10</v>
      </c>
      <c r="J895" s="8">
        <v>53.35</v>
      </c>
      <c r="K895" s="8">
        <v>12.22</v>
      </c>
      <c r="L895" t="s">
        <v>33</v>
      </c>
    </row>
    <row r="896" spans="1:12" x14ac:dyDescent="0.25">
      <c r="A896" t="s">
        <v>1590</v>
      </c>
      <c r="B896" s="6">
        <v>45411</v>
      </c>
      <c r="C896" t="s">
        <v>1591</v>
      </c>
      <c r="D896" t="s">
        <v>24</v>
      </c>
      <c r="E896" t="s">
        <v>1457</v>
      </c>
      <c r="F896" t="s">
        <v>1417</v>
      </c>
      <c r="G896" s="7">
        <v>2</v>
      </c>
      <c r="H896" s="8">
        <v>33.33</v>
      </c>
      <c r="I896" s="9">
        <v>5</v>
      </c>
      <c r="J896" s="8">
        <v>63.33</v>
      </c>
      <c r="K896" s="8">
        <v>12.28</v>
      </c>
      <c r="L896" t="s">
        <v>17</v>
      </c>
    </row>
    <row r="897" spans="1:12" x14ac:dyDescent="0.25">
      <c r="A897" t="s">
        <v>1592</v>
      </c>
      <c r="B897" s="6">
        <v>45577</v>
      </c>
      <c r="C897" t="s">
        <v>407</v>
      </c>
      <c r="D897" t="s">
        <v>24</v>
      </c>
      <c r="E897" t="s">
        <v>1439</v>
      </c>
      <c r="F897" t="s">
        <v>1417</v>
      </c>
      <c r="G897" s="7">
        <v>2</v>
      </c>
      <c r="H897" s="8">
        <v>30.35</v>
      </c>
      <c r="I897" s="9">
        <v>20</v>
      </c>
      <c r="J897" s="8">
        <v>48.56</v>
      </c>
      <c r="K897" s="8">
        <v>12.29</v>
      </c>
      <c r="L897" t="s">
        <v>33</v>
      </c>
    </row>
    <row r="898" spans="1:12" x14ac:dyDescent="0.25">
      <c r="A898" t="s">
        <v>1593</v>
      </c>
      <c r="B898" s="6">
        <v>45576</v>
      </c>
      <c r="C898" t="s">
        <v>1594</v>
      </c>
      <c r="D898" t="s">
        <v>36</v>
      </c>
      <c r="E898" t="s">
        <v>1416</v>
      </c>
      <c r="F898" t="s">
        <v>1417</v>
      </c>
      <c r="G898" s="7">
        <v>2</v>
      </c>
      <c r="H898" s="8">
        <v>40.67</v>
      </c>
      <c r="I898" s="9">
        <v>15</v>
      </c>
      <c r="J898" s="8">
        <v>69.14</v>
      </c>
      <c r="K898" s="8">
        <v>12.37</v>
      </c>
      <c r="L898" t="s">
        <v>33</v>
      </c>
    </row>
    <row r="899" spans="1:12" x14ac:dyDescent="0.25">
      <c r="A899" t="s">
        <v>1595</v>
      </c>
      <c r="B899" s="6">
        <v>45315</v>
      </c>
      <c r="C899" t="s">
        <v>361</v>
      </c>
      <c r="D899" t="s">
        <v>20</v>
      </c>
      <c r="E899" t="s">
        <v>1426</v>
      </c>
      <c r="F899" t="s">
        <v>1417</v>
      </c>
      <c r="G899" s="7">
        <v>1</v>
      </c>
      <c r="H899" s="8">
        <v>56.36</v>
      </c>
      <c r="I899" s="9">
        <v>10</v>
      </c>
      <c r="J899" s="8">
        <v>50.72</v>
      </c>
      <c r="K899" s="8">
        <v>12.39</v>
      </c>
      <c r="L899" t="s">
        <v>33</v>
      </c>
    </row>
    <row r="900" spans="1:12" x14ac:dyDescent="0.25">
      <c r="A900" t="s">
        <v>1596</v>
      </c>
      <c r="B900" s="6">
        <v>45368</v>
      </c>
      <c r="C900" t="s">
        <v>820</v>
      </c>
      <c r="D900" t="s">
        <v>20</v>
      </c>
      <c r="E900" t="s">
        <v>1478</v>
      </c>
      <c r="F900" t="s">
        <v>1417</v>
      </c>
      <c r="G900" s="7">
        <v>2</v>
      </c>
      <c r="H900" s="8">
        <v>36.159999999999997</v>
      </c>
      <c r="I900" s="9">
        <v>5</v>
      </c>
      <c r="J900" s="8">
        <v>68.7</v>
      </c>
      <c r="K900" s="8">
        <v>12.64</v>
      </c>
      <c r="L900" t="s">
        <v>17</v>
      </c>
    </row>
    <row r="901" spans="1:12" x14ac:dyDescent="0.25">
      <c r="A901" t="s">
        <v>1597</v>
      </c>
      <c r="B901" s="6">
        <v>45791</v>
      </c>
      <c r="C901" t="s">
        <v>1598</v>
      </c>
      <c r="D901" t="s">
        <v>31</v>
      </c>
      <c r="E901" t="s">
        <v>1416</v>
      </c>
      <c r="F901" t="s">
        <v>1417</v>
      </c>
      <c r="G901" s="7">
        <v>3</v>
      </c>
      <c r="H901" s="8">
        <v>26.78</v>
      </c>
      <c r="I901" s="9">
        <v>0</v>
      </c>
      <c r="J901" s="8">
        <v>80.34</v>
      </c>
      <c r="K901" s="8">
        <v>12.66</v>
      </c>
      <c r="L901" t="s">
        <v>33</v>
      </c>
    </row>
    <row r="902" spans="1:12" x14ac:dyDescent="0.25">
      <c r="A902" t="s">
        <v>1599</v>
      </c>
      <c r="B902" s="6">
        <v>45440</v>
      </c>
      <c r="C902" t="s">
        <v>244</v>
      </c>
      <c r="D902" t="s">
        <v>31</v>
      </c>
      <c r="E902" t="s">
        <v>1457</v>
      </c>
      <c r="F902" t="s">
        <v>1417</v>
      </c>
      <c r="G902" s="7">
        <v>1</v>
      </c>
      <c r="H902" s="8">
        <v>45.87</v>
      </c>
      <c r="I902" s="9">
        <v>15</v>
      </c>
      <c r="J902" s="8">
        <v>38.99</v>
      </c>
      <c r="K902" s="8">
        <v>12.7</v>
      </c>
      <c r="L902" t="s">
        <v>17</v>
      </c>
    </row>
    <row r="903" spans="1:12" x14ac:dyDescent="0.25">
      <c r="A903" t="s">
        <v>1600</v>
      </c>
      <c r="B903" s="6">
        <v>45920</v>
      </c>
      <c r="C903" t="s">
        <v>1560</v>
      </c>
      <c r="D903" t="s">
        <v>20</v>
      </c>
      <c r="E903" t="s">
        <v>1478</v>
      </c>
      <c r="F903" t="s">
        <v>1417</v>
      </c>
      <c r="G903" s="7">
        <v>3</v>
      </c>
      <c r="H903" s="8">
        <v>13.52</v>
      </c>
      <c r="I903" s="9">
        <v>0</v>
      </c>
      <c r="J903" s="8">
        <v>40.56</v>
      </c>
      <c r="K903" s="8">
        <v>12.74</v>
      </c>
      <c r="L903" t="s">
        <v>17</v>
      </c>
    </row>
    <row r="904" spans="1:12" x14ac:dyDescent="0.25">
      <c r="A904" t="s">
        <v>1601</v>
      </c>
      <c r="B904" s="6">
        <v>45389</v>
      </c>
      <c r="C904" t="s">
        <v>742</v>
      </c>
      <c r="D904" t="s">
        <v>31</v>
      </c>
      <c r="E904" t="s">
        <v>1478</v>
      </c>
      <c r="F904" t="s">
        <v>1417</v>
      </c>
      <c r="G904" s="7">
        <v>2</v>
      </c>
      <c r="H904" s="8">
        <v>28.26</v>
      </c>
      <c r="I904" s="9">
        <v>0</v>
      </c>
      <c r="J904" s="8">
        <v>56.52</v>
      </c>
      <c r="K904" s="8">
        <v>12.9</v>
      </c>
      <c r="L904" t="s">
        <v>33</v>
      </c>
    </row>
    <row r="905" spans="1:12" x14ac:dyDescent="0.25">
      <c r="A905" t="s">
        <v>1602</v>
      </c>
      <c r="B905" s="6">
        <v>45748</v>
      </c>
      <c r="C905" t="s">
        <v>1603</v>
      </c>
      <c r="D905" t="s">
        <v>20</v>
      </c>
      <c r="E905" t="s">
        <v>1443</v>
      </c>
      <c r="F905" t="s">
        <v>1417</v>
      </c>
      <c r="G905" s="7">
        <v>4</v>
      </c>
      <c r="H905" s="8">
        <v>17.04</v>
      </c>
      <c r="I905" s="9">
        <v>0</v>
      </c>
      <c r="J905" s="8">
        <v>68.16</v>
      </c>
      <c r="K905" s="8">
        <v>12.94</v>
      </c>
      <c r="L905" t="s">
        <v>17</v>
      </c>
    </row>
    <row r="906" spans="1:12" x14ac:dyDescent="0.25">
      <c r="A906" t="s">
        <v>1604</v>
      </c>
      <c r="B906" s="6">
        <v>45876</v>
      </c>
      <c r="C906" t="s">
        <v>1605</v>
      </c>
      <c r="D906" t="s">
        <v>36</v>
      </c>
      <c r="E906" t="s">
        <v>1478</v>
      </c>
      <c r="F906" t="s">
        <v>1417</v>
      </c>
      <c r="G906" s="7">
        <v>1</v>
      </c>
      <c r="H906" s="8">
        <v>41.49</v>
      </c>
      <c r="I906" s="9">
        <v>0</v>
      </c>
      <c r="J906" s="8">
        <v>41.49</v>
      </c>
      <c r="K906" s="8">
        <v>13.03</v>
      </c>
      <c r="L906" t="s">
        <v>33</v>
      </c>
    </row>
    <row r="907" spans="1:12" x14ac:dyDescent="0.25">
      <c r="A907" t="s">
        <v>1606</v>
      </c>
      <c r="B907" s="6">
        <v>45361</v>
      </c>
      <c r="C907" t="s">
        <v>130</v>
      </c>
      <c r="D907" t="s">
        <v>36</v>
      </c>
      <c r="E907" t="s">
        <v>1439</v>
      </c>
      <c r="F907" t="s">
        <v>1417</v>
      </c>
      <c r="G907" s="7">
        <v>2</v>
      </c>
      <c r="H907" s="8">
        <v>37.020000000000003</v>
      </c>
      <c r="I907" s="9">
        <v>0</v>
      </c>
      <c r="J907" s="8">
        <v>74.040000000000006</v>
      </c>
      <c r="K907" s="8">
        <v>13.1</v>
      </c>
      <c r="L907" t="s">
        <v>33</v>
      </c>
    </row>
    <row r="908" spans="1:12" x14ac:dyDescent="0.25">
      <c r="A908" t="s">
        <v>1607</v>
      </c>
      <c r="B908" s="6">
        <v>45634</v>
      </c>
      <c r="C908" t="s">
        <v>990</v>
      </c>
      <c r="D908" t="s">
        <v>24</v>
      </c>
      <c r="E908" t="s">
        <v>1429</v>
      </c>
      <c r="F908" t="s">
        <v>1417</v>
      </c>
      <c r="G908" s="7">
        <v>1</v>
      </c>
      <c r="H908" s="8">
        <v>46.7</v>
      </c>
      <c r="I908" s="9">
        <v>15</v>
      </c>
      <c r="J908" s="8">
        <v>39.700000000000003</v>
      </c>
      <c r="K908" s="8">
        <v>13.26</v>
      </c>
      <c r="L908" t="s">
        <v>17</v>
      </c>
    </row>
    <row r="909" spans="1:12" x14ac:dyDescent="0.25">
      <c r="A909" t="s">
        <v>1608</v>
      </c>
      <c r="B909" s="6">
        <v>45670</v>
      </c>
      <c r="C909" t="s">
        <v>1609</v>
      </c>
      <c r="D909" t="s">
        <v>31</v>
      </c>
      <c r="E909" t="s">
        <v>1429</v>
      </c>
      <c r="F909" t="s">
        <v>1417</v>
      </c>
      <c r="G909" s="7">
        <v>1</v>
      </c>
      <c r="H909" s="8">
        <v>58.8</v>
      </c>
      <c r="I909" s="9">
        <v>5</v>
      </c>
      <c r="J909" s="8">
        <v>55.86</v>
      </c>
      <c r="K909" s="8">
        <v>13.33</v>
      </c>
      <c r="L909" t="s">
        <v>17</v>
      </c>
    </row>
    <row r="910" spans="1:12" x14ac:dyDescent="0.25">
      <c r="A910" t="s">
        <v>1610</v>
      </c>
      <c r="B910" s="6">
        <v>45655</v>
      </c>
      <c r="C910" t="s">
        <v>1555</v>
      </c>
      <c r="D910" t="s">
        <v>31</v>
      </c>
      <c r="E910" t="s">
        <v>1420</v>
      </c>
      <c r="F910" t="s">
        <v>1417</v>
      </c>
      <c r="G910" s="7">
        <v>3</v>
      </c>
      <c r="H910" s="8">
        <v>24.14</v>
      </c>
      <c r="I910" s="9">
        <v>10</v>
      </c>
      <c r="J910" s="8">
        <v>65.180000000000007</v>
      </c>
      <c r="K910" s="8">
        <v>13.4</v>
      </c>
      <c r="L910" t="s">
        <v>33</v>
      </c>
    </row>
    <row r="911" spans="1:12" x14ac:dyDescent="0.25">
      <c r="A911" t="s">
        <v>1611</v>
      </c>
      <c r="B911" s="6">
        <v>45609</v>
      </c>
      <c r="C911" t="s">
        <v>874</v>
      </c>
      <c r="D911" t="s">
        <v>20</v>
      </c>
      <c r="E911" t="s">
        <v>1416</v>
      </c>
      <c r="F911" t="s">
        <v>1417</v>
      </c>
      <c r="G911" s="7">
        <v>2</v>
      </c>
      <c r="H911" s="8">
        <v>35.26</v>
      </c>
      <c r="I911" s="9">
        <v>0</v>
      </c>
      <c r="J911" s="8">
        <v>70.52</v>
      </c>
      <c r="K911" s="8">
        <v>13.46</v>
      </c>
      <c r="L911" t="s">
        <v>33</v>
      </c>
    </row>
    <row r="912" spans="1:12" x14ac:dyDescent="0.25">
      <c r="A912" t="s">
        <v>1612</v>
      </c>
      <c r="B912" s="6">
        <v>45701</v>
      </c>
      <c r="C912" t="s">
        <v>1613</v>
      </c>
      <c r="D912" t="s">
        <v>36</v>
      </c>
      <c r="E912" t="s">
        <v>1457</v>
      </c>
      <c r="F912" t="s">
        <v>1417</v>
      </c>
      <c r="G912" s="7">
        <v>4</v>
      </c>
      <c r="H912" s="8">
        <v>16</v>
      </c>
      <c r="I912" s="9">
        <v>0</v>
      </c>
      <c r="J912" s="8">
        <v>64</v>
      </c>
      <c r="K912" s="8">
        <v>13.86</v>
      </c>
      <c r="L912" t="s">
        <v>17</v>
      </c>
    </row>
    <row r="913" spans="1:12" x14ac:dyDescent="0.25">
      <c r="A913" t="s">
        <v>1614</v>
      </c>
      <c r="B913" s="6">
        <v>45373</v>
      </c>
      <c r="C913" t="s">
        <v>146</v>
      </c>
      <c r="D913" t="s">
        <v>20</v>
      </c>
      <c r="E913" t="s">
        <v>1429</v>
      </c>
      <c r="F913" t="s">
        <v>1417</v>
      </c>
      <c r="G913" s="7">
        <v>3</v>
      </c>
      <c r="H913" s="8">
        <v>27.02</v>
      </c>
      <c r="I913" s="9">
        <v>5</v>
      </c>
      <c r="J913" s="8">
        <v>77.010000000000005</v>
      </c>
      <c r="K913" s="8">
        <v>14.22</v>
      </c>
      <c r="L913" t="s">
        <v>33</v>
      </c>
    </row>
    <row r="914" spans="1:12" x14ac:dyDescent="0.25">
      <c r="A914" t="s">
        <v>1615</v>
      </c>
      <c r="B914" s="6">
        <v>45405</v>
      </c>
      <c r="C914" t="s">
        <v>764</v>
      </c>
      <c r="D914" t="s">
        <v>24</v>
      </c>
      <c r="E914" t="s">
        <v>1429</v>
      </c>
      <c r="F914" t="s">
        <v>1417</v>
      </c>
      <c r="G914" s="7">
        <v>2</v>
      </c>
      <c r="H914" s="8">
        <v>46.56</v>
      </c>
      <c r="I914" s="9">
        <v>10</v>
      </c>
      <c r="J914" s="8">
        <v>83.81</v>
      </c>
      <c r="K914" s="8">
        <v>14.41</v>
      </c>
      <c r="L914" t="s">
        <v>33</v>
      </c>
    </row>
    <row r="915" spans="1:12" x14ac:dyDescent="0.25">
      <c r="A915" t="s">
        <v>1616</v>
      </c>
      <c r="B915" s="6">
        <v>45572</v>
      </c>
      <c r="C915" t="s">
        <v>1435</v>
      </c>
      <c r="D915" t="s">
        <v>14</v>
      </c>
      <c r="E915" t="s">
        <v>1420</v>
      </c>
      <c r="F915" t="s">
        <v>1417</v>
      </c>
      <c r="G915" s="7">
        <v>2</v>
      </c>
      <c r="H915" s="8">
        <v>45.04</v>
      </c>
      <c r="I915" s="9">
        <v>0</v>
      </c>
      <c r="J915" s="8">
        <v>90.08</v>
      </c>
      <c r="K915" s="8">
        <v>14.81</v>
      </c>
      <c r="L915" t="s">
        <v>33</v>
      </c>
    </row>
    <row r="916" spans="1:12" x14ac:dyDescent="0.25">
      <c r="A916" t="s">
        <v>1617</v>
      </c>
      <c r="B916" s="6">
        <v>45924</v>
      </c>
      <c r="C916" t="s">
        <v>855</v>
      </c>
      <c r="D916" t="s">
        <v>24</v>
      </c>
      <c r="E916" t="s">
        <v>1420</v>
      </c>
      <c r="F916" t="s">
        <v>1417</v>
      </c>
      <c r="G916" s="7">
        <v>3</v>
      </c>
      <c r="H916" s="8">
        <v>32.340000000000003</v>
      </c>
      <c r="I916" s="9">
        <v>10</v>
      </c>
      <c r="J916" s="8">
        <v>87.32</v>
      </c>
      <c r="K916" s="8">
        <v>15.17</v>
      </c>
      <c r="L916" t="s">
        <v>17</v>
      </c>
    </row>
    <row r="917" spans="1:12" x14ac:dyDescent="0.25">
      <c r="A917" t="s">
        <v>1618</v>
      </c>
      <c r="B917" s="6">
        <v>45883</v>
      </c>
      <c r="C917" t="s">
        <v>374</v>
      </c>
      <c r="D917" t="s">
        <v>14</v>
      </c>
      <c r="E917" t="s">
        <v>1420</v>
      </c>
      <c r="F917" t="s">
        <v>1417</v>
      </c>
      <c r="G917" s="7">
        <v>2</v>
      </c>
      <c r="H917" s="8">
        <v>28.81</v>
      </c>
      <c r="I917" s="9">
        <v>5</v>
      </c>
      <c r="J917" s="8">
        <v>54.74</v>
      </c>
      <c r="K917" s="8">
        <v>15.6</v>
      </c>
      <c r="L917" t="s">
        <v>17</v>
      </c>
    </row>
    <row r="918" spans="1:12" x14ac:dyDescent="0.25">
      <c r="A918" t="s">
        <v>1619</v>
      </c>
      <c r="B918" s="6">
        <v>45819</v>
      </c>
      <c r="C918" t="s">
        <v>1620</v>
      </c>
      <c r="D918" t="s">
        <v>20</v>
      </c>
      <c r="E918" t="s">
        <v>1436</v>
      </c>
      <c r="F918" t="s">
        <v>1417</v>
      </c>
      <c r="G918" s="7">
        <v>1</v>
      </c>
      <c r="H918" s="8">
        <v>58.35</v>
      </c>
      <c r="I918" s="9">
        <v>20</v>
      </c>
      <c r="J918" s="8">
        <v>46.68</v>
      </c>
      <c r="K918" s="8">
        <v>15.8</v>
      </c>
      <c r="L918" t="s">
        <v>17</v>
      </c>
    </row>
    <row r="919" spans="1:12" x14ac:dyDescent="0.25">
      <c r="A919" t="s">
        <v>1621</v>
      </c>
      <c r="B919" s="6">
        <v>45874</v>
      </c>
      <c r="C919" t="s">
        <v>1622</v>
      </c>
      <c r="D919" t="s">
        <v>24</v>
      </c>
      <c r="E919" t="s">
        <v>1439</v>
      </c>
      <c r="F919" t="s">
        <v>1417</v>
      </c>
      <c r="G919" s="7">
        <v>1</v>
      </c>
      <c r="H919" s="8">
        <v>48.05</v>
      </c>
      <c r="I919" s="9">
        <v>5</v>
      </c>
      <c r="J919" s="8">
        <v>45.65</v>
      </c>
      <c r="K919" s="8">
        <v>15.89</v>
      </c>
      <c r="L919" t="s">
        <v>17</v>
      </c>
    </row>
    <row r="920" spans="1:12" x14ac:dyDescent="0.25">
      <c r="A920" t="s">
        <v>1623</v>
      </c>
      <c r="B920" s="6">
        <v>45637</v>
      </c>
      <c r="C920" t="s">
        <v>1624</v>
      </c>
      <c r="D920" t="s">
        <v>24</v>
      </c>
      <c r="E920" t="s">
        <v>1457</v>
      </c>
      <c r="F920" t="s">
        <v>1417</v>
      </c>
      <c r="G920" s="7">
        <v>2</v>
      </c>
      <c r="H920" s="8">
        <v>29.26</v>
      </c>
      <c r="I920" s="9">
        <v>5</v>
      </c>
      <c r="J920" s="8">
        <v>55.59</v>
      </c>
      <c r="K920" s="8">
        <v>16.04</v>
      </c>
      <c r="L920" t="s">
        <v>33</v>
      </c>
    </row>
    <row r="921" spans="1:12" x14ac:dyDescent="0.25">
      <c r="A921" t="s">
        <v>1625</v>
      </c>
      <c r="B921" s="6">
        <v>45918</v>
      </c>
      <c r="C921" t="s">
        <v>1549</v>
      </c>
      <c r="D921" t="s">
        <v>24</v>
      </c>
      <c r="E921" t="s">
        <v>1443</v>
      </c>
      <c r="F921" t="s">
        <v>1417</v>
      </c>
      <c r="G921" s="7">
        <v>2</v>
      </c>
      <c r="H921" s="8">
        <v>28.96</v>
      </c>
      <c r="I921" s="9">
        <v>0</v>
      </c>
      <c r="J921" s="8">
        <v>57.92</v>
      </c>
      <c r="K921" s="8">
        <v>16.04</v>
      </c>
      <c r="L921" t="s">
        <v>48</v>
      </c>
    </row>
    <row r="922" spans="1:12" x14ac:dyDescent="0.25">
      <c r="A922" t="s">
        <v>1626</v>
      </c>
      <c r="B922" s="6">
        <v>45319</v>
      </c>
      <c r="C922" t="s">
        <v>1627</v>
      </c>
      <c r="D922" t="s">
        <v>20</v>
      </c>
      <c r="E922" t="s">
        <v>1416</v>
      </c>
      <c r="F922" t="s">
        <v>1417</v>
      </c>
      <c r="G922" s="7">
        <v>3</v>
      </c>
      <c r="H922" s="8">
        <v>20.239999999999998</v>
      </c>
      <c r="I922" s="9">
        <v>10</v>
      </c>
      <c r="J922" s="8">
        <v>54.65</v>
      </c>
      <c r="K922" s="8">
        <v>16.09</v>
      </c>
      <c r="L922" t="s">
        <v>17</v>
      </c>
    </row>
    <row r="923" spans="1:12" x14ac:dyDescent="0.25">
      <c r="A923" t="s">
        <v>1628</v>
      </c>
      <c r="B923" s="6">
        <v>45455</v>
      </c>
      <c r="C923" t="s">
        <v>337</v>
      </c>
      <c r="D923" t="s">
        <v>24</v>
      </c>
      <c r="E923" t="s">
        <v>1416</v>
      </c>
      <c r="F923" t="s">
        <v>1417</v>
      </c>
      <c r="G923" s="7">
        <v>3</v>
      </c>
      <c r="H923" s="8">
        <v>25.66</v>
      </c>
      <c r="I923" s="9">
        <v>10</v>
      </c>
      <c r="J923" s="8">
        <v>69.28</v>
      </c>
      <c r="K923" s="8">
        <v>16.63</v>
      </c>
      <c r="L923" t="s">
        <v>33</v>
      </c>
    </row>
    <row r="924" spans="1:12" x14ac:dyDescent="0.25">
      <c r="A924" t="s">
        <v>1629</v>
      </c>
      <c r="B924" s="6">
        <v>45297</v>
      </c>
      <c r="C924" t="s">
        <v>1630</v>
      </c>
      <c r="D924" t="s">
        <v>20</v>
      </c>
      <c r="E924" t="s">
        <v>1439</v>
      </c>
      <c r="F924" t="s">
        <v>1417</v>
      </c>
      <c r="G924" s="7">
        <v>1</v>
      </c>
      <c r="H924" s="8">
        <v>52.02</v>
      </c>
      <c r="I924" s="9">
        <v>0</v>
      </c>
      <c r="J924" s="8">
        <v>52.02</v>
      </c>
      <c r="K924" s="8">
        <v>17.25</v>
      </c>
      <c r="L924" t="s">
        <v>33</v>
      </c>
    </row>
    <row r="925" spans="1:12" x14ac:dyDescent="0.25">
      <c r="A925" t="s">
        <v>1631</v>
      </c>
      <c r="B925" s="6">
        <v>45450</v>
      </c>
      <c r="C925" t="s">
        <v>622</v>
      </c>
      <c r="D925" t="s">
        <v>20</v>
      </c>
      <c r="E925" t="s">
        <v>1420</v>
      </c>
      <c r="F925" t="s">
        <v>1417</v>
      </c>
      <c r="G925" s="7">
        <v>1</v>
      </c>
      <c r="H925" s="8">
        <v>53.1</v>
      </c>
      <c r="I925" s="9">
        <v>0</v>
      </c>
      <c r="J925" s="8">
        <v>53.1</v>
      </c>
      <c r="K925" s="8">
        <v>17.39</v>
      </c>
      <c r="L925" t="s">
        <v>33</v>
      </c>
    </row>
    <row r="926" spans="1:12" x14ac:dyDescent="0.25">
      <c r="A926" t="s">
        <v>1632</v>
      </c>
      <c r="B926" s="6">
        <v>45766</v>
      </c>
      <c r="C926" t="s">
        <v>1633</v>
      </c>
      <c r="D926" t="s">
        <v>36</v>
      </c>
      <c r="E926" t="s">
        <v>1478</v>
      </c>
      <c r="F926" t="s">
        <v>1417</v>
      </c>
      <c r="G926" s="7">
        <v>2</v>
      </c>
      <c r="H926" s="8">
        <v>36.1</v>
      </c>
      <c r="I926" s="9">
        <v>5</v>
      </c>
      <c r="J926" s="8">
        <v>68.59</v>
      </c>
      <c r="K926" s="8">
        <v>17.489999999999998</v>
      </c>
      <c r="L926" t="s">
        <v>17</v>
      </c>
    </row>
    <row r="927" spans="1:12" x14ac:dyDescent="0.25">
      <c r="A927" t="s">
        <v>1634</v>
      </c>
      <c r="B927" s="6">
        <v>45316</v>
      </c>
      <c r="C927" t="s">
        <v>1257</v>
      </c>
      <c r="D927" t="s">
        <v>31</v>
      </c>
      <c r="E927" t="s">
        <v>1429</v>
      </c>
      <c r="F927" t="s">
        <v>1417</v>
      </c>
      <c r="G927" s="7">
        <v>2</v>
      </c>
      <c r="H927" s="8">
        <v>52.8</v>
      </c>
      <c r="I927" s="9">
        <v>10</v>
      </c>
      <c r="J927" s="8">
        <v>95.04</v>
      </c>
      <c r="K927" s="8">
        <v>17.66</v>
      </c>
      <c r="L927" t="s">
        <v>17</v>
      </c>
    </row>
    <row r="928" spans="1:12" x14ac:dyDescent="0.25">
      <c r="A928" t="s">
        <v>1635</v>
      </c>
      <c r="B928" s="6">
        <v>45496</v>
      </c>
      <c r="C928" t="s">
        <v>1636</v>
      </c>
      <c r="D928" t="s">
        <v>31</v>
      </c>
      <c r="E928" t="s">
        <v>1416</v>
      </c>
      <c r="F928" t="s">
        <v>1417</v>
      </c>
      <c r="G928" s="7">
        <v>1</v>
      </c>
      <c r="H928" s="8">
        <v>57.89</v>
      </c>
      <c r="I928" s="9">
        <v>5</v>
      </c>
      <c r="J928" s="8">
        <v>55</v>
      </c>
      <c r="K928" s="8">
        <v>17.73</v>
      </c>
      <c r="L928" t="s">
        <v>33</v>
      </c>
    </row>
    <row r="929" spans="1:12" x14ac:dyDescent="0.25">
      <c r="A929" t="s">
        <v>1637</v>
      </c>
      <c r="B929" s="6">
        <v>45570</v>
      </c>
      <c r="C929" t="s">
        <v>301</v>
      </c>
      <c r="D929" t="s">
        <v>24</v>
      </c>
      <c r="E929" t="s">
        <v>1429</v>
      </c>
      <c r="F929" t="s">
        <v>1417</v>
      </c>
      <c r="G929" s="7">
        <v>3</v>
      </c>
      <c r="H929" s="8">
        <v>32.76</v>
      </c>
      <c r="I929" s="9">
        <v>0</v>
      </c>
      <c r="J929" s="8">
        <v>98.28</v>
      </c>
      <c r="K929" s="8">
        <v>17.850000000000001</v>
      </c>
      <c r="L929" t="s">
        <v>33</v>
      </c>
    </row>
    <row r="930" spans="1:12" x14ac:dyDescent="0.25">
      <c r="A930" t="s">
        <v>1638</v>
      </c>
      <c r="B930" s="6">
        <v>45768</v>
      </c>
      <c r="C930" t="s">
        <v>1639</v>
      </c>
      <c r="D930" t="s">
        <v>24</v>
      </c>
      <c r="E930" t="s">
        <v>1416</v>
      </c>
      <c r="F930" t="s">
        <v>1417</v>
      </c>
      <c r="G930" s="7">
        <v>1</v>
      </c>
      <c r="H930" s="8">
        <v>57.96</v>
      </c>
      <c r="I930" s="9">
        <v>0</v>
      </c>
      <c r="J930" s="8">
        <v>57.96</v>
      </c>
      <c r="K930" s="8">
        <v>17.96</v>
      </c>
      <c r="L930" t="s">
        <v>17</v>
      </c>
    </row>
    <row r="931" spans="1:12" x14ac:dyDescent="0.25">
      <c r="A931" t="s">
        <v>1640</v>
      </c>
      <c r="B931" s="6">
        <v>46013</v>
      </c>
      <c r="C931" t="s">
        <v>1641</v>
      </c>
      <c r="D931" t="s">
        <v>20</v>
      </c>
      <c r="E931" t="s">
        <v>1429</v>
      </c>
      <c r="F931" t="s">
        <v>1417</v>
      </c>
      <c r="G931" s="7">
        <v>2</v>
      </c>
      <c r="H931" s="8">
        <v>57.46</v>
      </c>
      <c r="I931" s="9">
        <v>0</v>
      </c>
      <c r="J931" s="8">
        <v>114.92</v>
      </c>
      <c r="K931" s="8">
        <v>18.079999999999998</v>
      </c>
      <c r="L931" t="s">
        <v>17</v>
      </c>
    </row>
    <row r="932" spans="1:12" x14ac:dyDescent="0.25">
      <c r="A932" t="s">
        <v>1642</v>
      </c>
      <c r="B932" s="6">
        <v>45698</v>
      </c>
      <c r="C932" t="s">
        <v>343</v>
      </c>
      <c r="D932" t="s">
        <v>20</v>
      </c>
      <c r="E932" t="s">
        <v>1420</v>
      </c>
      <c r="F932" t="s">
        <v>1417</v>
      </c>
      <c r="G932" s="7">
        <v>2</v>
      </c>
      <c r="H932" s="8">
        <v>34.270000000000003</v>
      </c>
      <c r="I932" s="9">
        <v>0</v>
      </c>
      <c r="J932" s="8">
        <v>68.540000000000006</v>
      </c>
      <c r="K932" s="8">
        <v>18.239999999999998</v>
      </c>
      <c r="L932" t="s">
        <v>48</v>
      </c>
    </row>
    <row r="933" spans="1:12" x14ac:dyDescent="0.25">
      <c r="A933" t="s">
        <v>1643</v>
      </c>
      <c r="B933" s="6">
        <v>45358</v>
      </c>
      <c r="C933" t="s">
        <v>1644</v>
      </c>
      <c r="D933" t="s">
        <v>31</v>
      </c>
      <c r="E933" t="s">
        <v>1426</v>
      </c>
      <c r="F933" t="s">
        <v>1417</v>
      </c>
      <c r="G933" s="7">
        <v>3</v>
      </c>
      <c r="H933" s="8">
        <v>19.63</v>
      </c>
      <c r="I933" s="9">
        <v>5</v>
      </c>
      <c r="J933" s="8">
        <v>55.95</v>
      </c>
      <c r="K933" s="8">
        <v>18.489999999999998</v>
      </c>
      <c r="L933" t="s">
        <v>48</v>
      </c>
    </row>
    <row r="934" spans="1:12" x14ac:dyDescent="0.25">
      <c r="A934" t="s">
        <v>1645</v>
      </c>
      <c r="B934" s="6">
        <v>45526</v>
      </c>
      <c r="C934" t="s">
        <v>1646</v>
      </c>
      <c r="D934" t="s">
        <v>20</v>
      </c>
      <c r="E934" t="s">
        <v>1439</v>
      </c>
      <c r="F934" t="s">
        <v>1417</v>
      </c>
      <c r="G934" s="7">
        <v>2</v>
      </c>
      <c r="H934" s="8">
        <v>37.36</v>
      </c>
      <c r="I934" s="9">
        <v>10</v>
      </c>
      <c r="J934" s="8">
        <v>67.25</v>
      </c>
      <c r="K934" s="8">
        <v>18.489999999999998</v>
      </c>
      <c r="L934" t="s">
        <v>48</v>
      </c>
    </row>
    <row r="935" spans="1:12" x14ac:dyDescent="0.25">
      <c r="A935" t="s">
        <v>1647</v>
      </c>
      <c r="B935" s="6">
        <v>45363</v>
      </c>
      <c r="C935" t="s">
        <v>356</v>
      </c>
      <c r="D935" t="s">
        <v>31</v>
      </c>
      <c r="E935" t="s">
        <v>1478</v>
      </c>
      <c r="F935" t="s">
        <v>1417</v>
      </c>
      <c r="G935" s="7">
        <v>4</v>
      </c>
      <c r="H935" s="8">
        <v>14.87</v>
      </c>
      <c r="I935" s="9">
        <v>0</v>
      </c>
      <c r="J935" s="8">
        <v>59.48</v>
      </c>
      <c r="K935" s="8">
        <v>18.739999999999998</v>
      </c>
      <c r="L935" t="s">
        <v>33</v>
      </c>
    </row>
    <row r="936" spans="1:12" x14ac:dyDescent="0.25">
      <c r="A936" t="s">
        <v>1648</v>
      </c>
      <c r="B936" s="6">
        <v>45502</v>
      </c>
      <c r="C936" t="s">
        <v>1649</v>
      </c>
      <c r="D936" t="s">
        <v>36</v>
      </c>
      <c r="E936" t="s">
        <v>1426</v>
      </c>
      <c r="F936" t="s">
        <v>1417</v>
      </c>
      <c r="G936" s="7">
        <v>2</v>
      </c>
      <c r="H936" s="8">
        <v>37.979999999999997</v>
      </c>
      <c r="I936" s="9">
        <v>10</v>
      </c>
      <c r="J936" s="8">
        <v>68.36</v>
      </c>
      <c r="K936" s="8">
        <v>18.940000000000001</v>
      </c>
      <c r="L936" t="s">
        <v>33</v>
      </c>
    </row>
    <row r="937" spans="1:12" x14ac:dyDescent="0.25">
      <c r="A937" t="s">
        <v>1650</v>
      </c>
      <c r="B937" s="6">
        <v>45605</v>
      </c>
      <c r="C937" t="s">
        <v>1292</v>
      </c>
      <c r="D937" t="s">
        <v>36</v>
      </c>
      <c r="E937" t="s">
        <v>1436</v>
      </c>
      <c r="F937" t="s">
        <v>1417</v>
      </c>
      <c r="G937" s="7">
        <v>2</v>
      </c>
      <c r="H937" s="8">
        <v>37.79</v>
      </c>
      <c r="I937" s="9">
        <v>5</v>
      </c>
      <c r="J937" s="8">
        <v>71.8</v>
      </c>
      <c r="K937" s="8">
        <v>18.96</v>
      </c>
      <c r="L937" t="s">
        <v>33</v>
      </c>
    </row>
    <row r="938" spans="1:12" x14ac:dyDescent="0.25">
      <c r="A938" t="s">
        <v>1651</v>
      </c>
      <c r="B938" s="6">
        <v>45718</v>
      </c>
      <c r="C938" t="s">
        <v>1652</v>
      </c>
      <c r="D938" t="s">
        <v>20</v>
      </c>
      <c r="E938" t="s">
        <v>1429</v>
      </c>
      <c r="F938" t="s">
        <v>1417</v>
      </c>
      <c r="G938" s="7">
        <v>2</v>
      </c>
      <c r="H938" s="8">
        <v>36.630000000000003</v>
      </c>
      <c r="I938" s="9">
        <v>5</v>
      </c>
      <c r="J938" s="8">
        <v>69.599999999999994</v>
      </c>
      <c r="K938" s="8">
        <v>19.16</v>
      </c>
      <c r="L938" t="s">
        <v>33</v>
      </c>
    </row>
    <row r="939" spans="1:12" x14ac:dyDescent="0.25">
      <c r="A939" t="s">
        <v>1653</v>
      </c>
      <c r="B939" s="6">
        <v>45379</v>
      </c>
      <c r="C939" t="s">
        <v>1654</v>
      </c>
      <c r="D939" t="s">
        <v>31</v>
      </c>
      <c r="E939" t="s">
        <v>1478</v>
      </c>
      <c r="F939" t="s">
        <v>1417</v>
      </c>
      <c r="G939" s="7">
        <v>2</v>
      </c>
      <c r="H939" s="8">
        <v>49.98</v>
      </c>
      <c r="I939" s="9">
        <v>10</v>
      </c>
      <c r="J939" s="8">
        <v>89.96</v>
      </c>
      <c r="K939" s="8">
        <v>19.36</v>
      </c>
      <c r="L939" t="s">
        <v>17</v>
      </c>
    </row>
    <row r="940" spans="1:12" x14ac:dyDescent="0.25">
      <c r="A940" t="s">
        <v>1655</v>
      </c>
      <c r="B940" s="6">
        <v>45473</v>
      </c>
      <c r="C940" t="s">
        <v>1268</v>
      </c>
      <c r="D940" t="s">
        <v>24</v>
      </c>
      <c r="E940" t="s">
        <v>1416</v>
      </c>
      <c r="F940" t="s">
        <v>1417</v>
      </c>
      <c r="G940" s="7">
        <v>4</v>
      </c>
      <c r="H940" s="8">
        <v>20.67</v>
      </c>
      <c r="I940" s="9">
        <v>5</v>
      </c>
      <c r="J940" s="8">
        <v>78.55</v>
      </c>
      <c r="K940" s="8">
        <v>20.7</v>
      </c>
      <c r="L940" t="s">
        <v>33</v>
      </c>
    </row>
    <row r="941" spans="1:12" x14ac:dyDescent="0.25">
      <c r="A941" t="s">
        <v>1656</v>
      </c>
      <c r="B941" s="6">
        <v>45506</v>
      </c>
      <c r="C941" t="s">
        <v>783</v>
      </c>
      <c r="D941" t="s">
        <v>36</v>
      </c>
      <c r="E941" t="s">
        <v>1426</v>
      </c>
      <c r="F941" t="s">
        <v>1417</v>
      </c>
      <c r="G941" s="7">
        <v>2</v>
      </c>
      <c r="H941" s="8">
        <v>56.19</v>
      </c>
      <c r="I941" s="9">
        <v>15</v>
      </c>
      <c r="J941" s="8">
        <v>95.52</v>
      </c>
      <c r="K941" s="8">
        <v>21.54</v>
      </c>
      <c r="L941" t="s">
        <v>33</v>
      </c>
    </row>
    <row r="942" spans="1:12" x14ac:dyDescent="0.25">
      <c r="A942" t="s">
        <v>1657</v>
      </c>
      <c r="B942" s="6">
        <v>45479</v>
      </c>
      <c r="C942" t="s">
        <v>1216</v>
      </c>
      <c r="D942" t="s">
        <v>36</v>
      </c>
      <c r="E942" t="s">
        <v>1436</v>
      </c>
      <c r="F942" t="s">
        <v>1417</v>
      </c>
      <c r="G942" s="7">
        <v>3</v>
      </c>
      <c r="H942" s="8">
        <v>37.75</v>
      </c>
      <c r="I942" s="9">
        <v>20</v>
      </c>
      <c r="J942" s="8">
        <v>90.6</v>
      </c>
      <c r="K942" s="8">
        <v>21.56</v>
      </c>
      <c r="L942" t="s">
        <v>33</v>
      </c>
    </row>
    <row r="943" spans="1:12" x14ac:dyDescent="0.25">
      <c r="A943" t="s">
        <v>1658</v>
      </c>
      <c r="B943" s="6">
        <v>45727</v>
      </c>
      <c r="C943" t="s">
        <v>343</v>
      </c>
      <c r="D943" t="s">
        <v>31</v>
      </c>
      <c r="E943" t="s">
        <v>1478</v>
      </c>
      <c r="F943" t="s">
        <v>1417</v>
      </c>
      <c r="G943" s="7">
        <v>3</v>
      </c>
      <c r="H943" s="8">
        <v>45.4</v>
      </c>
      <c r="I943" s="9">
        <v>0</v>
      </c>
      <c r="J943" s="8">
        <v>136.19999999999999</v>
      </c>
      <c r="K943" s="8">
        <v>21.73</v>
      </c>
      <c r="L943" t="s">
        <v>17</v>
      </c>
    </row>
    <row r="944" spans="1:12" x14ac:dyDescent="0.25">
      <c r="A944" t="s">
        <v>1659</v>
      </c>
      <c r="B944" s="6">
        <v>45424</v>
      </c>
      <c r="C944" t="s">
        <v>693</v>
      </c>
      <c r="D944" t="s">
        <v>14</v>
      </c>
      <c r="E944" t="s">
        <v>1478</v>
      </c>
      <c r="F944" t="s">
        <v>1417</v>
      </c>
      <c r="G944" s="7">
        <v>3</v>
      </c>
      <c r="H944" s="8">
        <v>46.74</v>
      </c>
      <c r="I944" s="9">
        <v>25</v>
      </c>
      <c r="J944" s="8">
        <v>105.17</v>
      </c>
      <c r="K944" s="8">
        <v>21.88</v>
      </c>
      <c r="L944" t="s">
        <v>17</v>
      </c>
    </row>
    <row r="945" spans="1:12" x14ac:dyDescent="0.25">
      <c r="A945" t="s">
        <v>1660</v>
      </c>
      <c r="B945" s="6">
        <v>45550</v>
      </c>
      <c r="C945" t="s">
        <v>720</v>
      </c>
      <c r="D945" t="s">
        <v>31</v>
      </c>
      <c r="E945" t="s">
        <v>1422</v>
      </c>
      <c r="F945" t="s">
        <v>1417</v>
      </c>
      <c r="G945" s="7">
        <v>3</v>
      </c>
      <c r="H945" s="8">
        <v>31.22</v>
      </c>
      <c r="I945" s="9">
        <v>10</v>
      </c>
      <c r="J945" s="8">
        <v>84.29</v>
      </c>
      <c r="K945" s="8">
        <v>22.33</v>
      </c>
      <c r="L945" t="s">
        <v>33</v>
      </c>
    </row>
    <row r="946" spans="1:12" x14ac:dyDescent="0.25">
      <c r="A946" t="s">
        <v>1661</v>
      </c>
      <c r="B946" s="6">
        <v>45627</v>
      </c>
      <c r="C946" t="s">
        <v>1560</v>
      </c>
      <c r="D946" t="s">
        <v>14</v>
      </c>
      <c r="E946" t="s">
        <v>1420</v>
      </c>
      <c r="F946" t="s">
        <v>1417</v>
      </c>
      <c r="G946" s="7">
        <v>5</v>
      </c>
      <c r="H946" s="8">
        <v>17.16</v>
      </c>
      <c r="I946" s="9">
        <v>0</v>
      </c>
      <c r="J946" s="8">
        <v>85.8</v>
      </c>
      <c r="K946" s="8">
        <v>22.89</v>
      </c>
      <c r="L946" t="s">
        <v>33</v>
      </c>
    </row>
    <row r="947" spans="1:12" x14ac:dyDescent="0.25">
      <c r="A947" t="s">
        <v>1662</v>
      </c>
      <c r="B947" s="6">
        <v>45650</v>
      </c>
      <c r="C947" t="s">
        <v>975</v>
      </c>
      <c r="D947" t="s">
        <v>36</v>
      </c>
      <c r="E947" t="s">
        <v>1457</v>
      </c>
      <c r="F947" t="s">
        <v>1417</v>
      </c>
      <c r="G947" s="7">
        <v>2</v>
      </c>
      <c r="H947" s="8">
        <v>46.51</v>
      </c>
      <c r="I947" s="9">
        <v>0</v>
      </c>
      <c r="J947" s="8">
        <v>93.02</v>
      </c>
      <c r="K947" s="8">
        <v>22.98</v>
      </c>
      <c r="L947" t="s">
        <v>17</v>
      </c>
    </row>
    <row r="948" spans="1:12" x14ac:dyDescent="0.25">
      <c r="A948" t="s">
        <v>1663</v>
      </c>
      <c r="B948" s="6">
        <v>46007</v>
      </c>
      <c r="C948" t="s">
        <v>1664</v>
      </c>
      <c r="D948" t="s">
        <v>36</v>
      </c>
      <c r="E948" t="s">
        <v>1457</v>
      </c>
      <c r="F948" t="s">
        <v>1417</v>
      </c>
      <c r="G948" s="7">
        <v>2</v>
      </c>
      <c r="H948" s="8">
        <v>45.32</v>
      </c>
      <c r="I948" s="9">
        <v>5</v>
      </c>
      <c r="J948" s="8">
        <v>86.11</v>
      </c>
      <c r="K948" s="8">
        <v>23.2</v>
      </c>
      <c r="L948" t="s">
        <v>33</v>
      </c>
    </row>
    <row r="949" spans="1:12" x14ac:dyDescent="0.25">
      <c r="A949" t="s">
        <v>1665</v>
      </c>
      <c r="B949" s="6">
        <v>45638</v>
      </c>
      <c r="C949" t="s">
        <v>1666</v>
      </c>
      <c r="D949" t="s">
        <v>14</v>
      </c>
      <c r="E949" t="s">
        <v>1439</v>
      </c>
      <c r="F949" t="s">
        <v>1417</v>
      </c>
      <c r="G949" s="7">
        <v>2</v>
      </c>
      <c r="H949" s="8">
        <v>50.9</v>
      </c>
      <c r="I949" s="9">
        <v>0</v>
      </c>
      <c r="J949" s="8">
        <v>101.8</v>
      </c>
      <c r="K949" s="8">
        <v>23.24</v>
      </c>
      <c r="L949" t="s">
        <v>17</v>
      </c>
    </row>
    <row r="950" spans="1:12" x14ac:dyDescent="0.25">
      <c r="A950" t="s">
        <v>1667</v>
      </c>
      <c r="B950" s="6">
        <v>45693</v>
      </c>
      <c r="C950" t="s">
        <v>695</v>
      </c>
      <c r="D950" t="s">
        <v>14</v>
      </c>
      <c r="E950" t="s">
        <v>1478</v>
      </c>
      <c r="F950" t="s">
        <v>1417</v>
      </c>
      <c r="G950" s="7">
        <v>2</v>
      </c>
      <c r="H950" s="8">
        <v>42.24</v>
      </c>
      <c r="I950" s="9">
        <v>15</v>
      </c>
      <c r="J950" s="8">
        <v>71.81</v>
      </c>
      <c r="K950" s="8">
        <v>23.54</v>
      </c>
      <c r="L950" t="s">
        <v>33</v>
      </c>
    </row>
    <row r="951" spans="1:12" x14ac:dyDescent="0.25">
      <c r="A951" t="s">
        <v>1668</v>
      </c>
      <c r="B951" s="6">
        <v>45430</v>
      </c>
      <c r="C951" t="s">
        <v>1669</v>
      </c>
      <c r="D951" t="s">
        <v>31</v>
      </c>
      <c r="E951" t="s">
        <v>1439</v>
      </c>
      <c r="F951" t="s">
        <v>1417</v>
      </c>
      <c r="G951" s="7">
        <v>3</v>
      </c>
      <c r="H951" s="8">
        <v>50.02</v>
      </c>
      <c r="I951" s="9">
        <v>0</v>
      </c>
      <c r="J951" s="8">
        <v>150.06</v>
      </c>
      <c r="K951" s="8">
        <v>23.93</v>
      </c>
      <c r="L951" t="s">
        <v>17</v>
      </c>
    </row>
    <row r="952" spans="1:12" x14ac:dyDescent="0.25">
      <c r="A952" t="s">
        <v>1670</v>
      </c>
      <c r="B952" s="6">
        <v>45808</v>
      </c>
      <c r="C952" t="s">
        <v>1671</v>
      </c>
      <c r="D952" t="s">
        <v>14</v>
      </c>
      <c r="E952" t="s">
        <v>1429</v>
      </c>
      <c r="F952" t="s">
        <v>1417</v>
      </c>
      <c r="G952" s="7">
        <v>2</v>
      </c>
      <c r="H952" s="8">
        <v>58.65</v>
      </c>
      <c r="I952" s="9">
        <v>20</v>
      </c>
      <c r="J952" s="8">
        <v>93.84</v>
      </c>
      <c r="K952" s="8">
        <v>24.61</v>
      </c>
      <c r="L952" t="s">
        <v>33</v>
      </c>
    </row>
    <row r="953" spans="1:12" x14ac:dyDescent="0.25">
      <c r="A953" t="s">
        <v>1672</v>
      </c>
      <c r="B953" s="6">
        <v>45671</v>
      </c>
      <c r="C953" t="s">
        <v>1673</v>
      </c>
      <c r="D953" t="s">
        <v>36</v>
      </c>
      <c r="E953" t="s">
        <v>1439</v>
      </c>
      <c r="F953" t="s">
        <v>1417</v>
      </c>
      <c r="G953" s="7">
        <v>2</v>
      </c>
      <c r="H953" s="8">
        <v>58.72</v>
      </c>
      <c r="I953" s="9">
        <v>0</v>
      </c>
      <c r="J953" s="8">
        <v>117.44</v>
      </c>
      <c r="K953" s="8">
        <v>25.02</v>
      </c>
      <c r="L953" t="s">
        <v>17</v>
      </c>
    </row>
    <row r="954" spans="1:12" x14ac:dyDescent="0.25">
      <c r="A954" t="s">
        <v>1674</v>
      </c>
      <c r="B954" s="6">
        <v>46014</v>
      </c>
      <c r="C954" t="s">
        <v>112</v>
      </c>
      <c r="D954" t="s">
        <v>24</v>
      </c>
      <c r="E954" t="s">
        <v>1457</v>
      </c>
      <c r="F954" t="s">
        <v>1417</v>
      </c>
      <c r="G954" s="7">
        <v>2</v>
      </c>
      <c r="H954" s="8">
        <v>45.02</v>
      </c>
      <c r="I954" s="9">
        <v>15</v>
      </c>
      <c r="J954" s="8">
        <v>76.53</v>
      </c>
      <c r="K954" s="8">
        <v>25.14</v>
      </c>
      <c r="L954" t="s">
        <v>48</v>
      </c>
    </row>
    <row r="955" spans="1:12" x14ac:dyDescent="0.25">
      <c r="A955" t="s">
        <v>1675</v>
      </c>
      <c r="B955" s="6">
        <v>46014</v>
      </c>
      <c r="C955" t="s">
        <v>1545</v>
      </c>
      <c r="D955" t="s">
        <v>14</v>
      </c>
      <c r="E955" t="s">
        <v>1416</v>
      </c>
      <c r="F955" t="s">
        <v>1417</v>
      </c>
      <c r="G955" s="7">
        <v>2</v>
      </c>
      <c r="H955" s="8">
        <v>39.15</v>
      </c>
      <c r="I955" s="9">
        <v>0</v>
      </c>
      <c r="J955" s="8">
        <v>78.3</v>
      </c>
      <c r="K955" s="8">
        <v>25.6</v>
      </c>
      <c r="L955" t="s">
        <v>33</v>
      </c>
    </row>
    <row r="956" spans="1:12" x14ac:dyDescent="0.25">
      <c r="A956" t="s">
        <v>1676</v>
      </c>
      <c r="B956" s="6">
        <v>45542</v>
      </c>
      <c r="C956" t="s">
        <v>1677</v>
      </c>
      <c r="D956" t="s">
        <v>24</v>
      </c>
      <c r="E956" t="s">
        <v>1439</v>
      </c>
      <c r="F956" t="s">
        <v>1417</v>
      </c>
      <c r="G956" s="7">
        <v>3</v>
      </c>
      <c r="H956" s="8">
        <v>46.25</v>
      </c>
      <c r="I956" s="9">
        <v>15</v>
      </c>
      <c r="J956" s="8">
        <v>117.94</v>
      </c>
      <c r="K956" s="8">
        <v>25.91</v>
      </c>
      <c r="L956" t="s">
        <v>33</v>
      </c>
    </row>
    <row r="957" spans="1:12" x14ac:dyDescent="0.25">
      <c r="A957" t="s">
        <v>1678</v>
      </c>
      <c r="B957" s="6">
        <v>45658</v>
      </c>
      <c r="C957" t="s">
        <v>1679</v>
      </c>
      <c r="D957" t="s">
        <v>20</v>
      </c>
      <c r="E957" t="s">
        <v>1420</v>
      </c>
      <c r="F957" t="s">
        <v>1417</v>
      </c>
      <c r="G957" s="7">
        <v>2</v>
      </c>
      <c r="H957" s="8">
        <v>51.27</v>
      </c>
      <c r="I957" s="9">
        <v>10</v>
      </c>
      <c r="J957" s="8">
        <v>92.29</v>
      </c>
      <c r="K957" s="8">
        <v>26.05</v>
      </c>
      <c r="L957" t="s">
        <v>33</v>
      </c>
    </row>
    <row r="958" spans="1:12" x14ac:dyDescent="0.25">
      <c r="A958" t="s">
        <v>1680</v>
      </c>
      <c r="B958" s="6">
        <v>45811</v>
      </c>
      <c r="C958" t="s">
        <v>1681</v>
      </c>
      <c r="D958" t="s">
        <v>31</v>
      </c>
      <c r="E958" t="s">
        <v>1420</v>
      </c>
      <c r="F958" t="s">
        <v>1417</v>
      </c>
      <c r="G958" s="7">
        <v>3</v>
      </c>
      <c r="H958" s="8">
        <v>39.03</v>
      </c>
      <c r="I958" s="9">
        <v>25</v>
      </c>
      <c r="J958" s="8">
        <v>87.82</v>
      </c>
      <c r="K958" s="8">
        <v>26.26</v>
      </c>
      <c r="L958" t="s">
        <v>17</v>
      </c>
    </row>
    <row r="959" spans="1:12" x14ac:dyDescent="0.25">
      <c r="A959" t="s">
        <v>1682</v>
      </c>
      <c r="B959" s="6">
        <v>46009</v>
      </c>
      <c r="C959" t="s">
        <v>1683</v>
      </c>
      <c r="D959" t="s">
        <v>24</v>
      </c>
      <c r="E959" t="s">
        <v>1422</v>
      </c>
      <c r="F959" t="s">
        <v>1417</v>
      </c>
      <c r="G959" s="7">
        <v>4</v>
      </c>
      <c r="H959" s="8">
        <v>48.62</v>
      </c>
      <c r="I959" s="9">
        <v>15</v>
      </c>
      <c r="J959" s="8">
        <v>165.31</v>
      </c>
      <c r="K959" s="8">
        <v>26.46</v>
      </c>
      <c r="L959" t="s">
        <v>33</v>
      </c>
    </row>
    <row r="960" spans="1:12" x14ac:dyDescent="0.25">
      <c r="A960" t="s">
        <v>1684</v>
      </c>
      <c r="B960" s="6">
        <v>45434</v>
      </c>
      <c r="C960" t="s">
        <v>1330</v>
      </c>
      <c r="D960" t="s">
        <v>14</v>
      </c>
      <c r="E960" t="s">
        <v>1422</v>
      </c>
      <c r="F960" t="s">
        <v>1417</v>
      </c>
      <c r="G960" s="7">
        <v>3</v>
      </c>
      <c r="H960" s="8">
        <v>39.130000000000003</v>
      </c>
      <c r="I960" s="9">
        <v>5</v>
      </c>
      <c r="J960" s="8">
        <v>111.52</v>
      </c>
      <c r="K960" s="8">
        <v>27.38</v>
      </c>
      <c r="L960" t="s">
        <v>17</v>
      </c>
    </row>
    <row r="961" spans="1:12" x14ac:dyDescent="0.25">
      <c r="A961" t="s">
        <v>1685</v>
      </c>
      <c r="B961" s="6">
        <v>45610</v>
      </c>
      <c r="C961" t="s">
        <v>1686</v>
      </c>
      <c r="D961" t="s">
        <v>14</v>
      </c>
      <c r="E961" t="s">
        <v>1426</v>
      </c>
      <c r="F961" t="s">
        <v>1417</v>
      </c>
      <c r="G961" s="7">
        <v>4</v>
      </c>
      <c r="H961" s="8">
        <v>41.88</v>
      </c>
      <c r="I961" s="9">
        <v>25</v>
      </c>
      <c r="J961" s="8">
        <v>125.64</v>
      </c>
      <c r="K961" s="8">
        <v>27.73</v>
      </c>
      <c r="L961" t="s">
        <v>17</v>
      </c>
    </row>
    <row r="962" spans="1:12" x14ac:dyDescent="0.25">
      <c r="A962" t="s">
        <v>1687</v>
      </c>
      <c r="B962" s="6">
        <v>45480</v>
      </c>
      <c r="C962" t="s">
        <v>1688</v>
      </c>
      <c r="D962" t="s">
        <v>24</v>
      </c>
      <c r="E962" t="s">
        <v>1422</v>
      </c>
      <c r="F962" t="s">
        <v>1417</v>
      </c>
      <c r="G962" s="7">
        <v>3</v>
      </c>
      <c r="H962" s="8">
        <v>35.979999999999997</v>
      </c>
      <c r="I962" s="9">
        <v>20</v>
      </c>
      <c r="J962" s="8">
        <v>86.35</v>
      </c>
      <c r="K962" s="8">
        <v>28.22</v>
      </c>
      <c r="L962" t="s">
        <v>33</v>
      </c>
    </row>
    <row r="963" spans="1:12" x14ac:dyDescent="0.25">
      <c r="A963" t="s">
        <v>1689</v>
      </c>
      <c r="B963" s="6">
        <v>45947</v>
      </c>
      <c r="C963" t="s">
        <v>116</v>
      </c>
      <c r="D963" t="s">
        <v>31</v>
      </c>
      <c r="E963" t="s">
        <v>1478</v>
      </c>
      <c r="F963" t="s">
        <v>1417</v>
      </c>
      <c r="G963" s="7">
        <v>2</v>
      </c>
      <c r="H963" s="8">
        <v>48.08</v>
      </c>
      <c r="I963" s="9">
        <v>15</v>
      </c>
      <c r="J963" s="8">
        <v>81.739999999999995</v>
      </c>
      <c r="K963" s="8">
        <v>28.36</v>
      </c>
      <c r="L963" t="s">
        <v>48</v>
      </c>
    </row>
    <row r="964" spans="1:12" x14ac:dyDescent="0.25">
      <c r="A964" t="s">
        <v>1690</v>
      </c>
      <c r="B964" s="6">
        <v>45994</v>
      </c>
      <c r="C964" t="s">
        <v>945</v>
      </c>
      <c r="D964" t="s">
        <v>14</v>
      </c>
      <c r="E964" t="s">
        <v>1478</v>
      </c>
      <c r="F964" t="s">
        <v>1417</v>
      </c>
      <c r="G964" s="7">
        <v>2</v>
      </c>
      <c r="H964" s="8">
        <v>52.33</v>
      </c>
      <c r="I964" s="9">
        <v>15</v>
      </c>
      <c r="J964" s="8">
        <v>88.96</v>
      </c>
      <c r="K964" s="8">
        <v>28.53</v>
      </c>
      <c r="L964" t="s">
        <v>33</v>
      </c>
    </row>
    <row r="965" spans="1:12" x14ac:dyDescent="0.25">
      <c r="A965" t="s">
        <v>1691</v>
      </c>
      <c r="B965" s="6">
        <v>45413</v>
      </c>
      <c r="C965" t="s">
        <v>1692</v>
      </c>
      <c r="D965" t="s">
        <v>14</v>
      </c>
      <c r="E965" t="s">
        <v>1478</v>
      </c>
      <c r="F965" t="s">
        <v>1417</v>
      </c>
      <c r="G965" s="7">
        <v>3</v>
      </c>
      <c r="H965" s="8">
        <v>36</v>
      </c>
      <c r="I965" s="9">
        <v>0</v>
      </c>
      <c r="J965" s="8">
        <v>108</v>
      </c>
      <c r="K965" s="8">
        <v>28.79</v>
      </c>
      <c r="L965" t="s">
        <v>48</v>
      </c>
    </row>
    <row r="966" spans="1:12" x14ac:dyDescent="0.25">
      <c r="A966" t="s">
        <v>1693</v>
      </c>
      <c r="B966" s="6">
        <v>46000</v>
      </c>
      <c r="C966" t="s">
        <v>1694</v>
      </c>
      <c r="D966" t="s">
        <v>20</v>
      </c>
      <c r="E966" t="s">
        <v>1422</v>
      </c>
      <c r="F966" t="s">
        <v>1417</v>
      </c>
      <c r="G966" s="7">
        <v>3</v>
      </c>
      <c r="H966" s="8">
        <v>44.99</v>
      </c>
      <c r="I966" s="9">
        <v>10</v>
      </c>
      <c r="J966" s="8">
        <v>121.47</v>
      </c>
      <c r="K966" s="8">
        <v>29.29</v>
      </c>
      <c r="L966" t="s">
        <v>33</v>
      </c>
    </row>
    <row r="967" spans="1:12" x14ac:dyDescent="0.25">
      <c r="A967" t="s">
        <v>1695</v>
      </c>
      <c r="B967" s="6">
        <v>45570</v>
      </c>
      <c r="C967" t="s">
        <v>660</v>
      </c>
      <c r="D967" t="s">
        <v>20</v>
      </c>
      <c r="E967" t="s">
        <v>1422</v>
      </c>
      <c r="F967" t="s">
        <v>1417</v>
      </c>
      <c r="G967" s="7">
        <v>2</v>
      </c>
      <c r="H967" s="8">
        <v>45.45</v>
      </c>
      <c r="I967" s="9">
        <v>0</v>
      </c>
      <c r="J967" s="8">
        <v>90.9</v>
      </c>
      <c r="K967" s="8">
        <v>29.59</v>
      </c>
      <c r="L967" t="s">
        <v>33</v>
      </c>
    </row>
    <row r="968" spans="1:12" x14ac:dyDescent="0.25">
      <c r="A968" t="s">
        <v>1696</v>
      </c>
      <c r="B968" s="6">
        <v>45313</v>
      </c>
      <c r="C968" t="s">
        <v>1697</v>
      </c>
      <c r="D968" t="s">
        <v>20</v>
      </c>
      <c r="E968" t="s">
        <v>1478</v>
      </c>
      <c r="F968" t="s">
        <v>1417</v>
      </c>
      <c r="G968" s="7">
        <v>3</v>
      </c>
      <c r="H968" s="8">
        <v>36.28</v>
      </c>
      <c r="I968" s="9">
        <v>10</v>
      </c>
      <c r="J968" s="8">
        <v>97.96</v>
      </c>
      <c r="K968" s="8">
        <v>29.98</v>
      </c>
      <c r="L968" t="s">
        <v>33</v>
      </c>
    </row>
    <row r="969" spans="1:12" x14ac:dyDescent="0.25">
      <c r="A969" t="s">
        <v>1698</v>
      </c>
      <c r="B969" s="6">
        <v>45669</v>
      </c>
      <c r="C969" t="s">
        <v>1699</v>
      </c>
      <c r="D969" t="s">
        <v>31</v>
      </c>
      <c r="E969" t="s">
        <v>1457</v>
      </c>
      <c r="F969" t="s">
        <v>1417</v>
      </c>
      <c r="G969" s="7">
        <v>2</v>
      </c>
      <c r="H969" s="8">
        <v>57.17</v>
      </c>
      <c r="I969" s="9">
        <v>0</v>
      </c>
      <c r="J969" s="8">
        <v>114.34</v>
      </c>
      <c r="K969" s="8">
        <v>31.56</v>
      </c>
      <c r="L969" t="s">
        <v>17</v>
      </c>
    </row>
    <row r="970" spans="1:12" x14ac:dyDescent="0.25">
      <c r="A970" t="s">
        <v>1700</v>
      </c>
      <c r="B970" s="6">
        <v>45916</v>
      </c>
      <c r="C970" t="s">
        <v>1701</v>
      </c>
      <c r="D970" t="s">
        <v>14</v>
      </c>
      <c r="E970" t="s">
        <v>1422</v>
      </c>
      <c r="F970" t="s">
        <v>1417</v>
      </c>
      <c r="G970" s="7">
        <v>4</v>
      </c>
      <c r="H970" s="8">
        <v>35.04</v>
      </c>
      <c r="I970" s="9">
        <v>0</v>
      </c>
      <c r="J970" s="8">
        <v>140.16</v>
      </c>
      <c r="K970" s="8">
        <v>31.81</v>
      </c>
      <c r="L970" t="s">
        <v>33</v>
      </c>
    </row>
    <row r="971" spans="1:12" x14ac:dyDescent="0.25">
      <c r="A971" t="s">
        <v>1702</v>
      </c>
      <c r="B971" s="6">
        <v>45959</v>
      </c>
      <c r="C971" t="s">
        <v>1703</v>
      </c>
      <c r="D971" t="s">
        <v>20</v>
      </c>
      <c r="E971" t="s">
        <v>1443</v>
      </c>
      <c r="F971" t="s">
        <v>1417</v>
      </c>
      <c r="G971" s="7">
        <v>4</v>
      </c>
      <c r="H971" s="8">
        <v>41.59</v>
      </c>
      <c r="I971" s="9">
        <v>20</v>
      </c>
      <c r="J971" s="8">
        <v>133.09</v>
      </c>
      <c r="K971" s="8">
        <v>32.380000000000003</v>
      </c>
      <c r="L971" t="s">
        <v>33</v>
      </c>
    </row>
    <row r="972" spans="1:12" x14ac:dyDescent="0.25">
      <c r="A972" t="s">
        <v>1704</v>
      </c>
      <c r="B972" s="6">
        <v>45977</v>
      </c>
      <c r="C972" t="s">
        <v>1705</v>
      </c>
      <c r="D972" t="s">
        <v>14</v>
      </c>
      <c r="E972" t="s">
        <v>1420</v>
      </c>
      <c r="F972" t="s">
        <v>1417</v>
      </c>
      <c r="G972" s="7">
        <v>4</v>
      </c>
      <c r="H972" s="8">
        <v>49.25</v>
      </c>
      <c r="I972" s="9">
        <v>0</v>
      </c>
      <c r="J972" s="8">
        <v>197</v>
      </c>
      <c r="K972" s="8">
        <v>32.43</v>
      </c>
      <c r="L972" t="s">
        <v>17</v>
      </c>
    </row>
    <row r="973" spans="1:12" x14ac:dyDescent="0.25">
      <c r="A973" t="s">
        <v>1706</v>
      </c>
      <c r="B973" s="6">
        <v>45298</v>
      </c>
      <c r="C973" t="s">
        <v>266</v>
      </c>
      <c r="D973" t="s">
        <v>24</v>
      </c>
      <c r="E973" t="s">
        <v>1443</v>
      </c>
      <c r="F973" t="s">
        <v>1417</v>
      </c>
      <c r="G973" s="7">
        <v>2</v>
      </c>
      <c r="H973" s="8">
        <v>59.53</v>
      </c>
      <c r="I973" s="9">
        <v>5</v>
      </c>
      <c r="J973" s="8">
        <v>113.11</v>
      </c>
      <c r="K973" s="8">
        <v>32.479999999999997</v>
      </c>
      <c r="L973" t="s">
        <v>33</v>
      </c>
    </row>
    <row r="974" spans="1:12" x14ac:dyDescent="0.25">
      <c r="A974" t="s">
        <v>1707</v>
      </c>
      <c r="B974" s="6">
        <v>46002</v>
      </c>
      <c r="C974" t="s">
        <v>1708</v>
      </c>
      <c r="D974" t="s">
        <v>36</v>
      </c>
      <c r="E974" t="s">
        <v>1439</v>
      </c>
      <c r="F974" t="s">
        <v>1417</v>
      </c>
      <c r="G974" s="7">
        <v>2</v>
      </c>
      <c r="H974" s="8">
        <v>54.6</v>
      </c>
      <c r="I974" s="9">
        <v>10</v>
      </c>
      <c r="J974" s="8">
        <v>98.28</v>
      </c>
      <c r="K974" s="8">
        <v>33.090000000000003</v>
      </c>
      <c r="L974" t="s">
        <v>48</v>
      </c>
    </row>
    <row r="975" spans="1:12" x14ac:dyDescent="0.25">
      <c r="A975" t="s">
        <v>1709</v>
      </c>
      <c r="B975" s="6">
        <v>45621</v>
      </c>
      <c r="C975" t="s">
        <v>1494</v>
      </c>
      <c r="D975" t="s">
        <v>31</v>
      </c>
      <c r="E975" t="s">
        <v>1426</v>
      </c>
      <c r="F975" t="s">
        <v>1417</v>
      </c>
      <c r="G975" s="7">
        <v>4</v>
      </c>
      <c r="H975" s="8">
        <v>39.340000000000003</v>
      </c>
      <c r="I975" s="9">
        <v>20</v>
      </c>
      <c r="J975" s="8">
        <v>125.89</v>
      </c>
      <c r="K975" s="8">
        <v>33.26</v>
      </c>
      <c r="L975" t="s">
        <v>33</v>
      </c>
    </row>
    <row r="976" spans="1:12" x14ac:dyDescent="0.25">
      <c r="A976" t="s">
        <v>1710</v>
      </c>
      <c r="B976" s="6">
        <v>45471</v>
      </c>
      <c r="C976" t="s">
        <v>1711</v>
      </c>
      <c r="D976" t="s">
        <v>14</v>
      </c>
      <c r="E976" t="s">
        <v>1436</v>
      </c>
      <c r="F976" t="s">
        <v>1417</v>
      </c>
      <c r="G976" s="7">
        <v>3</v>
      </c>
      <c r="H976" s="8">
        <v>52.74</v>
      </c>
      <c r="I976" s="9">
        <v>5</v>
      </c>
      <c r="J976" s="8">
        <v>150.31</v>
      </c>
      <c r="K976" s="8">
        <v>33.56</v>
      </c>
      <c r="L976" t="s">
        <v>33</v>
      </c>
    </row>
    <row r="977" spans="1:12" x14ac:dyDescent="0.25">
      <c r="A977" t="s">
        <v>1712</v>
      </c>
      <c r="B977" s="6">
        <v>45804</v>
      </c>
      <c r="C977" t="s">
        <v>1165</v>
      </c>
      <c r="D977" t="s">
        <v>14</v>
      </c>
      <c r="E977" t="s">
        <v>1420</v>
      </c>
      <c r="F977" t="s">
        <v>1417</v>
      </c>
      <c r="G977" s="7">
        <v>4</v>
      </c>
      <c r="H977" s="8">
        <v>26.28</v>
      </c>
      <c r="I977" s="9">
        <v>0</v>
      </c>
      <c r="J977" s="8">
        <v>105.12</v>
      </c>
      <c r="K977" s="8">
        <v>36.44</v>
      </c>
      <c r="L977" t="s">
        <v>17</v>
      </c>
    </row>
    <row r="978" spans="1:12" x14ac:dyDescent="0.25">
      <c r="A978" t="s">
        <v>1713</v>
      </c>
      <c r="B978" s="6">
        <v>45524</v>
      </c>
      <c r="C978" t="s">
        <v>1646</v>
      </c>
      <c r="D978" t="s">
        <v>31</v>
      </c>
      <c r="E978" t="s">
        <v>1436</v>
      </c>
      <c r="F978" t="s">
        <v>1417</v>
      </c>
      <c r="G978" s="7">
        <v>2</v>
      </c>
      <c r="H978" s="8">
        <v>56.93</v>
      </c>
      <c r="I978" s="9">
        <v>0</v>
      </c>
      <c r="J978" s="8">
        <v>113.86</v>
      </c>
      <c r="K978" s="8">
        <v>36.93</v>
      </c>
      <c r="L978" t="s">
        <v>48</v>
      </c>
    </row>
    <row r="979" spans="1:12" x14ac:dyDescent="0.25">
      <c r="A979" t="s">
        <v>1714</v>
      </c>
      <c r="B979" s="6">
        <v>45629</v>
      </c>
      <c r="C979" t="s">
        <v>1715</v>
      </c>
      <c r="D979" t="s">
        <v>20</v>
      </c>
      <c r="E979" t="s">
        <v>1416</v>
      </c>
      <c r="F979" t="s">
        <v>1417</v>
      </c>
      <c r="G979" s="7">
        <v>4</v>
      </c>
      <c r="H979" s="8">
        <v>27.41</v>
      </c>
      <c r="I979" s="9">
        <v>0</v>
      </c>
      <c r="J979" s="8">
        <v>109.64</v>
      </c>
      <c r="K979" s="8">
        <v>37.229999999999997</v>
      </c>
      <c r="L979" t="s">
        <v>33</v>
      </c>
    </row>
    <row r="980" spans="1:12" x14ac:dyDescent="0.25">
      <c r="A980" t="s">
        <v>1716</v>
      </c>
      <c r="B980" s="6">
        <v>45596</v>
      </c>
      <c r="C980" t="s">
        <v>1717</v>
      </c>
      <c r="D980" t="s">
        <v>36</v>
      </c>
      <c r="E980" t="s">
        <v>1416</v>
      </c>
      <c r="F980" t="s">
        <v>1417</v>
      </c>
      <c r="G980" s="7">
        <v>3</v>
      </c>
      <c r="H980" s="8">
        <v>57.41</v>
      </c>
      <c r="I980" s="9">
        <v>10</v>
      </c>
      <c r="J980" s="8">
        <v>155.01</v>
      </c>
      <c r="K980" s="8">
        <v>37.25</v>
      </c>
      <c r="L980" t="s">
        <v>17</v>
      </c>
    </row>
    <row r="981" spans="1:12" x14ac:dyDescent="0.25">
      <c r="A981" t="s">
        <v>1718</v>
      </c>
      <c r="B981" s="6">
        <v>45855</v>
      </c>
      <c r="C981" t="s">
        <v>1719</v>
      </c>
      <c r="D981" t="s">
        <v>36</v>
      </c>
      <c r="E981" t="s">
        <v>1439</v>
      </c>
      <c r="F981" t="s">
        <v>1417</v>
      </c>
      <c r="G981" s="7">
        <v>2</v>
      </c>
      <c r="H981" s="8">
        <v>58.77</v>
      </c>
      <c r="I981" s="9">
        <v>0</v>
      </c>
      <c r="J981" s="8">
        <v>117.54</v>
      </c>
      <c r="K981" s="8">
        <v>38.159999999999997</v>
      </c>
      <c r="L981" t="s">
        <v>17</v>
      </c>
    </row>
    <row r="982" spans="1:12" x14ac:dyDescent="0.25">
      <c r="A982" t="s">
        <v>1720</v>
      </c>
      <c r="B982" s="6">
        <v>45621</v>
      </c>
      <c r="C982" t="s">
        <v>541</v>
      </c>
      <c r="D982" t="s">
        <v>24</v>
      </c>
      <c r="E982" t="s">
        <v>1436</v>
      </c>
      <c r="F982" t="s">
        <v>1417</v>
      </c>
      <c r="G982" s="7">
        <v>4</v>
      </c>
      <c r="H982" s="8">
        <v>35.450000000000003</v>
      </c>
      <c r="I982" s="9">
        <v>10</v>
      </c>
      <c r="J982" s="8">
        <v>127.62</v>
      </c>
      <c r="K982" s="8">
        <v>38.21</v>
      </c>
      <c r="L982" t="s">
        <v>48</v>
      </c>
    </row>
    <row r="983" spans="1:12" x14ac:dyDescent="0.25">
      <c r="A983" t="s">
        <v>1721</v>
      </c>
      <c r="B983" s="6">
        <v>45671</v>
      </c>
      <c r="C983" t="s">
        <v>1722</v>
      </c>
      <c r="D983" t="s">
        <v>14</v>
      </c>
      <c r="E983" t="s">
        <v>1439</v>
      </c>
      <c r="F983" t="s">
        <v>1417</v>
      </c>
      <c r="G983" s="7">
        <v>4</v>
      </c>
      <c r="H983" s="8">
        <v>43.56</v>
      </c>
      <c r="I983" s="9">
        <v>0</v>
      </c>
      <c r="J983" s="8">
        <v>174.24</v>
      </c>
      <c r="K983" s="8">
        <v>38.28</v>
      </c>
      <c r="L983" t="s">
        <v>33</v>
      </c>
    </row>
    <row r="984" spans="1:12" x14ac:dyDescent="0.25">
      <c r="A984" t="s">
        <v>1723</v>
      </c>
      <c r="B984" s="6">
        <v>45655</v>
      </c>
      <c r="C984" t="s">
        <v>307</v>
      </c>
      <c r="D984" t="s">
        <v>31</v>
      </c>
      <c r="E984" t="s">
        <v>1416</v>
      </c>
      <c r="F984" t="s">
        <v>1417</v>
      </c>
      <c r="G984" s="7">
        <v>2</v>
      </c>
      <c r="H984" s="8">
        <v>59.71</v>
      </c>
      <c r="I984" s="9">
        <v>5</v>
      </c>
      <c r="J984" s="8">
        <v>113.45</v>
      </c>
      <c r="K984" s="8">
        <v>38.35</v>
      </c>
      <c r="L984" t="s">
        <v>33</v>
      </c>
    </row>
    <row r="985" spans="1:12" x14ac:dyDescent="0.25">
      <c r="A985" t="s">
        <v>1724</v>
      </c>
      <c r="B985" s="6">
        <v>45547</v>
      </c>
      <c r="C985" t="s">
        <v>1725</v>
      </c>
      <c r="D985" t="s">
        <v>24</v>
      </c>
      <c r="E985" t="s">
        <v>1439</v>
      </c>
      <c r="F985" t="s">
        <v>1417</v>
      </c>
      <c r="G985" s="7">
        <v>4</v>
      </c>
      <c r="H985" s="8">
        <v>53.57</v>
      </c>
      <c r="I985" s="9">
        <v>15</v>
      </c>
      <c r="J985" s="8">
        <v>182.14</v>
      </c>
      <c r="K985" s="8">
        <v>42.35</v>
      </c>
      <c r="L985" t="s">
        <v>17</v>
      </c>
    </row>
    <row r="986" spans="1:12" x14ac:dyDescent="0.25">
      <c r="A986" t="s">
        <v>1726</v>
      </c>
      <c r="B986" s="6">
        <v>45363</v>
      </c>
      <c r="C986" t="s">
        <v>178</v>
      </c>
      <c r="D986" t="s">
        <v>24</v>
      </c>
      <c r="E986" t="s">
        <v>1420</v>
      </c>
      <c r="F986" t="s">
        <v>1417</v>
      </c>
      <c r="G986" s="7">
        <v>3</v>
      </c>
      <c r="H986" s="8">
        <v>54.12</v>
      </c>
      <c r="I986" s="9">
        <v>0</v>
      </c>
      <c r="J986" s="8">
        <v>162.36000000000001</v>
      </c>
      <c r="K986" s="8">
        <v>43.74</v>
      </c>
      <c r="L986" t="s">
        <v>17</v>
      </c>
    </row>
    <row r="987" spans="1:12" x14ac:dyDescent="0.25">
      <c r="A987" t="s">
        <v>1727</v>
      </c>
      <c r="B987" s="6">
        <v>45460</v>
      </c>
      <c r="C987" t="s">
        <v>1728</v>
      </c>
      <c r="D987" t="s">
        <v>24</v>
      </c>
      <c r="E987" t="s">
        <v>1439</v>
      </c>
      <c r="F987" t="s">
        <v>1417</v>
      </c>
      <c r="G987" s="7">
        <v>3</v>
      </c>
      <c r="H987" s="8">
        <v>59.38</v>
      </c>
      <c r="I987" s="9">
        <v>20</v>
      </c>
      <c r="J987" s="8">
        <v>142.51</v>
      </c>
      <c r="K987" s="8">
        <v>43.79</v>
      </c>
      <c r="L987" t="s">
        <v>48</v>
      </c>
    </row>
    <row r="988" spans="1:12" x14ac:dyDescent="0.25">
      <c r="A988" t="s">
        <v>1729</v>
      </c>
      <c r="B988" s="6">
        <v>45998</v>
      </c>
      <c r="C988" t="s">
        <v>1730</v>
      </c>
      <c r="D988" t="s">
        <v>20</v>
      </c>
      <c r="E988" t="s">
        <v>1426</v>
      </c>
      <c r="F988" t="s">
        <v>1417</v>
      </c>
      <c r="G988" s="7">
        <v>4</v>
      </c>
      <c r="H988" s="8">
        <v>51.45</v>
      </c>
      <c r="I988" s="9">
        <v>0</v>
      </c>
      <c r="J988" s="8">
        <v>205.8</v>
      </c>
      <c r="K988" s="8">
        <v>44.37</v>
      </c>
      <c r="L988" t="s">
        <v>17</v>
      </c>
    </row>
    <row r="989" spans="1:12" x14ac:dyDescent="0.25">
      <c r="A989" t="s">
        <v>1731</v>
      </c>
      <c r="B989" s="6">
        <v>45688</v>
      </c>
      <c r="C989" t="s">
        <v>1732</v>
      </c>
      <c r="D989" t="s">
        <v>24</v>
      </c>
      <c r="E989" t="s">
        <v>1478</v>
      </c>
      <c r="F989" t="s">
        <v>1417</v>
      </c>
      <c r="G989" s="7">
        <v>3</v>
      </c>
      <c r="H989" s="8">
        <v>54.7</v>
      </c>
      <c r="I989" s="9">
        <v>15</v>
      </c>
      <c r="J989" s="8">
        <v>139.49</v>
      </c>
      <c r="K989" s="8">
        <v>46.32</v>
      </c>
      <c r="L989" t="s">
        <v>33</v>
      </c>
    </row>
    <row r="990" spans="1:12" x14ac:dyDescent="0.25">
      <c r="A990" t="s">
        <v>1733</v>
      </c>
      <c r="B990" s="6">
        <v>45857</v>
      </c>
      <c r="C990" t="s">
        <v>1524</v>
      </c>
      <c r="D990" t="s">
        <v>24</v>
      </c>
      <c r="E990" t="s">
        <v>1420</v>
      </c>
      <c r="F990" t="s">
        <v>1417</v>
      </c>
      <c r="G990" s="7">
        <v>5</v>
      </c>
      <c r="H990" s="8">
        <v>53.24</v>
      </c>
      <c r="I990" s="9">
        <v>20</v>
      </c>
      <c r="J990" s="8">
        <v>212.96</v>
      </c>
      <c r="K990" s="8">
        <v>47.97</v>
      </c>
      <c r="L990" t="s">
        <v>17</v>
      </c>
    </row>
    <row r="991" spans="1:12" x14ac:dyDescent="0.25">
      <c r="A991" t="s">
        <v>1734</v>
      </c>
      <c r="B991" s="6">
        <v>45624</v>
      </c>
      <c r="C991" t="s">
        <v>138</v>
      </c>
      <c r="D991" t="s">
        <v>36</v>
      </c>
      <c r="E991" t="s">
        <v>1436</v>
      </c>
      <c r="F991" t="s">
        <v>1417</v>
      </c>
      <c r="G991" s="7">
        <v>4</v>
      </c>
      <c r="H991" s="8">
        <v>51.81</v>
      </c>
      <c r="I991" s="9">
        <v>5</v>
      </c>
      <c r="J991" s="8">
        <v>196.88</v>
      </c>
      <c r="K991" s="8">
        <v>48.45</v>
      </c>
      <c r="L991" t="s">
        <v>17</v>
      </c>
    </row>
    <row r="992" spans="1:12" x14ac:dyDescent="0.25">
      <c r="A992" t="s">
        <v>1735</v>
      </c>
      <c r="B992" s="6">
        <v>45367</v>
      </c>
      <c r="C992" t="s">
        <v>1009</v>
      </c>
      <c r="D992" t="s">
        <v>31</v>
      </c>
      <c r="E992" t="s">
        <v>1429</v>
      </c>
      <c r="F992" t="s">
        <v>1417</v>
      </c>
      <c r="G992" s="7">
        <v>4</v>
      </c>
      <c r="H992" s="8">
        <v>59.46</v>
      </c>
      <c r="I992" s="9">
        <v>0</v>
      </c>
      <c r="J992" s="8">
        <v>237.84</v>
      </c>
      <c r="K992" s="8">
        <v>49.31</v>
      </c>
      <c r="L992" t="s">
        <v>33</v>
      </c>
    </row>
    <row r="993" spans="1:12" x14ac:dyDescent="0.25">
      <c r="A993" t="s">
        <v>1736</v>
      </c>
      <c r="B993" s="6">
        <v>45551</v>
      </c>
      <c r="C993" t="s">
        <v>1737</v>
      </c>
      <c r="D993" t="s">
        <v>14</v>
      </c>
      <c r="E993" t="s">
        <v>1439</v>
      </c>
      <c r="F993" t="s">
        <v>1417</v>
      </c>
      <c r="G993" s="7">
        <v>4</v>
      </c>
      <c r="H993" s="8">
        <v>49.44</v>
      </c>
      <c r="I993" s="9">
        <v>0</v>
      </c>
      <c r="J993" s="8">
        <v>197.76</v>
      </c>
      <c r="K993" s="8">
        <v>50.24</v>
      </c>
      <c r="L993" t="s">
        <v>17</v>
      </c>
    </row>
    <row r="994" spans="1:12" x14ac:dyDescent="0.25">
      <c r="A994" t="s">
        <v>1738</v>
      </c>
      <c r="B994" s="6">
        <v>45607</v>
      </c>
      <c r="C994" t="s">
        <v>1739</v>
      </c>
      <c r="D994" t="s">
        <v>14</v>
      </c>
      <c r="E994" t="s">
        <v>1422</v>
      </c>
      <c r="F994" t="s">
        <v>1417</v>
      </c>
      <c r="G994" s="7">
        <v>4</v>
      </c>
      <c r="H994" s="8">
        <v>54.88</v>
      </c>
      <c r="I994" s="9">
        <v>10</v>
      </c>
      <c r="J994" s="8">
        <v>197.57</v>
      </c>
      <c r="K994" s="8">
        <v>54.5</v>
      </c>
      <c r="L994" t="s">
        <v>33</v>
      </c>
    </row>
    <row r="995" spans="1:12" x14ac:dyDescent="0.25">
      <c r="A995" t="s">
        <v>1740</v>
      </c>
      <c r="B995" s="6">
        <v>45747</v>
      </c>
      <c r="C995" t="s">
        <v>278</v>
      </c>
      <c r="D995" t="s">
        <v>31</v>
      </c>
      <c r="E995" t="s">
        <v>1439</v>
      </c>
      <c r="F995" t="s">
        <v>1417</v>
      </c>
      <c r="G995" s="7">
        <v>3</v>
      </c>
      <c r="H995" s="8">
        <v>59.85</v>
      </c>
      <c r="I995" s="9">
        <v>0</v>
      </c>
      <c r="J995" s="8">
        <v>179.55</v>
      </c>
      <c r="K995" s="8">
        <v>55.76</v>
      </c>
      <c r="L995" t="s">
        <v>48</v>
      </c>
    </row>
    <row r="996" spans="1:12" x14ac:dyDescent="0.25">
      <c r="A996" t="s">
        <v>1741</v>
      </c>
      <c r="B996" s="6">
        <v>45908</v>
      </c>
      <c r="C996" t="s">
        <v>299</v>
      </c>
      <c r="D996" t="s">
        <v>24</v>
      </c>
      <c r="E996" t="s">
        <v>1457</v>
      </c>
      <c r="F996" t="s">
        <v>1417</v>
      </c>
      <c r="G996" s="7">
        <v>5</v>
      </c>
      <c r="H996" s="8">
        <v>36.86</v>
      </c>
      <c r="I996" s="9">
        <v>0</v>
      </c>
      <c r="J996" s="8">
        <v>184.3</v>
      </c>
      <c r="K996" s="8">
        <v>57.59</v>
      </c>
      <c r="L996" t="s">
        <v>17</v>
      </c>
    </row>
    <row r="997" spans="1:12" x14ac:dyDescent="0.25">
      <c r="A997" t="s">
        <v>1742</v>
      </c>
      <c r="B997" s="6">
        <v>45308</v>
      </c>
      <c r="C997" t="s">
        <v>1743</v>
      </c>
      <c r="D997" t="s">
        <v>20</v>
      </c>
      <c r="E997" t="s">
        <v>1443</v>
      </c>
      <c r="F997" t="s">
        <v>1417</v>
      </c>
      <c r="G997" s="7">
        <v>4</v>
      </c>
      <c r="H997" s="8">
        <v>54.32</v>
      </c>
      <c r="I997" s="9">
        <v>15</v>
      </c>
      <c r="J997" s="8">
        <v>184.69</v>
      </c>
      <c r="K997" s="8">
        <v>60.97</v>
      </c>
      <c r="L997" t="s">
        <v>17</v>
      </c>
    </row>
    <row r="998" spans="1:12" x14ac:dyDescent="0.25">
      <c r="A998" t="s">
        <v>1744</v>
      </c>
      <c r="B998" s="6">
        <v>45987</v>
      </c>
      <c r="C998" t="s">
        <v>1520</v>
      </c>
      <c r="D998" t="s">
        <v>31</v>
      </c>
      <c r="E998" t="s">
        <v>1429</v>
      </c>
      <c r="F998" t="s">
        <v>1417</v>
      </c>
      <c r="G998" s="7">
        <v>4</v>
      </c>
      <c r="H998" s="8">
        <v>57</v>
      </c>
      <c r="I998" s="9">
        <v>0</v>
      </c>
      <c r="J998" s="8">
        <v>228</v>
      </c>
      <c r="K998" s="8">
        <v>63.25</v>
      </c>
      <c r="L998" t="s">
        <v>33</v>
      </c>
    </row>
    <row r="999" spans="1:12" x14ac:dyDescent="0.25">
      <c r="A999" t="s">
        <v>1745</v>
      </c>
      <c r="B999" s="6">
        <v>45716</v>
      </c>
      <c r="C999" t="s">
        <v>1101</v>
      </c>
      <c r="D999" t="s">
        <v>14</v>
      </c>
      <c r="E999" t="s">
        <v>1422</v>
      </c>
      <c r="F999" t="s">
        <v>1417</v>
      </c>
      <c r="G999" s="7">
        <v>4</v>
      </c>
      <c r="H999" s="8">
        <v>56.37</v>
      </c>
      <c r="I999" s="9">
        <v>10</v>
      </c>
      <c r="J999" s="8">
        <v>202.93</v>
      </c>
      <c r="K999" s="8">
        <v>65.03</v>
      </c>
      <c r="L999" t="s">
        <v>48</v>
      </c>
    </row>
    <row r="1000" spans="1:12" x14ac:dyDescent="0.25">
      <c r="A1000" t="s">
        <v>1746</v>
      </c>
      <c r="B1000" s="6">
        <v>45907</v>
      </c>
      <c r="C1000" t="s">
        <v>1747</v>
      </c>
      <c r="D1000" t="s">
        <v>20</v>
      </c>
      <c r="E1000" t="s">
        <v>1420</v>
      </c>
      <c r="F1000" t="s">
        <v>1417</v>
      </c>
      <c r="G1000" s="7">
        <v>5</v>
      </c>
      <c r="H1000" s="8">
        <v>58.49</v>
      </c>
      <c r="I1000" s="9">
        <v>5</v>
      </c>
      <c r="J1000" s="8">
        <v>277.83</v>
      </c>
      <c r="K1000" s="8">
        <v>69.03</v>
      </c>
      <c r="L1000" t="s">
        <v>33</v>
      </c>
    </row>
    <row r="1001" spans="1:12" x14ac:dyDescent="0.25">
      <c r="A1001" t="s">
        <v>1748</v>
      </c>
      <c r="B1001" s="6">
        <v>45954</v>
      </c>
      <c r="C1001" t="s">
        <v>321</v>
      </c>
      <c r="D1001" t="s">
        <v>20</v>
      </c>
      <c r="E1001" t="s">
        <v>1422</v>
      </c>
      <c r="F1001" t="s">
        <v>1417</v>
      </c>
      <c r="G1001" s="7">
        <v>4</v>
      </c>
      <c r="H1001" s="8">
        <v>56.3</v>
      </c>
      <c r="I1001" s="9">
        <v>10</v>
      </c>
      <c r="J1001" s="8">
        <v>202.68</v>
      </c>
      <c r="K1001" s="8">
        <v>70.650000000000006</v>
      </c>
      <c r="L100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490-060F-40C7-B536-1D02C536C654}">
  <dimension ref="A1:AA1001"/>
  <sheetViews>
    <sheetView showGridLines="0" topLeftCell="A965" workbookViewId="0">
      <selection activeCell="P7" sqref="P7"/>
    </sheetView>
  </sheetViews>
  <sheetFormatPr defaultRowHeight="15" x14ac:dyDescent="0.25"/>
  <cols>
    <col min="1" max="1" width="14.5703125" style="11" customWidth="1"/>
    <col min="2" max="2" width="13.7109375" style="6" customWidth="1"/>
    <col min="3" max="3" width="20.28515625" style="11" customWidth="1"/>
    <col min="4" max="4" width="13.5703125" style="11" customWidth="1"/>
    <col min="5" max="5" width="18.7109375" style="11" customWidth="1"/>
    <col min="6" max="6" width="15.42578125" style="11" customWidth="1"/>
    <col min="7" max="7" width="11.140625" style="7" customWidth="1"/>
    <col min="8" max="8" width="12.7109375" customWidth="1"/>
    <col min="9" max="9" width="12.85546875" style="13" customWidth="1"/>
    <col min="10" max="11" width="12.85546875" style="8" customWidth="1"/>
    <col min="12" max="12" width="11.42578125" style="8" customWidth="1"/>
    <col min="13" max="13" width="13.7109375" style="16" customWidth="1"/>
    <col min="14" max="14" width="13.85546875" customWidth="1"/>
  </cols>
  <sheetData>
    <row r="1" spans="1:27" x14ac:dyDescent="0.25">
      <c r="A1" s="10" t="s">
        <v>0</v>
      </c>
      <c r="B1" s="17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3" t="s">
        <v>6</v>
      </c>
      <c r="H1" s="4" t="s">
        <v>7</v>
      </c>
      <c r="I1" s="12" t="s">
        <v>1750</v>
      </c>
      <c r="J1" s="4" t="s">
        <v>1749</v>
      </c>
      <c r="K1" s="4" t="s">
        <v>1751</v>
      </c>
      <c r="L1" s="4" t="s">
        <v>10</v>
      </c>
      <c r="M1" s="25" t="s">
        <v>1769</v>
      </c>
      <c r="N1" s="1" t="s">
        <v>11</v>
      </c>
    </row>
    <row r="2" spans="1:27" x14ac:dyDescent="0.25">
      <c r="A2" s="11" t="s">
        <v>829</v>
      </c>
      <c r="B2" s="6">
        <v>45423</v>
      </c>
      <c r="C2" s="11" t="s">
        <v>478</v>
      </c>
      <c r="D2" s="11" t="s">
        <v>36</v>
      </c>
      <c r="E2" s="11" t="s">
        <v>546</v>
      </c>
      <c r="F2" s="11" t="s">
        <v>480</v>
      </c>
      <c r="G2" s="7">
        <v>4</v>
      </c>
      <c r="H2" s="8">
        <v>85.61</v>
      </c>
      <c r="I2" s="13">
        <v>0</v>
      </c>
      <c r="J2" s="8">
        <f>(Table23[[#This Row],[Quantity]]*Table23[[#This Row],[Unit Price]])-(Table23[[#This Row],[Unit Price]]*Table23[[#This Row],[Dscount]])*Table23[[#This Row],[Quantity]]</f>
        <v>342.44</v>
      </c>
      <c r="K2" s="8">
        <v>175.82</v>
      </c>
      <c r="L2" s="8">
        <f>Table23[[#This Row],[Revenue]]-Table23[[#This Row],[Total Cost]]</f>
        <v>166.62</v>
      </c>
      <c r="M2" s="16">
        <f>(Table23[[#This Row],[Profit]]/Table23[[#This Row],[Revenue]])</f>
        <v>0.4865669898376358</v>
      </c>
      <c r="N2" t="s">
        <v>33</v>
      </c>
    </row>
    <row r="3" spans="1:27" x14ac:dyDescent="0.25">
      <c r="A3" s="11" t="s">
        <v>827</v>
      </c>
      <c r="B3" s="6">
        <v>45698</v>
      </c>
      <c r="C3" s="11" t="s">
        <v>828</v>
      </c>
      <c r="D3" s="11" t="s">
        <v>36</v>
      </c>
      <c r="E3" s="11" t="s">
        <v>514</v>
      </c>
      <c r="F3" s="11" t="s">
        <v>480</v>
      </c>
      <c r="G3" s="7">
        <v>4</v>
      </c>
      <c r="H3" s="8">
        <v>85.61</v>
      </c>
      <c r="I3" s="13">
        <v>0.15</v>
      </c>
      <c r="J3" s="8">
        <f>(Table23[[#This Row],[Quantity]]*Table23[[#This Row],[Unit Price]])-(Table23[[#This Row],[Unit Price]]*Table23[[#This Row],[Dscount]])*Table23[[#This Row],[Quantity]]</f>
        <v>291.07400000000001</v>
      </c>
      <c r="K3" s="8">
        <v>131.23400000000001</v>
      </c>
      <c r="L3" s="8">
        <f>Table23[[#This Row],[Revenue]]-Table23[[#This Row],[Total Cost]]</f>
        <v>159.84</v>
      </c>
      <c r="M3" s="16">
        <f>(Table23[[#This Row],[Profit]]/Table23[[#This Row],[Revenue]])</f>
        <v>0.54913870699547196</v>
      </c>
      <c r="N3" t="s">
        <v>33</v>
      </c>
    </row>
    <row r="4" spans="1:27" x14ac:dyDescent="0.25">
      <c r="A4" s="11" t="s">
        <v>825</v>
      </c>
      <c r="B4" s="6">
        <v>45916</v>
      </c>
      <c r="C4" s="11" t="s">
        <v>826</v>
      </c>
      <c r="D4" s="11" t="s">
        <v>36</v>
      </c>
      <c r="E4" s="11" t="s">
        <v>486</v>
      </c>
      <c r="F4" s="11" t="s">
        <v>480</v>
      </c>
      <c r="G4" s="7">
        <v>5</v>
      </c>
      <c r="H4" s="8">
        <v>73.12</v>
      </c>
      <c r="I4" s="13">
        <v>0</v>
      </c>
      <c r="J4" s="8">
        <f>(Table23[[#This Row],[Quantity]]*Table23[[#This Row],[Unit Price]])-(Table23[[#This Row],[Unit Price]]*Table23[[#This Row],[Dscount]])*Table23[[#This Row],[Quantity]]</f>
        <v>365.6</v>
      </c>
      <c r="K4" s="8">
        <v>215.55</v>
      </c>
      <c r="L4" s="8">
        <f>Table23[[#This Row],[Revenue]]-Table23[[#This Row],[Total Cost]]</f>
        <v>150.05000000000001</v>
      </c>
      <c r="M4" s="16">
        <f>(Table23[[#This Row],[Profit]]/Table23[[#This Row],[Revenue]])</f>
        <v>0.41042122538293219</v>
      </c>
      <c r="N4" t="s">
        <v>33</v>
      </c>
    </row>
    <row r="5" spans="1:27" x14ac:dyDescent="0.25">
      <c r="A5" s="11" t="s">
        <v>824</v>
      </c>
      <c r="B5" s="6">
        <v>45606</v>
      </c>
      <c r="C5" s="11" t="s">
        <v>248</v>
      </c>
      <c r="D5" s="11" t="s">
        <v>14</v>
      </c>
      <c r="E5" s="11" t="s">
        <v>546</v>
      </c>
      <c r="F5" s="11" t="s">
        <v>480</v>
      </c>
      <c r="G5" s="7">
        <v>4</v>
      </c>
      <c r="H5" s="8">
        <v>85.36</v>
      </c>
      <c r="I5" s="13">
        <v>0.1</v>
      </c>
      <c r="J5" s="8">
        <f>(Table23[[#This Row],[Quantity]]*Table23[[#This Row],[Unit Price]])-(Table23[[#This Row],[Unit Price]]*Table23[[#This Row],[Dscount]])*Table23[[#This Row],[Quantity]]</f>
        <v>307.29599999999999</v>
      </c>
      <c r="K5" s="8">
        <v>167.446</v>
      </c>
      <c r="L5" s="8">
        <f>Table23[[#This Row],[Revenue]]-Table23[[#This Row],[Total Cost]]</f>
        <v>139.85</v>
      </c>
      <c r="M5" s="16">
        <f>(Table23[[#This Row],[Profit]]/Table23[[#This Row],[Revenue]])</f>
        <v>0.45509866708320318</v>
      </c>
      <c r="N5" t="s">
        <v>33</v>
      </c>
    </row>
    <row r="6" spans="1:27" x14ac:dyDescent="0.25">
      <c r="A6" s="11" t="s">
        <v>822</v>
      </c>
      <c r="B6" s="6">
        <v>45466</v>
      </c>
      <c r="C6" s="11" t="s">
        <v>823</v>
      </c>
      <c r="D6" s="11" t="s">
        <v>31</v>
      </c>
      <c r="E6" s="11" t="s">
        <v>514</v>
      </c>
      <c r="F6" s="11" t="s">
        <v>480</v>
      </c>
      <c r="G6" s="7">
        <v>4</v>
      </c>
      <c r="H6" s="8">
        <v>85.7</v>
      </c>
      <c r="I6" s="13">
        <v>0.05</v>
      </c>
      <c r="J6" s="8">
        <f>(Table23[[#This Row],[Quantity]]*Table23[[#This Row],[Unit Price]])-(Table23[[#This Row],[Unit Price]]*Table23[[#This Row],[Dscount]])*Table23[[#This Row],[Quantity]]</f>
        <v>325.66000000000003</v>
      </c>
      <c r="K6" s="8">
        <v>187.04000000000002</v>
      </c>
      <c r="L6" s="8">
        <f>Table23[[#This Row],[Revenue]]-Table23[[#This Row],[Total Cost]]</f>
        <v>138.62</v>
      </c>
      <c r="M6" s="16">
        <f>(Table23[[#This Row],[Profit]]/Table23[[#This Row],[Revenue]])</f>
        <v>0.42565866240864703</v>
      </c>
      <c r="N6" t="s">
        <v>33</v>
      </c>
      <c r="AA6" s="15"/>
    </row>
    <row r="7" spans="1:27" x14ac:dyDescent="0.25">
      <c r="A7" s="11" t="s">
        <v>821</v>
      </c>
      <c r="B7" s="6">
        <v>45617</v>
      </c>
      <c r="C7" s="11" t="s">
        <v>796</v>
      </c>
      <c r="D7" s="11" t="s">
        <v>14</v>
      </c>
      <c r="E7" s="11" t="s">
        <v>479</v>
      </c>
      <c r="F7" s="11" t="s">
        <v>480</v>
      </c>
      <c r="G7" s="7">
        <v>4</v>
      </c>
      <c r="H7" s="8">
        <v>84.26</v>
      </c>
      <c r="I7" s="13">
        <v>0.1</v>
      </c>
      <c r="J7" s="8">
        <f>(Table23[[#This Row],[Quantity]]*Table23[[#This Row],[Unit Price]])-(Table23[[#This Row],[Unit Price]]*Table23[[#This Row],[Dscount]])*Table23[[#This Row],[Quantity]]</f>
        <v>303.33600000000001</v>
      </c>
      <c r="K7" s="8">
        <v>173.48600000000002</v>
      </c>
      <c r="L7" s="8">
        <f>Table23[[#This Row],[Revenue]]-Table23[[#This Row],[Total Cost]]</f>
        <v>129.85</v>
      </c>
      <c r="M7" s="16">
        <f>(Table23[[#This Row],[Profit]]/Table23[[#This Row],[Revenue]])</f>
        <v>0.42807315979639737</v>
      </c>
      <c r="N7" t="s">
        <v>17</v>
      </c>
    </row>
    <row r="8" spans="1:27" x14ac:dyDescent="0.25">
      <c r="A8" s="11" t="s">
        <v>1413</v>
      </c>
      <c r="B8" s="6">
        <v>45628</v>
      </c>
      <c r="C8" s="11" t="s">
        <v>1414</v>
      </c>
      <c r="D8" s="11" t="s">
        <v>14</v>
      </c>
      <c r="E8" s="11" t="s">
        <v>1117</v>
      </c>
      <c r="F8" s="11" t="s">
        <v>1112</v>
      </c>
      <c r="G8" s="7">
        <v>5</v>
      </c>
      <c r="H8" s="8">
        <v>71.5</v>
      </c>
      <c r="I8" s="13">
        <v>0</v>
      </c>
      <c r="J8" s="8">
        <f>(Table23[[#This Row],[Quantity]]*Table23[[#This Row],[Unit Price]])-(Table23[[#This Row],[Unit Price]]*Table23[[#This Row],[Dscount]])*Table23[[#This Row],[Quantity]]</f>
        <v>357.5</v>
      </c>
      <c r="K8" s="8">
        <v>238.66</v>
      </c>
      <c r="L8" s="8">
        <f>Table23[[#This Row],[Revenue]]-Table23[[#This Row],[Total Cost]]</f>
        <v>118.84</v>
      </c>
      <c r="M8" s="16">
        <f>(Table23[[#This Row],[Profit]]/Table23[[#This Row],[Revenue]])</f>
        <v>0.33241958041958042</v>
      </c>
      <c r="N8" t="s">
        <v>33</v>
      </c>
    </row>
    <row r="9" spans="1:27" x14ac:dyDescent="0.25">
      <c r="A9" s="11" t="s">
        <v>1108</v>
      </c>
      <c r="B9" s="6">
        <v>45510</v>
      </c>
      <c r="C9" s="11" t="s">
        <v>1109</v>
      </c>
      <c r="D9" s="11" t="s">
        <v>24</v>
      </c>
      <c r="E9" s="11" t="s">
        <v>846</v>
      </c>
      <c r="F9" s="11" t="s">
        <v>833</v>
      </c>
      <c r="G9" s="7">
        <v>4</v>
      </c>
      <c r="H9" s="8">
        <v>135.02000000000001</v>
      </c>
      <c r="I9" s="13">
        <v>0.05</v>
      </c>
      <c r="J9" s="8">
        <f>(Table23[[#This Row],[Quantity]]*Table23[[#This Row],[Unit Price]])-(Table23[[#This Row],[Unit Price]]*Table23[[#This Row],[Dscount]])*Table23[[#This Row],[Quantity]]</f>
        <v>513.07600000000002</v>
      </c>
      <c r="K9" s="8">
        <v>395.33600000000001</v>
      </c>
      <c r="L9" s="8">
        <f>Table23[[#This Row],[Revenue]]-Table23[[#This Row],[Total Cost]]</f>
        <v>117.74000000000001</v>
      </c>
      <c r="M9" s="16">
        <f>(Table23[[#This Row],[Profit]]/Table23[[#This Row],[Revenue]])</f>
        <v>0.22947867372475034</v>
      </c>
      <c r="N9" t="s">
        <v>48</v>
      </c>
    </row>
    <row r="10" spans="1:27" x14ac:dyDescent="0.25">
      <c r="A10" s="11" t="s">
        <v>819</v>
      </c>
      <c r="B10" s="6">
        <v>45887</v>
      </c>
      <c r="C10" s="11" t="s">
        <v>820</v>
      </c>
      <c r="D10" s="11" t="s">
        <v>20</v>
      </c>
      <c r="E10" s="11" t="s">
        <v>483</v>
      </c>
      <c r="F10" s="11" t="s">
        <v>480</v>
      </c>
      <c r="G10" s="7">
        <v>3</v>
      </c>
      <c r="H10" s="8">
        <v>87.91</v>
      </c>
      <c r="I10" s="13">
        <v>0</v>
      </c>
      <c r="J10" s="8">
        <f>(Table23[[#This Row],[Quantity]]*Table23[[#This Row],[Unit Price]])-(Table23[[#This Row],[Unit Price]]*Table23[[#This Row],[Dscount]])*Table23[[#This Row],[Quantity]]</f>
        <v>263.73</v>
      </c>
      <c r="K10" s="8">
        <v>146.66000000000003</v>
      </c>
      <c r="L10" s="8">
        <f>Table23[[#This Row],[Revenue]]-Table23[[#This Row],[Total Cost]]</f>
        <v>117.07</v>
      </c>
      <c r="M10" s="16">
        <f>(Table23[[#This Row],[Profit]]/Table23[[#This Row],[Revenue]])</f>
        <v>0.44390095931445034</v>
      </c>
      <c r="N10" t="s">
        <v>33</v>
      </c>
    </row>
    <row r="11" spans="1:27" x14ac:dyDescent="0.25">
      <c r="A11" s="11" t="s">
        <v>817</v>
      </c>
      <c r="B11" s="6">
        <v>45824</v>
      </c>
      <c r="C11" s="11" t="s">
        <v>818</v>
      </c>
      <c r="D11" s="11" t="s">
        <v>36</v>
      </c>
      <c r="E11" s="11" t="s">
        <v>500</v>
      </c>
      <c r="F11" s="11" t="s">
        <v>480</v>
      </c>
      <c r="G11" s="7">
        <v>5</v>
      </c>
      <c r="H11" s="8">
        <v>47.36</v>
      </c>
      <c r="I11" s="13">
        <v>0.1</v>
      </c>
      <c r="J11" s="8">
        <f>(Table23[[#This Row],[Quantity]]*Table23[[#This Row],[Unit Price]])-(Table23[[#This Row],[Unit Price]]*Table23[[#This Row],[Dscount]])*Table23[[#This Row],[Quantity]]</f>
        <v>213.12</v>
      </c>
      <c r="K11" s="8">
        <v>96.76</v>
      </c>
      <c r="L11" s="8">
        <f>Table23[[#This Row],[Revenue]]-Table23[[#This Row],[Total Cost]]</f>
        <v>116.36</v>
      </c>
      <c r="M11" s="16">
        <f>(Table23[[#This Row],[Profit]]/Table23[[#This Row],[Revenue]])</f>
        <v>0.54598348348348347</v>
      </c>
      <c r="N11" t="s">
        <v>33</v>
      </c>
    </row>
    <row r="12" spans="1:27" x14ac:dyDescent="0.25">
      <c r="A12" s="11" t="s">
        <v>1107</v>
      </c>
      <c r="B12" s="6">
        <v>45956</v>
      </c>
      <c r="C12" s="11" t="s">
        <v>587</v>
      </c>
      <c r="D12" s="11" t="s">
        <v>14</v>
      </c>
      <c r="E12" s="11" t="s">
        <v>860</v>
      </c>
      <c r="F12" s="11" t="s">
        <v>833</v>
      </c>
      <c r="G12" s="7">
        <v>4</v>
      </c>
      <c r="H12" s="8">
        <v>136.4</v>
      </c>
      <c r="I12" s="13">
        <v>0</v>
      </c>
      <c r="J12" s="8">
        <f>(Table23[[#This Row],[Quantity]]*Table23[[#This Row],[Unit Price]])-(Table23[[#This Row],[Unit Price]]*Table23[[#This Row],[Dscount]])*Table23[[#This Row],[Quantity]]</f>
        <v>545.6</v>
      </c>
      <c r="K12" s="8">
        <v>430.15000000000003</v>
      </c>
      <c r="L12" s="8">
        <f>Table23[[#This Row],[Revenue]]-Table23[[#This Row],[Total Cost]]</f>
        <v>115.44999999999999</v>
      </c>
      <c r="M12" s="16">
        <f>(Table23[[#This Row],[Profit]]/Table23[[#This Row],[Revenue]])</f>
        <v>0.21160190615835775</v>
      </c>
      <c r="N12" t="s">
        <v>17</v>
      </c>
    </row>
    <row r="13" spans="1:27" x14ac:dyDescent="0.25">
      <c r="A13" s="11" t="s">
        <v>1105</v>
      </c>
      <c r="B13" s="6">
        <v>45459</v>
      </c>
      <c r="C13" s="11" t="s">
        <v>1106</v>
      </c>
      <c r="D13" s="11" t="s">
        <v>36</v>
      </c>
      <c r="E13" s="11" t="s">
        <v>858</v>
      </c>
      <c r="F13" s="11" t="s">
        <v>833</v>
      </c>
      <c r="G13" s="7">
        <v>4</v>
      </c>
      <c r="H13" s="8">
        <v>135.07</v>
      </c>
      <c r="I13" s="13">
        <v>0.05</v>
      </c>
      <c r="J13" s="8">
        <f>(Table23[[#This Row],[Quantity]]*Table23[[#This Row],[Unit Price]])-(Table23[[#This Row],[Unit Price]]*Table23[[#This Row],[Dscount]])*Table23[[#This Row],[Quantity]]</f>
        <v>513.26599999999996</v>
      </c>
      <c r="K13" s="8">
        <v>404.34599999999995</v>
      </c>
      <c r="L13" s="8">
        <f>Table23[[#This Row],[Revenue]]-Table23[[#This Row],[Total Cost]]</f>
        <v>108.92000000000002</v>
      </c>
      <c r="M13" s="16">
        <f>(Table23[[#This Row],[Profit]]/Table23[[#This Row],[Revenue]])</f>
        <v>0.21220965347402715</v>
      </c>
      <c r="N13" t="s">
        <v>17</v>
      </c>
    </row>
    <row r="14" spans="1:27" x14ac:dyDescent="0.25">
      <c r="A14" s="11" t="s">
        <v>1411</v>
      </c>
      <c r="B14" s="6">
        <v>45344</v>
      </c>
      <c r="C14" s="11" t="s">
        <v>1412</v>
      </c>
      <c r="D14" s="11" t="s">
        <v>36</v>
      </c>
      <c r="E14" s="11" t="s">
        <v>1114</v>
      </c>
      <c r="F14" s="11" t="s">
        <v>1112</v>
      </c>
      <c r="G14" s="7">
        <v>5</v>
      </c>
      <c r="H14" s="8">
        <v>56.28</v>
      </c>
      <c r="I14" s="13">
        <v>0</v>
      </c>
      <c r="J14" s="8">
        <f>(Table23[[#This Row],[Quantity]]*Table23[[#This Row],[Unit Price]])-(Table23[[#This Row],[Unit Price]]*Table23[[#This Row],[Dscount]])*Table23[[#This Row],[Quantity]]</f>
        <v>281.39999999999998</v>
      </c>
      <c r="K14" s="8">
        <v>178.91999999999996</v>
      </c>
      <c r="L14" s="8">
        <f>Table23[[#This Row],[Revenue]]-Table23[[#This Row],[Total Cost]]</f>
        <v>102.48000000000002</v>
      </c>
      <c r="M14" s="16">
        <f>(Table23[[#This Row],[Profit]]/Table23[[#This Row],[Revenue]])</f>
        <v>0.36417910447761204</v>
      </c>
      <c r="N14" t="s">
        <v>17</v>
      </c>
    </row>
    <row r="15" spans="1:27" x14ac:dyDescent="0.25">
      <c r="A15" s="11" t="s">
        <v>815</v>
      </c>
      <c r="B15" s="6">
        <v>45679</v>
      </c>
      <c r="C15" s="11" t="s">
        <v>816</v>
      </c>
      <c r="D15" s="11" t="s">
        <v>14</v>
      </c>
      <c r="E15" s="11" t="s">
        <v>514</v>
      </c>
      <c r="F15" s="11" t="s">
        <v>480</v>
      </c>
      <c r="G15" s="7">
        <v>3</v>
      </c>
      <c r="H15" s="8">
        <v>76.22</v>
      </c>
      <c r="I15" s="13">
        <v>0.1</v>
      </c>
      <c r="J15" s="8">
        <f>(Table23[[#This Row],[Quantity]]*Table23[[#This Row],[Unit Price]])-(Table23[[#This Row],[Unit Price]]*Table23[[#This Row],[Dscount]])*Table23[[#This Row],[Quantity]]</f>
        <v>205.79399999999998</v>
      </c>
      <c r="K15" s="8">
        <v>105.50399999999998</v>
      </c>
      <c r="L15" s="8">
        <f>Table23[[#This Row],[Revenue]]-Table23[[#This Row],[Total Cost]]</f>
        <v>100.29</v>
      </c>
      <c r="M15" s="16">
        <f>(Table23[[#This Row],[Profit]]/Table23[[#This Row],[Revenue]])</f>
        <v>0.4873319921863612</v>
      </c>
      <c r="N15" t="s">
        <v>17</v>
      </c>
    </row>
    <row r="16" spans="1:27" x14ac:dyDescent="0.25">
      <c r="A16" s="11" t="s">
        <v>814</v>
      </c>
      <c r="B16" s="6">
        <v>45838</v>
      </c>
      <c r="C16" s="11" t="s">
        <v>178</v>
      </c>
      <c r="D16" s="11" t="s">
        <v>24</v>
      </c>
      <c r="E16" s="11" t="s">
        <v>500</v>
      </c>
      <c r="F16" s="11" t="s">
        <v>480</v>
      </c>
      <c r="G16" s="7">
        <v>3</v>
      </c>
      <c r="H16" s="8">
        <v>89.82</v>
      </c>
      <c r="I16" s="13">
        <v>0.1</v>
      </c>
      <c r="J16" s="8">
        <f>(Table23[[#This Row],[Quantity]]*Table23[[#This Row],[Unit Price]])-(Table23[[#This Row],[Unit Price]]*Table23[[#This Row],[Dscount]])*Table23[[#This Row],[Quantity]]</f>
        <v>242.51399999999998</v>
      </c>
      <c r="K16" s="8">
        <v>142.78399999999999</v>
      </c>
      <c r="L16" s="8">
        <f>Table23[[#This Row],[Revenue]]-Table23[[#This Row],[Total Cost]]</f>
        <v>99.72999999999999</v>
      </c>
      <c r="M16" s="16">
        <f>(Table23[[#This Row],[Profit]]/Table23[[#This Row],[Revenue]])</f>
        <v>0.41123399061497479</v>
      </c>
      <c r="N16" t="s">
        <v>33</v>
      </c>
    </row>
    <row r="17" spans="1:14" x14ac:dyDescent="0.25">
      <c r="A17" s="11" t="s">
        <v>812</v>
      </c>
      <c r="B17" s="6">
        <v>45948</v>
      </c>
      <c r="C17" s="11" t="s">
        <v>813</v>
      </c>
      <c r="D17" s="11" t="s">
        <v>36</v>
      </c>
      <c r="E17" s="11" t="s">
        <v>500</v>
      </c>
      <c r="F17" s="11" t="s">
        <v>480</v>
      </c>
      <c r="G17" s="7">
        <v>3</v>
      </c>
      <c r="H17" s="8">
        <v>80.78</v>
      </c>
      <c r="I17" s="13">
        <v>0</v>
      </c>
      <c r="J17" s="8">
        <f>(Table23[[#This Row],[Quantity]]*Table23[[#This Row],[Unit Price]])-(Table23[[#This Row],[Unit Price]]*Table23[[#This Row],[Dscount]])*Table23[[#This Row],[Quantity]]</f>
        <v>242.34</v>
      </c>
      <c r="K17" s="8">
        <v>143.76</v>
      </c>
      <c r="L17" s="8">
        <f>Table23[[#This Row],[Revenue]]-Table23[[#This Row],[Total Cost]]</f>
        <v>98.580000000000013</v>
      </c>
      <c r="M17" s="16">
        <f>(Table23[[#This Row],[Profit]]/Table23[[#This Row],[Revenue]])</f>
        <v>0.4067838573904432</v>
      </c>
      <c r="N17" t="s">
        <v>33</v>
      </c>
    </row>
    <row r="18" spans="1:14" x14ac:dyDescent="0.25">
      <c r="A18" s="11" t="s">
        <v>1104</v>
      </c>
      <c r="B18" s="6">
        <v>46008</v>
      </c>
      <c r="C18" s="11" t="s">
        <v>323</v>
      </c>
      <c r="D18" s="11" t="s">
        <v>36</v>
      </c>
      <c r="E18" s="11" t="s">
        <v>856</v>
      </c>
      <c r="F18" s="11" t="s">
        <v>833</v>
      </c>
      <c r="G18" s="7">
        <v>3</v>
      </c>
      <c r="H18" s="8">
        <v>149.78</v>
      </c>
      <c r="I18" s="13">
        <v>0</v>
      </c>
      <c r="J18" s="8">
        <f>(Table23[[#This Row],[Quantity]]*Table23[[#This Row],[Unit Price]])-(Table23[[#This Row],[Unit Price]]*Table23[[#This Row],[Dscount]])*Table23[[#This Row],[Quantity]]</f>
        <v>449.34000000000003</v>
      </c>
      <c r="K18" s="8">
        <v>353.65000000000003</v>
      </c>
      <c r="L18" s="8">
        <f>Table23[[#This Row],[Revenue]]-Table23[[#This Row],[Total Cost]]</f>
        <v>95.69</v>
      </c>
      <c r="M18" s="16">
        <f>(Table23[[#This Row],[Profit]]/Table23[[#This Row],[Revenue]])</f>
        <v>0.21295678105666085</v>
      </c>
      <c r="N18" t="s">
        <v>33</v>
      </c>
    </row>
    <row r="19" spans="1:14" x14ac:dyDescent="0.25">
      <c r="A19" s="11" t="s">
        <v>1102</v>
      </c>
      <c r="B19" s="6">
        <v>45658</v>
      </c>
      <c r="C19" s="11" t="s">
        <v>1103</v>
      </c>
      <c r="D19" s="11" t="s">
        <v>14</v>
      </c>
      <c r="E19" s="11" t="s">
        <v>858</v>
      </c>
      <c r="F19" s="11" t="s">
        <v>833</v>
      </c>
      <c r="G19" s="7">
        <v>4</v>
      </c>
      <c r="H19" s="8">
        <v>109.81</v>
      </c>
      <c r="I19" s="13">
        <v>0</v>
      </c>
      <c r="J19" s="8">
        <f>(Table23[[#This Row],[Quantity]]*Table23[[#This Row],[Unit Price]])-(Table23[[#This Row],[Unit Price]]*Table23[[#This Row],[Dscount]])*Table23[[#This Row],[Quantity]]</f>
        <v>439.24</v>
      </c>
      <c r="K19" s="8">
        <v>344.28000000000003</v>
      </c>
      <c r="L19" s="8">
        <f>Table23[[#This Row],[Revenue]]-Table23[[#This Row],[Total Cost]]</f>
        <v>94.95999999999998</v>
      </c>
      <c r="M19" s="16">
        <f>(Table23[[#This Row],[Profit]]/Table23[[#This Row],[Revenue]])</f>
        <v>0.216191603679082</v>
      </c>
      <c r="N19" t="s">
        <v>33</v>
      </c>
    </row>
    <row r="20" spans="1:14" x14ac:dyDescent="0.25">
      <c r="A20" s="11" t="s">
        <v>811</v>
      </c>
      <c r="B20" s="6">
        <v>45802</v>
      </c>
      <c r="C20" s="11" t="s">
        <v>709</v>
      </c>
      <c r="D20" s="11" t="s">
        <v>20</v>
      </c>
      <c r="E20" s="11" t="s">
        <v>496</v>
      </c>
      <c r="F20" s="11" t="s">
        <v>480</v>
      </c>
      <c r="G20" s="7">
        <v>4</v>
      </c>
      <c r="H20" s="8">
        <v>72.11</v>
      </c>
      <c r="I20" s="13">
        <v>0.15</v>
      </c>
      <c r="J20" s="8">
        <f>(Table23[[#This Row],[Quantity]]*Table23[[#This Row],[Unit Price]])-(Table23[[#This Row],[Unit Price]]*Table23[[#This Row],[Dscount]])*Table23[[#This Row],[Quantity]]</f>
        <v>245.17400000000001</v>
      </c>
      <c r="K20" s="8">
        <v>150.85400000000001</v>
      </c>
      <c r="L20" s="8">
        <f>Table23[[#This Row],[Revenue]]-Table23[[#This Row],[Total Cost]]</f>
        <v>94.32</v>
      </c>
      <c r="M20" s="16">
        <f>(Table23[[#This Row],[Profit]]/Table23[[#This Row],[Revenue]])</f>
        <v>0.38470637180125133</v>
      </c>
      <c r="N20" t="s">
        <v>17</v>
      </c>
    </row>
    <row r="21" spans="1:14" x14ac:dyDescent="0.25">
      <c r="A21" s="11" t="s">
        <v>1100</v>
      </c>
      <c r="B21" s="6">
        <v>45925</v>
      </c>
      <c r="C21" s="11" t="s">
        <v>1101</v>
      </c>
      <c r="D21" s="11" t="s">
        <v>31</v>
      </c>
      <c r="E21" s="11" t="s">
        <v>848</v>
      </c>
      <c r="F21" s="11" t="s">
        <v>833</v>
      </c>
      <c r="G21" s="7">
        <v>3</v>
      </c>
      <c r="H21" s="8">
        <v>147.49</v>
      </c>
      <c r="I21" s="13">
        <v>0.15</v>
      </c>
      <c r="J21" s="8">
        <f>(Table23[[#This Row],[Quantity]]*Table23[[#This Row],[Unit Price]])-(Table23[[#This Row],[Unit Price]]*Table23[[#This Row],[Dscount]])*Table23[[#This Row],[Quantity]]</f>
        <v>376.09950000000003</v>
      </c>
      <c r="K21" s="8">
        <v>282.2595</v>
      </c>
      <c r="L21" s="8">
        <f>Table23[[#This Row],[Revenue]]-Table23[[#This Row],[Total Cost]]</f>
        <v>93.840000000000032</v>
      </c>
      <c r="M21" s="16">
        <f>(Table23[[#This Row],[Profit]]/Table23[[#This Row],[Revenue]])</f>
        <v>0.24950844125025431</v>
      </c>
      <c r="N21" t="s">
        <v>17</v>
      </c>
    </row>
    <row r="22" spans="1:14" x14ac:dyDescent="0.25">
      <c r="A22" s="11" t="s">
        <v>809</v>
      </c>
      <c r="B22" s="6">
        <v>45775</v>
      </c>
      <c r="C22" s="11" t="s">
        <v>810</v>
      </c>
      <c r="D22" s="11" t="s">
        <v>36</v>
      </c>
      <c r="E22" s="11" t="s">
        <v>496</v>
      </c>
      <c r="F22" s="11" t="s">
        <v>480</v>
      </c>
      <c r="G22" s="7">
        <v>3</v>
      </c>
      <c r="H22" s="8">
        <v>62.83</v>
      </c>
      <c r="I22" s="13">
        <v>0.05</v>
      </c>
      <c r="J22" s="8">
        <f>(Table23[[#This Row],[Quantity]]*Table23[[#This Row],[Unit Price]])-(Table23[[#This Row],[Unit Price]]*Table23[[#This Row],[Dscount]])*Table23[[#This Row],[Quantity]]</f>
        <v>179.06550000000001</v>
      </c>
      <c r="K22" s="8">
        <v>85.675500000000014</v>
      </c>
      <c r="L22" s="8">
        <f>Table23[[#This Row],[Revenue]]-Table23[[#This Row],[Total Cost]]</f>
        <v>93.39</v>
      </c>
      <c r="M22" s="16">
        <f>(Table23[[#This Row],[Profit]]/Table23[[#This Row],[Revenue]])</f>
        <v>0.52154100036020334</v>
      </c>
      <c r="N22" t="s">
        <v>33</v>
      </c>
    </row>
    <row r="23" spans="1:14" x14ac:dyDescent="0.25">
      <c r="A23" s="11" t="s">
        <v>475</v>
      </c>
      <c r="B23" s="6">
        <v>45969</v>
      </c>
      <c r="C23" s="11" t="s">
        <v>476</v>
      </c>
      <c r="D23" s="11" t="s">
        <v>14</v>
      </c>
      <c r="E23" s="11" t="s">
        <v>28</v>
      </c>
      <c r="F23" s="11" t="s">
        <v>16</v>
      </c>
      <c r="G23" s="7">
        <v>5</v>
      </c>
      <c r="H23" s="8">
        <v>34.380000000000003</v>
      </c>
      <c r="I23" s="13">
        <v>0</v>
      </c>
      <c r="J23" s="8">
        <f>(Table23[[#This Row],[Quantity]]*Table23[[#This Row],[Unit Price]])-(Table23[[#This Row],[Unit Price]]*Table23[[#This Row],[Dscount]])*Table23[[#This Row],[Quantity]]</f>
        <v>171.9</v>
      </c>
      <c r="K23" s="8">
        <v>79.550000000000011</v>
      </c>
      <c r="L23" s="8">
        <f>Table23[[#This Row],[Revenue]]-Table23[[#This Row],[Total Cost]]</f>
        <v>92.35</v>
      </c>
      <c r="M23" s="16">
        <f>(Table23[[#This Row],[Profit]]/Table23[[#This Row],[Revenue]])</f>
        <v>0.5372309482257126</v>
      </c>
      <c r="N23" t="s">
        <v>33</v>
      </c>
    </row>
    <row r="24" spans="1:14" x14ac:dyDescent="0.25">
      <c r="A24" s="11" t="s">
        <v>1098</v>
      </c>
      <c r="B24" s="6">
        <v>45602</v>
      </c>
      <c r="C24" s="11" t="s">
        <v>1099</v>
      </c>
      <c r="D24" s="11" t="s">
        <v>20</v>
      </c>
      <c r="E24" s="11" t="s">
        <v>840</v>
      </c>
      <c r="F24" s="11" t="s">
        <v>833</v>
      </c>
      <c r="G24" s="7">
        <v>5</v>
      </c>
      <c r="H24" s="8">
        <v>123.95</v>
      </c>
      <c r="I24" s="13">
        <v>0</v>
      </c>
      <c r="J24" s="8">
        <f>(Table23[[#This Row],[Quantity]]*Table23[[#This Row],[Unit Price]])-(Table23[[#This Row],[Unit Price]]*Table23[[#This Row],[Dscount]])*Table23[[#This Row],[Quantity]]</f>
        <v>619.75</v>
      </c>
      <c r="K24" s="8">
        <v>529.44000000000005</v>
      </c>
      <c r="L24" s="8">
        <f>Table23[[#This Row],[Revenue]]-Table23[[#This Row],[Total Cost]]</f>
        <v>90.309999999999945</v>
      </c>
      <c r="M24" s="16">
        <f>(Table23[[#This Row],[Profit]]/Table23[[#This Row],[Revenue]])</f>
        <v>0.14572004840661548</v>
      </c>
      <c r="N24" t="s">
        <v>33</v>
      </c>
    </row>
    <row r="25" spans="1:14" x14ac:dyDescent="0.25">
      <c r="A25" s="11" t="s">
        <v>807</v>
      </c>
      <c r="B25" s="6">
        <v>45388</v>
      </c>
      <c r="C25" s="11" t="s">
        <v>808</v>
      </c>
      <c r="D25" s="11" t="s">
        <v>24</v>
      </c>
      <c r="E25" s="11" t="s">
        <v>486</v>
      </c>
      <c r="F25" s="11" t="s">
        <v>480</v>
      </c>
      <c r="G25" s="7">
        <v>5</v>
      </c>
      <c r="H25" s="8">
        <v>52.55</v>
      </c>
      <c r="I25" s="13">
        <v>0</v>
      </c>
      <c r="J25" s="8">
        <f>(Table23[[#This Row],[Quantity]]*Table23[[#This Row],[Unit Price]])-(Table23[[#This Row],[Unit Price]]*Table23[[#This Row],[Dscount]])*Table23[[#This Row],[Quantity]]</f>
        <v>262.75</v>
      </c>
      <c r="K25" s="8">
        <v>172.53</v>
      </c>
      <c r="L25" s="8">
        <f>Table23[[#This Row],[Revenue]]-Table23[[#This Row],[Total Cost]]</f>
        <v>90.22</v>
      </c>
      <c r="M25" s="16">
        <f>(Table23[[#This Row],[Profit]]/Table23[[#This Row],[Revenue]])</f>
        <v>0.34336822074215034</v>
      </c>
      <c r="N25" t="s">
        <v>17</v>
      </c>
    </row>
    <row r="26" spans="1:14" x14ac:dyDescent="0.25">
      <c r="A26" s="11" t="s">
        <v>1410</v>
      </c>
      <c r="B26" s="6">
        <v>45367</v>
      </c>
      <c r="C26" s="11" t="s">
        <v>220</v>
      </c>
      <c r="D26" s="11" t="s">
        <v>14</v>
      </c>
      <c r="E26" s="11" t="s">
        <v>1134</v>
      </c>
      <c r="F26" s="11" t="s">
        <v>1112</v>
      </c>
      <c r="G26" s="7">
        <v>3</v>
      </c>
      <c r="H26" s="8">
        <v>74.02</v>
      </c>
      <c r="I26" s="13">
        <v>0</v>
      </c>
      <c r="J26" s="8">
        <f>(Table23[[#This Row],[Quantity]]*Table23[[#This Row],[Unit Price]])-(Table23[[#This Row],[Unit Price]]*Table23[[#This Row],[Dscount]])*Table23[[#This Row],[Quantity]]</f>
        <v>222.06</v>
      </c>
      <c r="K26" s="8">
        <v>134.04000000000002</v>
      </c>
      <c r="L26" s="8">
        <f>Table23[[#This Row],[Revenue]]-Table23[[#This Row],[Total Cost]]</f>
        <v>88.019999999999982</v>
      </c>
      <c r="M26" s="16">
        <f>(Table23[[#This Row],[Profit]]/Table23[[#This Row],[Revenue]])</f>
        <v>0.3963793569305592</v>
      </c>
      <c r="N26" t="s">
        <v>17</v>
      </c>
    </row>
    <row r="27" spans="1:14" x14ac:dyDescent="0.25">
      <c r="A27" s="11" t="s">
        <v>806</v>
      </c>
      <c r="B27" s="6">
        <v>45503</v>
      </c>
      <c r="C27" s="11" t="s">
        <v>637</v>
      </c>
      <c r="D27" s="11" t="s">
        <v>36</v>
      </c>
      <c r="E27" s="11" t="s">
        <v>479</v>
      </c>
      <c r="F27" s="11" t="s">
        <v>480</v>
      </c>
      <c r="G27" s="7">
        <v>2</v>
      </c>
      <c r="H27" s="8">
        <v>83.66</v>
      </c>
      <c r="I27" s="13">
        <v>0</v>
      </c>
      <c r="J27" s="8">
        <f>(Table23[[#This Row],[Quantity]]*Table23[[#This Row],[Unit Price]])-(Table23[[#This Row],[Unit Price]]*Table23[[#This Row],[Dscount]])*Table23[[#This Row],[Quantity]]</f>
        <v>167.32</v>
      </c>
      <c r="K27" s="8">
        <v>79.709999999999994</v>
      </c>
      <c r="L27" s="8">
        <f>Table23[[#This Row],[Revenue]]-Table23[[#This Row],[Total Cost]]</f>
        <v>87.61</v>
      </c>
      <c r="M27" s="16">
        <f>(Table23[[#This Row],[Profit]]/Table23[[#This Row],[Revenue]])</f>
        <v>0.52360745876165438</v>
      </c>
      <c r="N27" t="s">
        <v>17</v>
      </c>
    </row>
    <row r="28" spans="1:14" x14ac:dyDescent="0.25">
      <c r="A28" s="11" t="s">
        <v>1408</v>
      </c>
      <c r="B28" s="6">
        <v>45964</v>
      </c>
      <c r="C28" s="11" t="s">
        <v>1409</v>
      </c>
      <c r="D28" s="11" t="s">
        <v>20</v>
      </c>
      <c r="E28" s="11" t="s">
        <v>1184</v>
      </c>
      <c r="F28" s="11" t="s">
        <v>1112</v>
      </c>
      <c r="G28" s="7">
        <v>4</v>
      </c>
      <c r="H28" s="8">
        <v>73.63</v>
      </c>
      <c r="I28" s="13">
        <v>0.2</v>
      </c>
      <c r="J28" s="8">
        <f>(Table23[[#This Row],[Quantity]]*Table23[[#This Row],[Unit Price]])-(Table23[[#This Row],[Unit Price]]*Table23[[#This Row],[Dscount]])*Table23[[#This Row],[Quantity]]</f>
        <v>235.61599999999999</v>
      </c>
      <c r="K28" s="8">
        <v>148.13599999999997</v>
      </c>
      <c r="L28" s="8">
        <f>Table23[[#This Row],[Revenue]]-Table23[[#This Row],[Total Cost]]</f>
        <v>87.480000000000018</v>
      </c>
      <c r="M28" s="16">
        <f>(Table23[[#This Row],[Profit]]/Table23[[#This Row],[Revenue]])</f>
        <v>0.37128208610620683</v>
      </c>
      <c r="N28" t="s">
        <v>33</v>
      </c>
    </row>
    <row r="29" spans="1:14" x14ac:dyDescent="0.25">
      <c r="A29" s="11" t="s">
        <v>473</v>
      </c>
      <c r="B29" s="6">
        <v>45916</v>
      </c>
      <c r="C29" s="11" t="s">
        <v>474</v>
      </c>
      <c r="D29" s="11" t="s">
        <v>20</v>
      </c>
      <c r="E29" s="11" t="s">
        <v>15</v>
      </c>
      <c r="F29" s="11" t="s">
        <v>16</v>
      </c>
      <c r="G29" s="7">
        <v>4</v>
      </c>
      <c r="H29" s="8">
        <v>42.39</v>
      </c>
      <c r="I29" s="13">
        <v>0</v>
      </c>
      <c r="J29" s="8">
        <f>(Table23[[#This Row],[Quantity]]*Table23[[#This Row],[Unit Price]])-(Table23[[#This Row],[Unit Price]]*Table23[[#This Row],[Dscount]])*Table23[[#This Row],[Quantity]]</f>
        <v>169.56</v>
      </c>
      <c r="K29" s="8">
        <v>82.39</v>
      </c>
      <c r="L29" s="8">
        <f>Table23[[#This Row],[Revenue]]-Table23[[#This Row],[Total Cost]]</f>
        <v>87.17</v>
      </c>
      <c r="M29" s="16">
        <f>(Table23[[#This Row],[Profit]]/Table23[[#This Row],[Revenue]])</f>
        <v>0.51409530549657934</v>
      </c>
      <c r="N29" t="s">
        <v>33</v>
      </c>
    </row>
    <row r="30" spans="1:14" x14ac:dyDescent="0.25">
      <c r="A30" s="11" t="s">
        <v>1407</v>
      </c>
      <c r="B30" s="6">
        <v>45949</v>
      </c>
      <c r="C30" s="11" t="s">
        <v>1161</v>
      </c>
      <c r="D30" s="11" t="s">
        <v>31</v>
      </c>
      <c r="E30" s="11" t="s">
        <v>1124</v>
      </c>
      <c r="F30" s="11" t="s">
        <v>1112</v>
      </c>
      <c r="G30" s="7">
        <v>3</v>
      </c>
      <c r="H30" s="8">
        <v>78.09</v>
      </c>
      <c r="I30" s="13">
        <v>0</v>
      </c>
      <c r="J30" s="8">
        <f>(Table23[[#This Row],[Quantity]]*Table23[[#This Row],[Unit Price]])-(Table23[[#This Row],[Unit Price]]*Table23[[#This Row],[Dscount]])*Table23[[#This Row],[Quantity]]</f>
        <v>234.27</v>
      </c>
      <c r="K30" s="8">
        <v>147.99</v>
      </c>
      <c r="L30" s="8">
        <f>Table23[[#This Row],[Revenue]]-Table23[[#This Row],[Total Cost]]</f>
        <v>86.28</v>
      </c>
      <c r="M30" s="16">
        <f>(Table23[[#This Row],[Profit]]/Table23[[#This Row],[Revenue]])</f>
        <v>0.36829299526187731</v>
      </c>
      <c r="N30" t="s">
        <v>33</v>
      </c>
    </row>
    <row r="31" spans="1:14" x14ac:dyDescent="0.25">
      <c r="A31" s="11" t="s">
        <v>472</v>
      </c>
      <c r="B31" s="6">
        <v>45737</v>
      </c>
      <c r="C31" s="11" t="s">
        <v>130</v>
      </c>
      <c r="D31" s="11" t="s">
        <v>14</v>
      </c>
      <c r="E31" s="11" t="s">
        <v>39</v>
      </c>
      <c r="F31" s="11" t="s">
        <v>16</v>
      </c>
      <c r="G31" s="7">
        <v>4</v>
      </c>
      <c r="H31" s="8">
        <v>37.78</v>
      </c>
      <c r="I31" s="13">
        <v>0.1</v>
      </c>
      <c r="J31" s="8">
        <f>(Table23[[#This Row],[Quantity]]*Table23[[#This Row],[Unit Price]])-(Table23[[#This Row],[Unit Price]]*Table23[[#This Row],[Dscount]])*Table23[[#This Row],[Quantity]]</f>
        <v>136.00800000000001</v>
      </c>
      <c r="K31" s="8">
        <v>50.158000000000015</v>
      </c>
      <c r="L31" s="8">
        <f>Table23[[#This Row],[Revenue]]-Table23[[#This Row],[Total Cost]]</f>
        <v>85.85</v>
      </c>
      <c r="M31" s="16">
        <f>(Table23[[#This Row],[Profit]]/Table23[[#This Row],[Revenue]])</f>
        <v>0.6312128698311863</v>
      </c>
      <c r="N31" t="s">
        <v>33</v>
      </c>
    </row>
    <row r="32" spans="1:14" x14ac:dyDescent="0.25">
      <c r="A32" s="11" t="s">
        <v>804</v>
      </c>
      <c r="B32" s="6">
        <v>45647</v>
      </c>
      <c r="C32" s="11" t="s">
        <v>805</v>
      </c>
      <c r="D32" s="11" t="s">
        <v>14</v>
      </c>
      <c r="E32" s="11" t="s">
        <v>489</v>
      </c>
      <c r="F32" s="11" t="s">
        <v>480</v>
      </c>
      <c r="G32" s="7">
        <v>3</v>
      </c>
      <c r="H32" s="8">
        <v>87.22</v>
      </c>
      <c r="I32" s="13">
        <v>0.05</v>
      </c>
      <c r="J32" s="8">
        <f>(Table23[[#This Row],[Quantity]]*Table23[[#This Row],[Unit Price]])-(Table23[[#This Row],[Unit Price]]*Table23[[#This Row],[Dscount]])*Table23[[#This Row],[Quantity]]</f>
        <v>248.57699999999997</v>
      </c>
      <c r="K32" s="8">
        <v>162.72699999999998</v>
      </c>
      <c r="L32" s="8">
        <f>Table23[[#This Row],[Revenue]]-Table23[[#This Row],[Total Cost]]</f>
        <v>85.85</v>
      </c>
      <c r="M32" s="16">
        <f>(Table23[[#This Row],[Profit]]/Table23[[#This Row],[Revenue]])</f>
        <v>0.34536582226030565</v>
      </c>
      <c r="N32" t="s">
        <v>33</v>
      </c>
    </row>
    <row r="33" spans="1:14" x14ac:dyDescent="0.25">
      <c r="A33" s="11" t="s">
        <v>470</v>
      </c>
      <c r="B33" s="6">
        <v>45590</v>
      </c>
      <c r="C33" s="11" t="s">
        <v>471</v>
      </c>
      <c r="D33" s="11" t="s">
        <v>31</v>
      </c>
      <c r="E33" s="11" t="s">
        <v>68</v>
      </c>
      <c r="F33" s="11" t="s">
        <v>16</v>
      </c>
      <c r="G33" s="7">
        <v>4</v>
      </c>
      <c r="H33" s="8">
        <v>47.81</v>
      </c>
      <c r="I33" s="13">
        <v>0</v>
      </c>
      <c r="J33" s="8">
        <f>(Table23[[#This Row],[Quantity]]*Table23[[#This Row],[Unit Price]])-(Table23[[#This Row],[Unit Price]]*Table23[[#This Row],[Dscount]])*Table23[[#This Row],[Quantity]]</f>
        <v>191.24</v>
      </c>
      <c r="K33" s="8">
        <v>105.44000000000001</v>
      </c>
      <c r="L33" s="8">
        <f>Table23[[#This Row],[Revenue]]-Table23[[#This Row],[Total Cost]]</f>
        <v>85.8</v>
      </c>
      <c r="M33" s="16">
        <f>(Table23[[#This Row],[Profit]]/Table23[[#This Row],[Revenue]])</f>
        <v>0.44865090985149547</v>
      </c>
      <c r="N33" t="s">
        <v>17</v>
      </c>
    </row>
    <row r="34" spans="1:14" x14ac:dyDescent="0.25">
      <c r="A34" s="11" t="s">
        <v>802</v>
      </c>
      <c r="B34" s="6">
        <v>45627</v>
      </c>
      <c r="C34" s="11" t="s">
        <v>803</v>
      </c>
      <c r="D34" s="11" t="s">
        <v>36</v>
      </c>
      <c r="E34" s="11" t="s">
        <v>479</v>
      </c>
      <c r="F34" s="11" t="s">
        <v>480</v>
      </c>
      <c r="G34" s="7">
        <v>2</v>
      </c>
      <c r="H34" s="8">
        <v>80.599999999999994</v>
      </c>
      <c r="I34" s="13">
        <v>0</v>
      </c>
      <c r="J34" s="8">
        <f>(Table23[[#This Row],[Quantity]]*Table23[[#This Row],[Unit Price]])-(Table23[[#This Row],[Unit Price]]*Table23[[#This Row],[Dscount]])*Table23[[#This Row],[Quantity]]</f>
        <v>161.19999999999999</v>
      </c>
      <c r="K34" s="8">
        <v>75.669999999999987</v>
      </c>
      <c r="L34" s="8">
        <f>Table23[[#This Row],[Revenue]]-Table23[[#This Row],[Total Cost]]</f>
        <v>85.53</v>
      </c>
      <c r="M34" s="16">
        <f>(Table23[[#This Row],[Profit]]/Table23[[#This Row],[Revenue]])</f>
        <v>0.53058312655086848</v>
      </c>
      <c r="N34" t="s">
        <v>33</v>
      </c>
    </row>
    <row r="35" spans="1:14" x14ac:dyDescent="0.25">
      <c r="A35" s="11" t="s">
        <v>801</v>
      </c>
      <c r="B35" s="6">
        <v>45831</v>
      </c>
      <c r="C35" s="11" t="s">
        <v>715</v>
      </c>
      <c r="D35" s="11" t="s">
        <v>20</v>
      </c>
      <c r="E35" s="11" t="s">
        <v>486</v>
      </c>
      <c r="F35" s="11" t="s">
        <v>480</v>
      </c>
      <c r="G35" s="7">
        <v>3</v>
      </c>
      <c r="H35" s="8">
        <v>66.8</v>
      </c>
      <c r="I35" s="13">
        <v>0.1</v>
      </c>
      <c r="J35" s="8">
        <f>(Table23[[#This Row],[Quantity]]*Table23[[#This Row],[Unit Price]])-(Table23[[#This Row],[Unit Price]]*Table23[[#This Row],[Dscount]])*Table23[[#This Row],[Quantity]]</f>
        <v>180.35999999999999</v>
      </c>
      <c r="K35" s="8">
        <v>94.999999999999986</v>
      </c>
      <c r="L35" s="8">
        <f>Table23[[#This Row],[Revenue]]-Table23[[#This Row],[Total Cost]]</f>
        <v>85.36</v>
      </c>
      <c r="M35" s="16">
        <f>(Table23[[#This Row],[Profit]]/Table23[[#This Row],[Revenue]])</f>
        <v>0.47327567088046135</v>
      </c>
      <c r="N35" t="s">
        <v>33</v>
      </c>
    </row>
    <row r="36" spans="1:14" x14ac:dyDescent="0.25">
      <c r="A36" s="11" t="s">
        <v>468</v>
      </c>
      <c r="B36" s="6">
        <v>45628</v>
      </c>
      <c r="C36" s="11" t="s">
        <v>469</v>
      </c>
      <c r="D36" s="11" t="s">
        <v>24</v>
      </c>
      <c r="E36" s="11" t="s">
        <v>25</v>
      </c>
      <c r="F36" s="11" t="s">
        <v>16</v>
      </c>
      <c r="G36" s="7">
        <v>4</v>
      </c>
      <c r="H36" s="8">
        <v>47.3</v>
      </c>
      <c r="I36" s="13">
        <v>0.05</v>
      </c>
      <c r="J36" s="8">
        <f>(Table23[[#This Row],[Quantity]]*Table23[[#This Row],[Unit Price]])-(Table23[[#This Row],[Unit Price]]*Table23[[#This Row],[Dscount]])*Table23[[#This Row],[Quantity]]</f>
        <v>179.73999999999998</v>
      </c>
      <c r="K36" s="8">
        <v>94.969999999999985</v>
      </c>
      <c r="L36" s="8">
        <f>Table23[[#This Row],[Revenue]]-Table23[[#This Row],[Total Cost]]</f>
        <v>84.77</v>
      </c>
      <c r="M36" s="16">
        <f>(Table23[[#This Row],[Profit]]/Table23[[#This Row],[Revenue]])</f>
        <v>0.47162568154000223</v>
      </c>
      <c r="N36" t="s">
        <v>17</v>
      </c>
    </row>
    <row r="37" spans="1:14" x14ac:dyDescent="0.25">
      <c r="A37" s="11" t="s">
        <v>799</v>
      </c>
      <c r="B37" s="6">
        <v>45486</v>
      </c>
      <c r="C37" s="11" t="s">
        <v>800</v>
      </c>
      <c r="D37" s="11" t="s">
        <v>14</v>
      </c>
      <c r="E37" s="11" t="s">
        <v>486</v>
      </c>
      <c r="F37" s="11" t="s">
        <v>480</v>
      </c>
      <c r="G37" s="7">
        <v>3</v>
      </c>
      <c r="H37" s="8">
        <v>60.62</v>
      </c>
      <c r="I37" s="13">
        <v>0</v>
      </c>
      <c r="J37" s="8">
        <f>(Table23[[#This Row],[Quantity]]*Table23[[#This Row],[Unit Price]])-(Table23[[#This Row],[Unit Price]]*Table23[[#This Row],[Dscount]])*Table23[[#This Row],[Quantity]]</f>
        <v>181.85999999999999</v>
      </c>
      <c r="K37" s="8">
        <v>97.339999999999989</v>
      </c>
      <c r="L37" s="8">
        <f>Table23[[#This Row],[Revenue]]-Table23[[#This Row],[Total Cost]]</f>
        <v>84.52</v>
      </c>
      <c r="M37" s="16">
        <f>(Table23[[#This Row],[Profit]]/Table23[[#This Row],[Revenue]])</f>
        <v>0.46475310678543935</v>
      </c>
      <c r="N37" t="s">
        <v>17</v>
      </c>
    </row>
    <row r="38" spans="1:14" x14ac:dyDescent="0.25">
      <c r="A38" s="11" t="s">
        <v>467</v>
      </c>
      <c r="B38" s="6">
        <v>46004</v>
      </c>
      <c r="C38" s="11" t="s">
        <v>30</v>
      </c>
      <c r="D38" s="11" t="s">
        <v>31</v>
      </c>
      <c r="E38" s="11" t="s">
        <v>53</v>
      </c>
      <c r="F38" s="11" t="s">
        <v>16</v>
      </c>
      <c r="G38" s="7">
        <v>4</v>
      </c>
      <c r="H38" s="8">
        <v>33.99</v>
      </c>
      <c r="I38" s="13">
        <v>0.05</v>
      </c>
      <c r="J38" s="8">
        <f>(Table23[[#This Row],[Quantity]]*Table23[[#This Row],[Unit Price]])-(Table23[[#This Row],[Unit Price]]*Table23[[#This Row],[Dscount]])*Table23[[#This Row],[Quantity]]</f>
        <v>129.16200000000001</v>
      </c>
      <c r="K38" s="8">
        <v>46.14200000000001</v>
      </c>
      <c r="L38" s="8">
        <f>Table23[[#This Row],[Revenue]]-Table23[[#This Row],[Total Cost]]</f>
        <v>83.02</v>
      </c>
      <c r="M38" s="16">
        <f>(Table23[[#This Row],[Profit]]/Table23[[#This Row],[Revenue]])</f>
        <v>0.64275870612099528</v>
      </c>
      <c r="N38" t="s">
        <v>48</v>
      </c>
    </row>
    <row r="39" spans="1:14" x14ac:dyDescent="0.25">
      <c r="A39" s="11" t="s">
        <v>1406</v>
      </c>
      <c r="B39" s="6">
        <v>45516</v>
      </c>
      <c r="C39" s="11" t="s">
        <v>256</v>
      </c>
      <c r="D39" s="11" t="s">
        <v>14</v>
      </c>
      <c r="E39" s="11" t="s">
        <v>1155</v>
      </c>
      <c r="F39" s="11" t="s">
        <v>1112</v>
      </c>
      <c r="G39" s="7">
        <v>4</v>
      </c>
      <c r="H39" s="8">
        <v>63.52</v>
      </c>
      <c r="I39" s="13">
        <v>0</v>
      </c>
      <c r="J39" s="8">
        <f>(Table23[[#This Row],[Quantity]]*Table23[[#This Row],[Unit Price]])-(Table23[[#This Row],[Unit Price]]*Table23[[#This Row],[Dscount]])*Table23[[#This Row],[Quantity]]</f>
        <v>254.08</v>
      </c>
      <c r="K39" s="8">
        <v>171.22000000000003</v>
      </c>
      <c r="L39" s="8">
        <f>Table23[[#This Row],[Revenue]]-Table23[[#This Row],[Total Cost]]</f>
        <v>82.859999999999985</v>
      </c>
      <c r="M39" s="16">
        <f>(Table23[[#This Row],[Profit]]/Table23[[#This Row],[Revenue]])</f>
        <v>0.32611775818639793</v>
      </c>
      <c r="N39" t="s">
        <v>33</v>
      </c>
    </row>
    <row r="40" spans="1:14" x14ac:dyDescent="0.25">
      <c r="A40" s="11" t="s">
        <v>1405</v>
      </c>
      <c r="B40" s="6">
        <v>45831</v>
      </c>
      <c r="C40" s="11" t="s">
        <v>378</v>
      </c>
      <c r="D40" s="11" t="s">
        <v>31</v>
      </c>
      <c r="E40" s="11" t="s">
        <v>1124</v>
      </c>
      <c r="F40" s="11" t="s">
        <v>1112</v>
      </c>
      <c r="G40" s="7">
        <v>4</v>
      </c>
      <c r="H40" s="8">
        <v>74.75</v>
      </c>
      <c r="I40" s="13">
        <v>0.1</v>
      </c>
      <c r="J40" s="8">
        <f>(Table23[[#This Row],[Quantity]]*Table23[[#This Row],[Unit Price]])-(Table23[[#This Row],[Unit Price]]*Table23[[#This Row],[Dscount]])*Table23[[#This Row],[Quantity]]</f>
        <v>269.10000000000002</v>
      </c>
      <c r="K40" s="8">
        <v>186.75000000000003</v>
      </c>
      <c r="L40" s="8">
        <f>Table23[[#This Row],[Revenue]]-Table23[[#This Row],[Total Cost]]</f>
        <v>82.35</v>
      </c>
      <c r="M40" s="16">
        <f>(Table23[[#This Row],[Profit]]/Table23[[#This Row],[Revenue]])</f>
        <v>0.30602006688963207</v>
      </c>
      <c r="N40" t="s">
        <v>33</v>
      </c>
    </row>
    <row r="41" spans="1:14" x14ac:dyDescent="0.25">
      <c r="A41" s="11" t="s">
        <v>1403</v>
      </c>
      <c r="B41" s="6">
        <v>45754</v>
      </c>
      <c r="C41" s="11" t="s">
        <v>1404</v>
      </c>
      <c r="D41" s="11" t="s">
        <v>24</v>
      </c>
      <c r="E41" s="11" t="s">
        <v>1134</v>
      </c>
      <c r="F41" s="11" t="s">
        <v>1112</v>
      </c>
      <c r="G41" s="7">
        <v>3</v>
      </c>
      <c r="H41" s="8">
        <v>67.36</v>
      </c>
      <c r="I41" s="13">
        <v>0</v>
      </c>
      <c r="J41" s="8">
        <f>(Table23[[#This Row],[Quantity]]*Table23[[#This Row],[Unit Price]])-(Table23[[#This Row],[Unit Price]]*Table23[[#This Row],[Dscount]])*Table23[[#This Row],[Quantity]]</f>
        <v>202.07999999999998</v>
      </c>
      <c r="K41" s="8">
        <v>121.49999999999999</v>
      </c>
      <c r="L41" s="8">
        <f>Table23[[#This Row],[Revenue]]-Table23[[#This Row],[Total Cost]]</f>
        <v>80.58</v>
      </c>
      <c r="M41" s="16">
        <f>(Table23[[#This Row],[Profit]]/Table23[[#This Row],[Revenue]])</f>
        <v>0.39875296912114017</v>
      </c>
      <c r="N41" t="s">
        <v>33</v>
      </c>
    </row>
    <row r="42" spans="1:14" x14ac:dyDescent="0.25">
      <c r="A42" s="11" t="s">
        <v>797</v>
      </c>
      <c r="B42" s="6">
        <v>45941</v>
      </c>
      <c r="C42" s="11" t="s">
        <v>798</v>
      </c>
      <c r="D42" s="11" t="s">
        <v>20</v>
      </c>
      <c r="E42" s="11" t="s">
        <v>500</v>
      </c>
      <c r="F42" s="11" t="s">
        <v>480</v>
      </c>
      <c r="G42" s="7">
        <v>3</v>
      </c>
      <c r="H42" s="8">
        <v>61.98</v>
      </c>
      <c r="I42" s="13">
        <v>0.2</v>
      </c>
      <c r="J42" s="8">
        <f>(Table23[[#This Row],[Quantity]]*Table23[[#This Row],[Unit Price]])-(Table23[[#This Row],[Unit Price]]*Table23[[#This Row],[Dscount]])*Table23[[#This Row],[Quantity]]</f>
        <v>148.75200000000001</v>
      </c>
      <c r="K42" s="8">
        <v>68.822000000000003</v>
      </c>
      <c r="L42" s="8">
        <f>Table23[[#This Row],[Revenue]]-Table23[[#This Row],[Total Cost]]</f>
        <v>79.930000000000007</v>
      </c>
      <c r="M42" s="16">
        <f>(Table23[[#This Row],[Profit]]/Table23[[#This Row],[Revenue]])</f>
        <v>0.53733731311175648</v>
      </c>
      <c r="N42" t="s">
        <v>17</v>
      </c>
    </row>
    <row r="43" spans="1:14" x14ac:dyDescent="0.25">
      <c r="A43" s="11" t="s">
        <v>1402</v>
      </c>
      <c r="B43" s="6">
        <v>45945</v>
      </c>
      <c r="C43" s="11" t="s">
        <v>386</v>
      </c>
      <c r="D43" s="11" t="s">
        <v>36</v>
      </c>
      <c r="E43" s="11" t="s">
        <v>1111</v>
      </c>
      <c r="F43" s="11" t="s">
        <v>1112</v>
      </c>
      <c r="G43" s="7">
        <v>4</v>
      </c>
      <c r="H43" s="8">
        <v>74.36</v>
      </c>
      <c r="I43" s="13">
        <v>0.1</v>
      </c>
      <c r="J43" s="8">
        <f>(Table23[[#This Row],[Quantity]]*Table23[[#This Row],[Unit Price]])-(Table23[[#This Row],[Unit Price]]*Table23[[#This Row],[Dscount]])*Table23[[#This Row],[Quantity]]</f>
        <v>267.69600000000003</v>
      </c>
      <c r="K43" s="8">
        <v>188.46600000000001</v>
      </c>
      <c r="L43" s="8">
        <f>Table23[[#This Row],[Revenue]]-Table23[[#This Row],[Total Cost]]</f>
        <v>79.230000000000018</v>
      </c>
      <c r="M43" s="16">
        <f>(Table23[[#This Row],[Profit]]/Table23[[#This Row],[Revenue]])</f>
        <v>0.29597005558544026</v>
      </c>
      <c r="N43" t="s">
        <v>33</v>
      </c>
    </row>
    <row r="44" spans="1:14" x14ac:dyDescent="0.25">
      <c r="A44" s="11" t="s">
        <v>465</v>
      </c>
      <c r="B44" s="6">
        <v>45545</v>
      </c>
      <c r="C44" s="11" t="s">
        <v>466</v>
      </c>
      <c r="D44" s="11" t="s">
        <v>20</v>
      </c>
      <c r="E44" s="11" t="s">
        <v>15</v>
      </c>
      <c r="F44" s="11" t="s">
        <v>16</v>
      </c>
      <c r="G44" s="7">
        <v>5</v>
      </c>
      <c r="H44" s="8">
        <v>35.24</v>
      </c>
      <c r="I44" s="13">
        <v>0.1</v>
      </c>
      <c r="J44" s="8">
        <f>(Table23[[#This Row],[Quantity]]*Table23[[#This Row],[Unit Price]])-(Table23[[#This Row],[Unit Price]]*Table23[[#This Row],[Dscount]])*Table23[[#This Row],[Quantity]]</f>
        <v>158.58000000000001</v>
      </c>
      <c r="K44" s="8">
        <v>79.800000000000011</v>
      </c>
      <c r="L44" s="8">
        <f>Table23[[#This Row],[Revenue]]-Table23[[#This Row],[Total Cost]]</f>
        <v>78.78</v>
      </c>
      <c r="M44" s="16">
        <f>(Table23[[#This Row],[Profit]]/Table23[[#This Row],[Revenue]])</f>
        <v>0.4967839576239122</v>
      </c>
      <c r="N44" t="s">
        <v>17</v>
      </c>
    </row>
    <row r="45" spans="1:14" x14ac:dyDescent="0.25">
      <c r="A45" s="11" t="s">
        <v>463</v>
      </c>
      <c r="B45" s="6">
        <v>45704</v>
      </c>
      <c r="C45" s="11" t="s">
        <v>464</v>
      </c>
      <c r="D45" s="11" t="s">
        <v>31</v>
      </c>
      <c r="E45" s="11" t="s">
        <v>28</v>
      </c>
      <c r="F45" s="11" t="s">
        <v>16</v>
      </c>
      <c r="G45" s="7">
        <v>4</v>
      </c>
      <c r="H45" s="8">
        <v>40.909999999999997</v>
      </c>
      <c r="I45" s="13">
        <v>0</v>
      </c>
      <c r="J45" s="8">
        <f>(Table23[[#This Row],[Quantity]]*Table23[[#This Row],[Unit Price]])-(Table23[[#This Row],[Unit Price]]*Table23[[#This Row],[Dscount]])*Table23[[#This Row],[Quantity]]</f>
        <v>163.63999999999999</v>
      </c>
      <c r="K45" s="8">
        <v>84.929999999999993</v>
      </c>
      <c r="L45" s="8">
        <f>Table23[[#This Row],[Revenue]]-Table23[[#This Row],[Total Cost]]</f>
        <v>78.709999999999994</v>
      </c>
      <c r="M45" s="16">
        <f>(Table23[[#This Row],[Profit]]/Table23[[#This Row],[Revenue]])</f>
        <v>0.48099486678073822</v>
      </c>
      <c r="N45" t="s">
        <v>17</v>
      </c>
    </row>
    <row r="46" spans="1:14" x14ac:dyDescent="0.25">
      <c r="A46" s="11" t="s">
        <v>795</v>
      </c>
      <c r="B46" s="6">
        <v>45565</v>
      </c>
      <c r="C46" s="11" t="s">
        <v>796</v>
      </c>
      <c r="D46" s="11" t="s">
        <v>36</v>
      </c>
      <c r="E46" s="11" t="s">
        <v>486</v>
      </c>
      <c r="F46" s="11" t="s">
        <v>480</v>
      </c>
      <c r="G46" s="7">
        <v>3</v>
      </c>
      <c r="H46" s="8">
        <v>64.069999999999993</v>
      </c>
      <c r="I46" s="13">
        <v>0</v>
      </c>
      <c r="J46" s="8">
        <f>(Table23[[#This Row],[Quantity]]*Table23[[#This Row],[Unit Price]])-(Table23[[#This Row],[Unit Price]]*Table23[[#This Row],[Dscount]])*Table23[[#This Row],[Quantity]]</f>
        <v>192.20999999999998</v>
      </c>
      <c r="K46" s="8">
        <v>113.52999999999997</v>
      </c>
      <c r="L46" s="8">
        <f>Table23[[#This Row],[Revenue]]-Table23[[#This Row],[Total Cost]]</f>
        <v>78.680000000000007</v>
      </c>
      <c r="M46" s="16">
        <f>(Table23[[#This Row],[Profit]]/Table23[[#This Row],[Revenue]])</f>
        <v>0.40934394672493635</v>
      </c>
      <c r="N46" t="s">
        <v>17</v>
      </c>
    </row>
    <row r="47" spans="1:14" x14ac:dyDescent="0.25">
      <c r="A47" s="11" t="s">
        <v>793</v>
      </c>
      <c r="B47" s="6">
        <v>45369</v>
      </c>
      <c r="C47" s="11" t="s">
        <v>794</v>
      </c>
      <c r="D47" s="11" t="s">
        <v>14</v>
      </c>
      <c r="E47" s="11" t="s">
        <v>503</v>
      </c>
      <c r="F47" s="11" t="s">
        <v>480</v>
      </c>
      <c r="G47" s="7">
        <v>3</v>
      </c>
      <c r="H47" s="8">
        <v>62.5</v>
      </c>
      <c r="I47" s="13">
        <v>0.1</v>
      </c>
      <c r="J47" s="8">
        <f>(Table23[[#This Row],[Quantity]]*Table23[[#This Row],[Unit Price]])-(Table23[[#This Row],[Unit Price]]*Table23[[#This Row],[Dscount]])*Table23[[#This Row],[Quantity]]</f>
        <v>168.75</v>
      </c>
      <c r="K47" s="8">
        <v>90.45</v>
      </c>
      <c r="L47" s="8">
        <f>Table23[[#This Row],[Revenue]]-Table23[[#This Row],[Total Cost]]</f>
        <v>78.3</v>
      </c>
      <c r="M47" s="16">
        <f>(Table23[[#This Row],[Profit]]/Table23[[#This Row],[Revenue]])</f>
        <v>0.46399999999999997</v>
      </c>
      <c r="N47" t="s">
        <v>33</v>
      </c>
    </row>
    <row r="48" spans="1:14" x14ac:dyDescent="0.25">
      <c r="A48" s="11" t="s">
        <v>791</v>
      </c>
      <c r="B48" s="6">
        <v>45860</v>
      </c>
      <c r="C48" s="11" t="s">
        <v>792</v>
      </c>
      <c r="D48" s="11" t="s">
        <v>24</v>
      </c>
      <c r="E48" s="11" t="s">
        <v>486</v>
      </c>
      <c r="F48" s="11" t="s">
        <v>480</v>
      </c>
      <c r="G48" s="7">
        <v>5</v>
      </c>
      <c r="H48" s="8">
        <v>28.93</v>
      </c>
      <c r="I48" s="13">
        <v>0</v>
      </c>
      <c r="J48" s="8">
        <f>(Table23[[#This Row],[Quantity]]*Table23[[#This Row],[Unit Price]])-(Table23[[#This Row],[Unit Price]]*Table23[[#This Row],[Dscount]])*Table23[[#This Row],[Quantity]]</f>
        <v>144.65</v>
      </c>
      <c r="K48" s="8">
        <v>67.06</v>
      </c>
      <c r="L48" s="8">
        <f>Table23[[#This Row],[Revenue]]-Table23[[#This Row],[Total Cost]]</f>
        <v>77.59</v>
      </c>
      <c r="M48" s="16">
        <f>(Table23[[#This Row],[Profit]]/Table23[[#This Row],[Revenue]])</f>
        <v>0.53639820255789838</v>
      </c>
      <c r="N48" t="s">
        <v>17</v>
      </c>
    </row>
    <row r="49" spans="1:14" x14ac:dyDescent="0.25">
      <c r="A49" s="11" t="s">
        <v>1401</v>
      </c>
      <c r="B49" s="6">
        <v>45777</v>
      </c>
      <c r="C49" s="11" t="s">
        <v>74</v>
      </c>
      <c r="D49" s="11" t="s">
        <v>36</v>
      </c>
      <c r="E49" s="11" t="s">
        <v>1155</v>
      </c>
      <c r="F49" s="11" t="s">
        <v>1112</v>
      </c>
      <c r="G49" s="7">
        <v>3</v>
      </c>
      <c r="H49" s="8">
        <v>72.13</v>
      </c>
      <c r="I49" s="13">
        <v>0</v>
      </c>
      <c r="J49" s="8">
        <f>(Table23[[#This Row],[Quantity]]*Table23[[#This Row],[Unit Price]])-(Table23[[#This Row],[Unit Price]]*Table23[[#This Row],[Dscount]])*Table23[[#This Row],[Quantity]]</f>
        <v>216.39</v>
      </c>
      <c r="K49" s="8">
        <v>138.91999999999999</v>
      </c>
      <c r="L49" s="8">
        <f>Table23[[#This Row],[Revenue]]-Table23[[#This Row],[Total Cost]]</f>
        <v>77.47</v>
      </c>
      <c r="M49" s="16">
        <f>(Table23[[#This Row],[Profit]]/Table23[[#This Row],[Revenue]])</f>
        <v>0.35801099865982716</v>
      </c>
      <c r="N49" t="s">
        <v>33</v>
      </c>
    </row>
    <row r="50" spans="1:14" x14ac:dyDescent="0.25">
      <c r="A50" s="11" t="s">
        <v>789</v>
      </c>
      <c r="B50" s="6">
        <v>45473</v>
      </c>
      <c r="C50" s="11" t="s">
        <v>790</v>
      </c>
      <c r="D50" s="11" t="s">
        <v>36</v>
      </c>
      <c r="E50" s="11" t="s">
        <v>479</v>
      </c>
      <c r="F50" s="11" t="s">
        <v>480</v>
      </c>
      <c r="G50" s="7">
        <v>2</v>
      </c>
      <c r="H50" s="8">
        <v>88.54</v>
      </c>
      <c r="I50" s="13">
        <v>0.15</v>
      </c>
      <c r="J50" s="8">
        <f>(Table23[[#This Row],[Quantity]]*Table23[[#This Row],[Unit Price]])-(Table23[[#This Row],[Unit Price]]*Table23[[#This Row],[Dscount]])*Table23[[#This Row],[Quantity]]</f>
        <v>150.518</v>
      </c>
      <c r="K50" s="8">
        <v>73.587999999999994</v>
      </c>
      <c r="L50" s="8">
        <f>Table23[[#This Row],[Revenue]]-Table23[[#This Row],[Total Cost]]</f>
        <v>76.930000000000007</v>
      </c>
      <c r="M50" s="16">
        <f>(Table23[[#This Row],[Profit]]/Table23[[#This Row],[Revenue]])</f>
        <v>0.51110166225966336</v>
      </c>
      <c r="N50" t="s">
        <v>17</v>
      </c>
    </row>
    <row r="51" spans="1:14" x14ac:dyDescent="0.25">
      <c r="A51" s="11" t="s">
        <v>461</v>
      </c>
      <c r="B51" s="6">
        <v>45382</v>
      </c>
      <c r="C51" s="11" t="s">
        <v>462</v>
      </c>
      <c r="D51" s="11" t="s">
        <v>20</v>
      </c>
      <c r="E51" s="11" t="s">
        <v>44</v>
      </c>
      <c r="F51" s="11" t="s">
        <v>16</v>
      </c>
      <c r="G51" s="7">
        <v>3</v>
      </c>
      <c r="H51" s="8">
        <v>48.98</v>
      </c>
      <c r="I51" s="13">
        <v>0.05</v>
      </c>
      <c r="J51" s="8">
        <f>(Table23[[#This Row],[Quantity]]*Table23[[#This Row],[Unit Price]])-(Table23[[#This Row],[Unit Price]]*Table23[[#This Row],[Dscount]])*Table23[[#This Row],[Quantity]]</f>
        <v>139.59299999999999</v>
      </c>
      <c r="K51" s="8">
        <v>63.312999999999988</v>
      </c>
      <c r="L51" s="8">
        <f>Table23[[#This Row],[Revenue]]-Table23[[#This Row],[Total Cost]]</f>
        <v>76.28</v>
      </c>
      <c r="M51" s="16">
        <f>(Table23[[#This Row],[Profit]]/Table23[[#This Row],[Revenue]])</f>
        <v>0.54644573868317181</v>
      </c>
      <c r="N51" t="s">
        <v>33</v>
      </c>
    </row>
    <row r="52" spans="1:14" x14ac:dyDescent="0.25">
      <c r="A52" s="11" t="s">
        <v>459</v>
      </c>
      <c r="B52" s="6">
        <v>45930</v>
      </c>
      <c r="C52" s="11" t="s">
        <v>460</v>
      </c>
      <c r="D52" s="11" t="s">
        <v>14</v>
      </c>
      <c r="E52" s="11" t="s">
        <v>68</v>
      </c>
      <c r="F52" s="11" t="s">
        <v>16</v>
      </c>
      <c r="G52" s="7">
        <v>5</v>
      </c>
      <c r="H52" s="8">
        <v>27.13</v>
      </c>
      <c r="I52" s="13">
        <v>0</v>
      </c>
      <c r="J52" s="8">
        <f>(Table23[[#This Row],[Quantity]]*Table23[[#This Row],[Unit Price]])-(Table23[[#This Row],[Unit Price]]*Table23[[#This Row],[Dscount]])*Table23[[#This Row],[Quantity]]</f>
        <v>135.65</v>
      </c>
      <c r="K52" s="8">
        <v>60.53</v>
      </c>
      <c r="L52" s="8">
        <f>Table23[[#This Row],[Revenue]]-Table23[[#This Row],[Total Cost]]</f>
        <v>75.12</v>
      </c>
      <c r="M52" s="16">
        <f>(Table23[[#This Row],[Profit]]/Table23[[#This Row],[Revenue]])</f>
        <v>0.55377810541835604</v>
      </c>
      <c r="N52" t="s">
        <v>33</v>
      </c>
    </row>
    <row r="53" spans="1:14" x14ac:dyDescent="0.25">
      <c r="A53" s="11" t="s">
        <v>787</v>
      </c>
      <c r="B53" s="6">
        <v>45970</v>
      </c>
      <c r="C53" s="11" t="s">
        <v>788</v>
      </c>
      <c r="D53" s="11" t="s">
        <v>20</v>
      </c>
      <c r="E53" s="11" t="s">
        <v>479</v>
      </c>
      <c r="F53" s="11" t="s">
        <v>480</v>
      </c>
      <c r="G53" s="7">
        <v>5</v>
      </c>
      <c r="H53" s="8">
        <v>39.28</v>
      </c>
      <c r="I53" s="13">
        <v>0</v>
      </c>
      <c r="J53" s="8">
        <f>(Table23[[#This Row],[Quantity]]*Table23[[#This Row],[Unit Price]])-(Table23[[#This Row],[Unit Price]]*Table23[[#This Row],[Dscount]])*Table23[[#This Row],[Quantity]]</f>
        <v>196.4</v>
      </c>
      <c r="K53" s="8">
        <v>121.78</v>
      </c>
      <c r="L53" s="8">
        <f>Table23[[#This Row],[Revenue]]-Table23[[#This Row],[Total Cost]]</f>
        <v>74.62</v>
      </c>
      <c r="M53" s="16">
        <f>(Table23[[#This Row],[Profit]]/Table23[[#This Row],[Revenue]])</f>
        <v>0.379938900203666</v>
      </c>
      <c r="N53" t="s">
        <v>33</v>
      </c>
    </row>
    <row r="54" spans="1:14" x14ac:dyDescent="0.25">
      <c r="A54" s="11" t="s">
        <v>1096</v>
      </c>
      <c r="B54" s="6">
        <v>45874</v>
      </c>
      <c r="C54" s="11" t="s">
        <v>1097</v>
      </c>
      <c r="D54" s="11" t="s">
        <v>24</v>
      </c>
      <c r="E54" s="11" t="s">
        <v>837</v>
      </c>
      <c r="F54" s="11" t="s">
        <v>833</v>
      </c>
      <c r="G54" s="7">
        <v>4</v>
      </c>
      <c r="H54" s="8">
        <v>95.37</v>
      </c>
      <c r="I54" s="13">
        <v>0.2</v>
      </c>
      <c r="J54" s="8">
        <f>(Table23[[#This Row],[Quantity]]*Table23[[#This Row],[Unit Price]])-(Table23[[#This Row],[Unit Price]]*Table23[[#This Row],[Dscount]])*Table23[[#This Row],[Quantity]]</f>
        <v>305.18400000000003</v>
      </c>
      <c r="K54" s="8">
        <v>230.93400000000003</v>
      </c>
      <c r="L54" s="8">
        <f>Table23[[#This Row],[Revenue]]-Table23[[#This Row],[Total Cost]]</f>
        <v>74.25</v>
      </c>
      <c r="M54" s="16">
        <f>(Table23[[#This Row],[Profit]]/Table23[[#This Row],[Revenue]])</f>
        <v>0.24329584775086502</v>
      </c>
      <c r="N54" t="s">
        <v>17</v>
      </c>
    </row>
    <row r="55" spans="1:14" x14ac:dyDescent="0.25">
      <c r="A55" s="11" t="s">
        <v>786</v>
      </c>
      <c r="B55" s="6">
        <v>45312</v>
      </c>
      <c r="C55" s="11" t="s">
        <v>148</v>
      </c>
      <c r="D55" s="11" t="s">
        <v>31</v>
      </c>
      <c r="E55" s="11" t="s">
        <v>503</v>
      </c>
      <c r="F55" s="11" t="s">
        <v>480</v>
      </c>
      <c r="G55" s="7">
        <v>4</v>
      </c>
      <c r="H55" s="8">
        <v>56.04</v>
      </c>
      <c r="I55" s="13">
        <v>0.1</v>
      </c>
      <c r="J55" s="8">
        <f>(Table23[[#This Row],[Quantity]]*Table23[[#This Row],[Unit Price]])-(Table23[[#This Row],[Unit Price]]*Table23[[#This Row],[Dscount]])*Table23[[#This Row],[Quantity]]</f>
        <v>201.744</v>
      </c>
      <c r="K55" s="8">
        <v>127.764</v>
      </c>
      <c r="L55" s="8">
        <f>Table23[[#This Row],[Revenue]]-Table23[[#This Row],[Total Cost]]</f>
        <v>73.98</v>
      </c>
      <c r="M55" s="16">
        <f>(Table23[[#This Row],[Profit]]/Table23[[#This Row],[Revenue]])</f>
        <v>0.36670235546038543</v>
      </c>
      <c r="N55" t="s">
        <v>17</v>
      </c>
    </row>
    <row r="56" spans="1:14" x14ac:dyDescent="0.25">
      <c r="A56" s="11" t="s">
        <v>784</v>
      </c>
      <c r="B56" s="6">
        <v>45849</v>
      </c>
      <c r="C56" s="11" t="s">
        <v>785</v>
      </c>
      <c r="D56" s="11" t="s">
        <v>31</v>
      </c>
      <c r="E56" s="11" t="s">
        <v>496</v>
      </c>
      <c r="F56" s="11" t="s">
        <v>480</v>
      </c>
      <c r="G56" s="7">
        <v>3</v>
      </c>
      <c r="H56" s="8">
        <v>49.67</v>
      </c>
      <c r="I56" s="13">
        <v>0</v>
      </c>
      <c r="J56" s="8">
        <f>(Table23[[#This Row],[Quantity]]*Table23[[#This Row],[Unit Price]])-(Table23[[#This Row],[Unit Price]]*Table23[[#This Row],[Dscount]])*Table23[[#This Row],[Quantity]]</f>
        <v>149.01</v>
      </c>
      <c r="K56" s="8">
        <v>75.089999999999989</v>
      </c>
      <c r="L56" s="8">
        <f>Table23[[#This Row],[Revenue]]-Table23[[#This Row],[Total Cost]]</f>
        <v>73.92</v>
      </c>
      <c r="M56" s="16">
        <f>(Table23[[#This Row],[Profit]]/Table23[[#This Row],[Revenue]])</f>
        <v>0.49607408898731631</v>
      </c>
      <c r="N56" t="s">
        <v>33</v>
      </c>
    </row>
    <row r="57" spans="1:14" x14ac:dyDescent="0.25">
      <c r="A57" s="11" t="s">
        <v>782</v>
      </c>
      <c r="B57" s="6">
        <v>45720</v>
      </c>
      <c r="C57" s="11" t="s">
        <v>783</v>
      </c>
      <c r="D57" s="11" t="s">
        <v>36</v>
      </c>
      <c r="E57" s="11" t="s">
        <v>514</v>
      </c>
      <c r="F57" s="11" t="s">
        <v>480</v>
      </c>
      <c r="G57" s="7">
        <v>3</v>
      </c>
      <c r="H57" s="8">
        <v>74.78</v>
      </c>
      <c r="I57" s="13">
        <v>0.25</v>
      </c>
      <c r="J57" s="8">
        <f>(Table23[[#This Row],[Quantity]]*Table23[[#This Row],[Unit Price]])-(Table23[[#This Row],[Unit Price]]*Table23[[#This Row],[Dscount]])*Table23[[#This Row],[Quantity]]</f>
        <v>168.255</v>
      </c>
      <c r="K57" s="8">
        <v>94.384999999999991</v>
      </c>
      <c r="L57" s="8">
        <f>Table23[[#This Row],[Revenue]]-Table23[[#This Row],[Total Cost]]</f>
        <v>73.87</v>
      </c>
      <c r="M57" s="16">
        <f>(Table23[[#This Row],[Profit]]/Table23[[#This Row],[Revenue]])</f>
        <v>0.43903598704347574</v>
      </c>
      <c r="N57" t="s">
        <v>17</v>
      </c>
    </row>
    <row r="58" spans="1:14" x14ac:dyDescent="0.25">
      <c r="A58" s="11" t="s">
        <v>1094</v>
      </c>
      <c r="B58" s="6">
        <v>45771</v>
      </c>
      <c r="C58" s="11" t="s">
        <v>1095</v>
      </c>
      <c r="D58" s="11" t="s">
        <v>36</v>
      </c>
      <c r="E58" s="11" t="s">
        <v>843</v>
      </c>
      <c r="F58" s="11" t="s">
        <v>833</v>
      </c>
      <c r="G58" s="7">
        <v>5</v>
      </c>
      <c r="H58" s="8">
        <v>88.62</v>
      </c>
      <c r="I58" s="13">
        <v>0.05</v>
      </c>
      <c r="J58" s="8">
        <f>(Table23[[#This Row],[Quantity]]*Table23[[#This Row],[Unit Price]])-(Table23[[#This Row],[Unit Price]]*Table23[[#This Row],[Dscount]])*Table23[[#This Row],[Quantity]]</f>
        <v>420.94500000000005</v>
      </c>
      <c r="K58" s="8">
        <v>347.26500000000004</v>
      </c>
      <c r="L58" s="8">
        <f>Table23[[#This Row],[Revenue]]-Table23[[#This Row],[Total Cost]]</f>
        <v>73.680000000000007</v>
      </c>
      <c r="M58" s="16">
        <f>(Table23[[#This Row],[Profit]]/Table23[[#This Row],[Revenue]])</f>
        <v>0.17503474325624488</v>
      </c>
      <c r="N58" t="s">
        <v>17</v>
      </c>
    </row>
    <row r="59" spans="1:14" x14ac:dyDescent="0.25">
      <c r="A59" s="11" t="s">
        <v>457</v>
      </c>
      <c r="B59" s="6">
        <v>45856</v>
      </c>
      <c r="C59" s="11" t="s">
        <v>458</v>
      </c>
      <c r="D59" s="11" t="s">
        <v>20</v>
      </c>
      <c r="E59" s="11" t="s">
        <v>21</v>
      </c>
      <c r="F59" s="11" t="s">
        <v>16</v>
      </c>
      <c r="G59" s="7">
        <v>4</v>
      </c>
      <c r="H59" s="8">
        <v>38.869999999999997</v>
      </c>
      <c r="I59" s="13">
        <v>0.25</v>
      </c>
      <c r="J59" s="8">
        <f>(Table23[[#This Row],[Quantity]]*Table23[[#This Row],[Unit Price]])-(Table23[[#This Row],[Unit Price]]*Table23[[#This Row],[Dscount]])*Table23[[#This Row],[Quantity]]</f>
        <v>116.60999999999999</v>
      </c>
      <c r="K59" s="8">
        <v>44.129999999999981</v>
      </c>
      <c r="L59" s="8">
        <f>Table23[[#This Row],[Revenue]]-Table23[[#This Row],[Total Cost]]</f>
        <v>72.48</v>
      </c>
      <c r="M59" s="16">
        <f>(Table23[[#This Row],[Profit]]/Table23[[#This Row],[Revenue]])</f>
        <v>0.62155904296372533</v>
      </c>
      <c r="N59" t="s">
        <v>33</v>
      </c>
    </row>
    <row r="60" spans="1:14" x14ac:dyDescent="0.25">
      <c r="A60" s="11" t="s">
        <v>780</v>
      </c>
      <c r="B60" s="6">
        <v>45479</v>
      </c>
      <c r="C60" s="11" t="s">
        <v>781</v>
      </c>
      <c r="D60" s="11" t="s">
        <v>14</v>
      </c>
      <c r="E60" s="11" t="s">
        <v>483</v>
      </c>
      <c r="F60" s="11" t="s">
        <v>480</v>
      </c>
      <c r="G60" s="7">
        <v>3</v>
      </c>
      <c r="H60" s="8">
        <v>81.239999999999995</v>
      </c>
      <c r="I60" s="13">
        <v>0.15</v>
      </c>
      <c r="J60" s="8">
        <f>(Table23[[#This Row],[Quantity]]*Table23[[#This Row],[Unit Price]])-(Table23[[#This Row],[Unit Price]]*Table23[[#This Row],[Dscount]])*Table23[[#This Row],[Quantity]]</f>
        <v>207.16199999999998</v>
      </c>
      <c r="K60" s="8">
        <v>134.892</v>
      </c>
      <c r="L60" s="8">
        <f>Table23[[#This Row],[Revenue]]-Table23[[#This Row],[Total Cost]]</f>
        <v>72.269999999999982</v>
      </c>
      <c r="M60" s="16">
        <f>(Table23[[#This Row],[Profit]]/Table23[[#This Row],[Revenue]])</f>
        <v>0.34885741593535491</v>
      </c>
      <c r="N60" t="s">
        <v>33</v>
      </c>
    </row>
    <row r="61" spans="1:14" x14ac:dyDescent="0.25">
      <c r="A61" s="11" t="s">
        <v>455</v>
      </c>
      <c r="B61" s="6">
        <v>45829</v>
      </c>
      <c r="C61" s="11" t="s">
        <v>456</v>
      </c>
      <c r="D61" s="11" t="s">
        <v>31</v>
      </c>
      <c r="E61" s="11" t="s">
        <v>68</v>
      </c>
      <c r="F61" s="11" t="s">
        <v>16</v>
      </c>
      <c r="G61" s="7">
        <v>3</v>
      </c>
      <c r="H61" s="8">
        <v>47.21</v>
      </c>
      <c r="I61" s="13">
        <v>0.1</v>
      </c>
      <c r="J61" s="8">
        <f>(Table23[[#This Row],[Quantity]]*Table23[[#This Row],[Unit Price]])-(Table23[[#This Row],[Unit Price]]*Table23[[#This Row],[Dscount]])*Table23[[#This Row],[Quantity]]</f>
        <v>127.467</v>
      </c>
      <c r="K61" s="8">
        <v>55.807000000000002</v>
      </c>
      <c r="L61" s="8">
        <f>Table23[[#This Row],[Revenue]]-Table23[[#This Row],[Total Cost]]</f>
        <v>71.66</v>
      </c>
      <c r="M61" s="16">
        <f>(Table23[[#This Row],[Profit]]/Table23[[#This Row],[Revenue]])</f>
        <v>0.56218472232028682</v>
      </c>
      <c r="N61" t="s">
        <v>33</v>
      </c>
    </row>
    <row r="62" spans="1:14" x14ac:dyDescent="0.25">
      <c r="A62" s="11" t="s">
        <v>453</v>
      </c>
      <c r="B62" s="6">
        <v>45964</v>
      </c>
      <c r="C62" s="11" t="s">
        <v>454</v>
      </c>
      <c r="D62" s="11" t="s">
        <v>24</v>
      </c>
      <c r="E62" s="11" t="s">
        <v>47</v>
      </c>
      <c r="F62" s="11" t="s">
        <v>16</v>
      </c>
      <c r="G62" s="7">
        <v>3</v>
      </c>
      <c r="H62" s="8">
        <v>41.4</v>
      </c>
      <c r="I62" s="13">
        <v>0.05</v>
      </c>
      <c r="J62" s="8">
        <f>(Table23[[#This Row],[Quantity]]*Table23[[#This Row],[Unit Price]])-(Table23[[#This Row],[Unit Price]]*Table23[[#This Row],[Dscount]])*Table23[[#This Row],[Quantity]]</f>
        <v>117.99</v>
      </c>
      <c r="K62" s="8">
        <v>46.86999999999999</v>
      </c>
      <c r="L62" s="8">
        <f>Table23[[#This Row],[Revenue]]-Table23[[#This Row],[Total Cost]]</f>
        <v>71.12</v>
      </c>
      <c r="M62" s="16">
        <f>(Table23[[#This Row],[Profit]]/Table23[[#This Row],[Revenue]])</f>
        <v>0.60276294601237401</v>
      </c>
      <c r="N62" t="s">
        <v>33</v>
      </c>
    </row>
    <row r="63" spans="1:14" x14ac:dyDescent="0.25">
      <c r="A63" s="11" t="s">
        <v>1748</v>
      </c>
      <c r="B63" s="6">
        <v>45954</v>
      </c>
      <c r="C63" s="11" t="s">
        <v>321</v>
      </c>
      <c r="D63" s="11" t="s">
        <v>20</v>
      </c>
      <c r="E63" s="11" t="s">
        <v>1422</v>
      </c>
      <c r="F63" s="11" t="s">
        <v>1417</v>
      </c>
      <c r="G63" s="7">
        <v>4</v>
      </c>
      <c r="H63" s="8">
        <v>56.3</v>
      </c>
      <c r="I63" s="13">
        <v>0.1</v>
      </c>
      <c r="J63" s="8">
        <f>(Table23[[#This Row],[Quantity]]*Table23[[#This Row],[Unit Price]])-(Table23[[#This Row],[Unit Price]]*Table23[[#This Row],[Dscount]])*Table23[[#This Row],[Quantity]]</f>
        <v>202.67999999999998</v>
      </c>
      <c r="K63" s="8">
        <v>132.02999999999997</v>
      </c>
      <c r="L63" s="8">
        <f>Table23[[#This Row],[Revenue]]-Table23[[#This Row],[Total Cost]]</f>
        <v>70.650000000000006</v>
      </c>
      <c r="M63" s="16">
        <f>(Table23[[#This Row],[Profit]]/Table23[[#This Row],[Revenue]])</f>
        <v>0.34857904085257557</v>
      </c>
      <c r="N63" t="s">
        <v>48</v>
      </c>
    </row>
    <row r="64" spans="1:14" x14ac:dyDescent="0.25">
      <c r="A64" s="11" t="s">
        <v>451</v>
      </c>
      <c r="B64" s="6">
        <v>45854</v>
      </c>
      <c r="C64" s="11" t="s">
        <v>452</v>
      </c>
      <c r="D64" s="11" t="s">
        <v>14</v>
      </c>
      <c r="E64" s="11" t="s">
        <v>68</v>
      </c>
      <c r="F64" s="11" t="s">
        <v>16</v>
      </c>
      <c r="G64" s="7">
        <v>5</v>
      </c>
      <c r="H64" s="8">
        <v>34.72</v>
      </c>
      <c r="I64" s="13">
        <v>0.1</v>
      </c>
      <c r="J64" s="8">
        <f>(Table23[[#This Row],[Quantity]]*Table23[[#This Row],[Unit Price]])-(Table23[[#This Row],[Unit Price]]*Table23[[#This Row],[Dscount]])*Table23[[#This Row],[Quantity]]</f>
        <v>156.24</v>
      </c>
      <c r="K64" s="8">
        <v>86.18</v>
      </c>
      <c r="L64" s="8">
        <f>Table23[[#This Row],[Revenue]]-Table23[[#This Row],[Total Cost]]</f>
        <v>70.06</v>
      </c>
      <c r="M64" s="16">
        <f>(Table23[[#This Row],[Profit]]/Table23[[#This Row],[Revenue]])</f>
        <v>0.44841269841269837</v>
      </c>
      <c r="N64" t="s">
        <v>17</v>
      </c>
    </row>
    <row r="65" spans="1:14" x14ac:dyDescent="0.25">
      <c r="A65" s="11" t="s">
        <v>779</v>
      </c>
      <c r="B65" s="6">
        <v>45881</v>
      </c>
      <c r="C65" s="11" t="s">
        <v>454</v>
      </c>
      <c r="D65" s="11" t="s">
        <v>14</v>
      </c>
      <c r="E65" s="11" t="s">
        <v>483</v>
      </c>
      <c r="F65" s="11" t="s">
        <v>480</v>
      </c>
      <c r="G65" s="7">
        <v>2</v>
      </c>
      <c r="H65" s="8">
        <v>81.45</v>
      </c>
      <c r="I65" s="13">
        <v>0.1</v>
      </c>
      <c r="J65" s="8">
        <f>(Table23[[#This Row],[Quantity]]*Table23[[#This Row],[Unit Price]])-(Table23[[#This Row],[Unit Price]]*Table23[[#This Row],[Dscount]])*Table23[[#This Row],[Quantity]]</f>
        <v>146.61000000000001</v>
      </c>
      <c r="K65" s="8">
        <v>76.870000000000019</v>
      </c>
      <c r="L65" s="8">
        <f>Table23[[#This Row],[Revenue]]-Table23[[#This Row],[Total Cost]]</f>
        <v>69.739999999999995</v>
      </c>
      <c r="M65" s="16">
        <f>(Table23[[#This Row],[Profit]]/Table23[[#This Row],[Revenue]])</f>
        <v>0.47568378691767266</v>
      </c>
      <c r="N65" t="s">
        <v>33</v>
      </c>
    </row>
    <row r="66" spans="1:14" x14ac:dyDescent="0.25">
      <c r="A66" s="11" t="s">
        <v>449</v>
      </c>
      <c r="B66" s="6">
        <v>45629</v>
      </c>
      <c r="C66" s="11" t="s">
        <v>450</v>
      </c>
      <c r="D66" s="11" t="s">
        <v>24</v>
      </c>
      <c r="E66" s="11" t="s">
        <v>68</v>
      </c>
      <c r="F66" s="11" t="s">
        <v>16</v>
      </c>
      <c r="G66" s="7">
        <v>5</v>
      </c>
      <c r="H66" s="8">
        <v>28.97</v>
      </c>
      <c r="I66" s="13">
        <v>0.2</v>
      </c>
      <c r="J66" s="8">
        <f>(Table23[[#This Row],[Quantity]]*Table23[[#This Row],[Unit Price]])-(Table23[[#This Row],[Unit Price]]*Table23[[#This Row],[Dscount]])*Table23[[#This Row],[Quantity]]</f>
        <v>115.88</v>
      </c>
      <c r="K66" s="8">
        <v>46.839999999999989</v>
      </c>
      <c r="L66" s="8">
        <f>Table23[[#This Row],[Revenue]]-Table23[[#This Row],[Total Cost]]</f>
        <v>69.040000000000006</v>
      </c>
      <c r="M66" s="16">
        <f>(Table23[[#This Row],[Profit]]/Table23[[#This Row],[Revenue]])</f>
        <v>0.59578874697963413</v>
      </c>
      <c r="N66" t="s">
        <v>33</v>
      </c>
    </row>
    <row r="67" spans="1:14" x14ac:dyDescent="0.25">
      <c r="A67" s="11" t="s">
        <v>1746</v>
      </c>
      <c r="B67" s="6">
        <v>45907</v>
      </c>
      <c r="C67" s="11" t="s">
        <v>1747</v>
      </c>
      <c r="D67" s="11" t="s">
        <v>20</v>
      </c>
      <c r="E67" s="11" t="s">
        <v>1420</v>
      </c>
      <c r="F67" s="11" t="s">
        <v>1417</v>
      </c>
      <c r="G67" s="7">
        <v>5</v>
      </c>
      <c r="H67" s="8">
        <v>58.49</v>
      </c>
      <c r="I67" s="13">
        <v>0.05</v>
      </c>
      <c r="J67" s="8">
        <f>(Table23[[#This Row],[Quantity]]*Table23[[#This Row],[Unit Price]])-(Table23[[#This Row],[Unit Price]]*Table23[[#This Row],[Dscount]])*Table23[[#This Row],[Quantity]]</f>
        <v>277.82749999999999</v>
      </c>
      <c r="K67" s="8">
        <v>208.79749999999999</v>
      </c>
      <c r="L67" s="8">
        <f>Table23[[#This Row],[Revenue]]-Table23[[#This Row],[Total Cost]]</f>
        <v>69.03</v>
      </c>
      <c r="M67" s="16">
        <f>(Table23[[#This Row],[Profit]]/Table23[[#This Row],[Revenue]])</f>
        <v>0.24846352502901983</v>
      </c>
      <c r="N67" t="s">
        <v>33</v>
      </c>
    </row>
    <row r="68" spans="1:14" x14ac:dyDescent="0.25">
      <c r="A68" s="11" t="s">
        <v>447</v>
      </c>
      <c r="B68" s="6">
        <v>45466</v>
      </c>
      <c r="C68" s="11" t="s">
        <v>448</v>
      </c>
      <c r="D68" s="11" t="s">
        <v>20</v>
      </c>
      <c r="E68" s="11" t="s">
        <v>47</v>
      </c>
      <c r="F68" s="11" t="s">
        <v>16</v>
      </c>
      <c r="G68" s="7">
        <v>3</v>
      </c>
      <c r="H68" s="8">
        <v>40.78</v>
      </c>
      <c r="I68" s="13">
        <v>0</v>
      </c>
      <c r="J68" s="8">
        <f>(Table23[[#This Row],[Quantity]]*Table23[[#This Row],[Unit Price]])-(Table23[[#This Row],[Unit Price]]*Table23[[#This Row],[Dscount]])*Table23[[#This Row],[Quantity]]</f>
        <v>122.34</v>
      </c>
      <c r="K68" s="8">
        <v>53.33</v>
      </c>
      <c r="L68" s="8">
        <f>Table23[[#This Row],[Revenue]]-Table23[[#This Row],[Total Cost]]</f>
        <v>69.010000000000005</v>
      </c>
      <c r="M68" s="16">
        <f>(Table23[[#This Row],[Profit]]/Table23[[#This Row],[Revenue]])</f>
        <v>0.56408370116069972</v>
      </c>
      <c r="N68" t="s">
        <v>33</v>
      </c>
    </row>
    <row r="69" spans="1:14" x14ac:dyDescent="0.25">
      <c r="A69" s="11" t="s">
        <v>1400</v>
      </c>
      <c r="B69" s="6">
        <v>45686</v>
      </c>
      <c r="C69" s="11" t="s">
        <v>722</v>
      </c>
      <c r="D69" s="11" t="s">
        <v>36</v>
      </c>
      <c r="E69" s="11" t="s">
        <v>1132</v>
      </c>
      <c r="F69" s="11" t="s">
        <v>1112</v>
      </c>
      <c r="G69" s="7">
        <v>3</v>
      </c>
      <c r="H69" s="8">
        <v>65.400000000000006</v>
      </c>
      <c r="I69" s="13">
        <v>0.1</v>
      </c>
      <c r="J69" s="8">
        <f>(Table23[[#This Row],[Quantity]]*Table23[[#This Row],[Unit Price]])-(Table23[[#This Row],[Unit Price]]*Table23[[#This Row],[Dscount]])*Table23[[#This Row],[Quantity]]</f>
        <v>176.58</v>
      </c>
      <c r="K69" s="8">
        <v>108.01000000000002</v>
      </c>
      <c r="L69" s="8">
        <f>Table23[[#This Row],[Revenue]]-Table23[[#This Row],[Total Cost]]</f>
        <v>68.569999999999993</v>
      </c>
      <c r="M69" s="16">
        <f>(Table23[[#This Row],[Profit]]/Table23[[#This Row],[Revenue]])</f>
        <v>0.3883225733378638</v>
      </c>
      <c r="N69" t="s">
        <v>33</v>
      </c>
    </row>
    <row r="70" spans="1:14" x14ac:dyDescent="0.25">
      <c r="A70" s="11" t="s">
        <v>777</v>
      </c>
      <c r="B70" s="6">
        <v>45782</v>
      </c>
      <c r="C70" s="11" t="s">
        <v>778</v>
      </c>
      <c r="D70" s="11" t="s">
        <v>24</v>
      </c>
      <c r="E70" s="11" t="s">
        <v>514</v>
      </c>
      <c r="F70" s="11" t="s">
        <v>480</v>
      </c>
      <c r="G70" s="7">
        <v>2</v>
      </c>
      <c r="H70" s="8">
        <v>67.790000000000006</v>
      </c>
      <c r="I70" s="13">
        <v>0.05</v>
      </c>
      <c r="J70" s="8">
        <f>(Table23[[#This Row],[Quantity]]*Table23[[#This Row],[Unit Price]])-(Table23[[#This Row],[Unit Price]]*Table23[[#This Row],[Dscount]])*Table23[[#This Row],[Quantity]]</f>
        <v>128.80100000000002</v>
      </c>
      <c r="K70" s="8">
        <v>60.301000000000016</v>
      </c>
      <c r="L70" s="8">
        <f>Table23[[#This Row],[Revenue]]-Table23[[#This Row],[Total Cost]]</f>
        <v>68.5</v>
      </c>
      <c r="M70" s="16">
        <f>(Table23[[#This Row],[Profit]]/Table23[[#This Row],[Revenue]])</f>
        <v>0.53182816903595465</v>
      </c>
      <c r="N70" t="s">
        <v>17</v>
      </c>
    </row>
    <row r="71" spans="1:14" x14ac:dyDescent="0.25">
      <c r="A71" s="11" t="s">
        <v>1399</v>
      </c>
      <c r="B71" s="6">
        <v>45653</v>
      </c>
      <c r="C71" s="11" t="s">
        <v>128</v>
      </c>
      <c r="D71" s="11" t="s">
        <v>14</v>
      </c>
      <c r="E71" s="11" t="s">
        <v>1117</v>
      </c>
      <c r="F71" s="11" t="s">
        <v>1112</v>
      </c>
      <c r="G71" s="7">
        <v>4</v>
      </c>
      <c r="H71" s="8">
        <v>78.569999999999993</v>
      </c>
      <c r="I71" s="13">
        <v>0.05</v>
      </c>
      <c r="J71" s="8">
        <f>(Table23[[#This Row],[Quantity]]*Table23[[#This Row],[Unit Price]])-(Table23[[#This Row],[Unit Price]]*Table23[[#This Row],[Dscount]])*Table23[[#This Row],[Quantity]]</f>
        <v>298.56599999999997</v>
      </c>
      <c r="K71" s="8">
        <v>230.11599999999999</v>
      </c>
      <c r="L71" s="8">
        <f>Table23[[#This Row],[Revenue]]-Table23[[#This Row],[Total Cost]]</f>
        <v>68.449999999999989</v>
      </c>
      <c r="M71" s="16">
        <f>(Table23[[#This Row],[Profit]]/Table23[[#This Row],[Revenue]])</f>
        <v>0.22926254161558918</v>
      </c>
      <c r="N71" t="s">
        <v>33</v>
      </c>
    </row>
    <row r="72" spans="1:14" x14ac:dyDescent="0.25">
      <c r="A72" s="11" t="s">
        <v>445</v>
      </c>
      <c r="B72" s="6">
        <v>45305</v>
      </c>
      <c r="C72" s="11" t="s">
        <v>446</v>
      </c>
      <c r="D72" s="11" t="s">
        <v>31</v>
      </c>
      <c r="E72" s="11" t="s">
        <v>32</v>
      </c>
      <c r="F72" s="11" t="s">
        <v>16</v>
      </c>
      <c r="G72" s="7">
        <v>3</v>
      </c>
      <c r="H72" s="8">
        <v>44.5</v>
      </c>
      <c r="I72" s="13">
        <v>0.2</v>
      </c>
      <c r="J72" s="8">
        <f>(Table23[[#This Row],[Quantity]]*Table23[[#This Row],[Unit Price]])-(Table23[[#This Row],[Unit Price]]*Table23[[#This Row],[Dscount]])*Table23[[#This Row],[Quantity]]</f>
        <v>106.8</v>
      </c>
      <c r="K72" s="8">
        <v>38.5</v>
      </c>
      <c r="L72" s="8">
        <f>Table23[[#This Row],[Revenue]]-Table23[[#This Row],[Total Cost]]</f>
        <v>68.3</v>
      </c>
      <c r="M72" s="16">
        <f>(Table23[[#This Row],[Profit]]/Table23[[#This Row],[Revenue]])</f>
        <v>0.63951310861423216</v>
      </c>
      <c r="N72" t="s">
        <v>48</v>
      </c>
    </row>
    <row r="73" spans="1:14" x14ac:dyDescent="0.25">
      <c r="A73" s="11" t="s">
        <v>444</v>
      </c>
      <c r="B73" s="6">
        <v>45667</v>
      </c>
      <c r="C73" s="11" t="s">
        <v>414</v>
      </c>
      <c r="D73" s="11" t="s">
        <v>24</v>
      </c>
      <c r="E73" s="11" t="s">
        <v>53</v>
      </c>
      <c r="F73" s="11" t="s">
        <v>16</v>
      </c>
      <c r="G73" s="7">
        <v>3</v>
      </c>
      <c r="H73" s="8">
        <v>35.17</v>
      </c>
      <c r="I73" s="13">
        <v>0</v>
      </c>
      <c r="J73" s="8">
        <f>(Table23[[#This Row],[Quantity]]*Table23[[#This Row],[Unit Price]])-(Table23[[#This Row],[Unit Price]]*Table23[[#This Row],[Dscount]])*Table23[[#This Row],[Quantity]]</f>
        <v>105.51</v>
      </c>
      <c r="K73" s="8">
        <v>37.790000000000006</v>
      </c>
      <c r="L73" s="8">
        <f>Table23[[#This Row],[Revenue]]-Table23[[#This Row],[Total Cost]]</f>
        <v>67.72</v>
      </c>
      <c r="M73" s="16">
        <f>(Table23[[#This Row],[Profit]]/Table23[[#This Row],[Revenue]])</f>
        <v>0.64183489716614539</v>
      </c>
      <c r="N73" t="s">
        <v>33</v>
      </c>
    </row>
    <row r="74" spans="1:14" x14ac:dyDescent="0.25">
      <c r="A74" s="11" t="s">
        <v>1092</v>
      </c>
      <c r="B74" s="6">
        <v>45605</v>
      </c>
      <c r="C74" s="11" t="s">
        <v>1093</v>
      </c>
      <c r="D74" s="11" t="s">
        <v>36</v>
      </c>
      <c r="E74" s="11" t="s">
        <v>832</v>
      </c>
      <c r="F74" s="11" t="s">
        <v>833</v>
      </c>
      <c r="G74" s="7">
        <v>4</v>
      </c>
      <c r="H74" s="8">
        <v>83.12</v>
      </c>
      <c r="I74" s="13">
        <v>0.1</v>
      </c>
      <c r="J74" s="8">
        <f>(Table23[[#This Row],[Quantity]]*Table23[[#This Row],[Unit Price]])-(Table23[[#This Row],[Unit Price]]*Table23[[#This Row],[Dscount]])*Table23[[#This Row],[Quantity]]</f>
        <v>299.23200000000003</v>
      </c>
      <c r="K74" s="8">
        <v>231.54200000000003</v>
      </c>
      <c r="L74" s="8">
        <f>Table23[[#This Row],[Revenue]]-Table23[[#This Row],[Total Cost]]</f>
        <v>67.69</v>
      </c>
      <c r="M74" s="16">
        <f>(Table23[[#This Row],[Profit]]/Table23[[#This Row],[Revenue]])</f>
        <v>0.2262124371724949</v>
      </c>
      <c r="N74" t="s">
        <v>17</v>
      </c>
    </row>
    <row r="75" spans="1:14" x14ac:dyDescent="0.25">
      <c r="A75" s="11" t="s">
        <v>442</v>
      </c>
      <c r="B75" s="6">
        <v>45487</v>
      </c>
      <c r="C75" s="11" t="s">
        <v>443</v>
      </c>
      <c r="D75" s="11" t="s">
        <v>14</v>
      </c>
      <c r="E75" s="11" t="s">
        <v>28</v>
      </c>
      <c r="F75" s="11" t="s">
        <v>16</v>
      </c>
      <c r="G75" s="7">
        <v>4</v>
      </c>
      <c r="H75" s="8">
        <v>29.19</v>
      </c>
      <c r="I75" s="13">
        <v>0</v>
      </c>
      <c r="J75" s="8">
        <f>(Table23[[#This Row],[Quantity]]*Table23[[#This Row],[Unit Price]])-(Table23[[#This Row],[Unit Price]]*Table23[[#This Row],[Dscount]])*Table23[[#This Row],[Quantity]]</f>
        <v>116.76</v>
      </c>
      <c r="K75" s="8">
        <v>49.180000000000007</v>
      </c>
      <c r="L75" s="8">
        <f>Table23[[#This Row],[Revenue]]-Table23[[#This Row],[Total Cost]]</f>
        <v>67.58</v>
      </c>
      <c r="M75" s="16">
        <f>(Table23[[#This Row],[Profit]]/Table23[[#This Row],[Revenue]])</f>
        <v>0.57879410757108596</v>
      </c>
      <c r="N75" t="s">
        <v>33</v>
      </c>
    </row>
    <row r="76" spans="1:14" x14ac:dyDescent="0.25">
      <c r="A76" s="11" t="s">
        <v>775</v>
      </c>
      <c r="B76" s="6">
        <v>45449</v>
      </c>
      <c r="C76" s="11" t="s">
        <v>776</v>
      </c>
      <c r="D76" s="11" t="s">
        <v>14</v>
      </c>
      <c r="E76" s="11" t="s">
        <v>505</v>
      </c>
      <c r="F76" s="11" t="s">
        <v>480</v>
      </c>
      <c r="G76" s="7">
        <v>2</v>
      </c>
      <c r="H76" s="8">
        <v>73.61</v>
      </c>
      <c r="I76" s="13">
        <v>0.1</v>
      </c>
      <c r="J76" s="8">
        <f>(Table23[[#This Row],[Quantity]]*Table23[[#This Row],[Unit Price]])-(Table23[[#This Row],[Unit Price]]*Table23[[#This Row],[Dscount]])*Table23[[#This Row],[Quantity]]</f>
        <v>132.49799999999999</v>
      </c>
      <c r="K76" s="8">
        <v>66.087999999999994</v>
      </c>
      <c r="L76" s="8">
        <f>Table23[[#This Row],[Revenue]]-Table23[[#This Row],[Total Cost]]</f>
        <v>66.41</v>
      </c>
      <c r="M76" s="16">
        <f>(Table23[[#This Row],[Profit]]/Table23[[#This Row],[Revenue]])</f>
        <v>0.5012151126809461</v>
      </c>
      <c r="N76" t="s">
        <v>48</v>
      </c>
    </row>
    <row r="77" spans="1:14" x14ac:dyDescent="0.25">
      <c r="A77" s="11" t="s">
        <v>1398</v>
      </c>
      <c r="B77" s="6">
        <v>45695</v>
      </c>
      <c r="C77" s="11" t="s">
        <v>404</v>
      </c>
      <c r="D77" s="11" t="s">
        <v>36</v>
      </c>
      <c r="E77" s="11" t="s">
        <v>1124</v>
      </c>
      <c r="F77" s="11" t="s">
        <v>1112</v>
      </c>
      <c r="G77" s="7">
        <v>3</v>
      </c>
      <c r="H77" s="8">
        <v>63.39</v>
      </c>
      <c r="I77" s="13">
        <v>0.05</v>
      </c>
      <c r="J77" s="8">
        <f>(Table23[[#This Row],[Quantity]]*Table23[[#This Row],[Unit Price]])-(Table23[[#This Row],[Unit Price]]*Table23[[#This Row],[Dscount]])*Table23[[#This Row],[Quantity]]</f>
        <v>180.66150000000002</v>
      </c>
      <c r="K77" s="8">
        <v>114.28150000000002</v>
      </c>
      <c r="L77" s="8">
        <f>Table23[[#This Row],[Revenue]]-Table23[[#This Row],[Total Cost]]</f>
        <v>66.38</v>
      </c>
      <c r="M77" s="16">
        <f>(Table23[[#This Row],[Profit]]/Table23[[#This Row],[Revenue]])</f>
        <v>0.367427481782228</v>
      </c>
      <c r="N77" t="s">
        <v>33</v>
      </c>
    </row>
    <row r="78" spans="1:14" x14ac:dyDescent="0.25">
      <c r="A78" s="11" t="s">
        <v>773</v>
      </c>
      <c r="B78" s="6">
        <v>46012</v>
      </c>
      <c r="C78" s="11" t="s">
        <v>774</v>
      </c>
      <c r="D78" s="11" t="s">
        <v>31</v>
      </c>
      <c r="E78" s="11" t="s">
        <v>483</v>
      </c>
      <c r="F78" s="11" t="s">
        <v>480</v>
      </c>
      <c r="G78" s="7">
        <v>4</v>
      </c>
      <c r="H78" s="8">
        <v>53.56</v>
      </c>
      <c r="I78" s="13">
        <v>0</v>
      </c>
      <c r="J78" s="8">
        <f>(Table23[[#This Row],[Quantity]]*Table23[[#This Row],[Unit Price]])-(Table23[[#This Row],[Unit Price]]*Table23[[#This Row],[Dscount]])*Table23[[#This Row],[Quantity]]</f>
        <v>214.24</v>
      </c>
      <c r="K78" s="8">
        <v>147.9</v>
      </c>
      <c r="L78" s="8">
        <f>Table23[[#This Row],[Revenue]]-Table23[[#This Row],[Total Cost]]</f>
        <v>66.34</v>
      </c>
      <c r="M78" s="16">
        <f>(Table23[[#This Row],[Profit]]/Table23[[#This Row],[Revenue]])</f>
        <v>0.30965272591486181</v>
      </c>
      <c r="N78" t="s">
        <v>33</v>
      </c>
    </row>
    <row r="79" spans="1:14" x14ac:dyDescent="0.25">
      <c r="A79" s="11" t="s">
        <v>1091</v>
      </c>
      <c r="B79" s="6">
        <v>45964</v>
      </c>
      <c r="C79" s="11" t="s">
        <v>614</v>
      </c>
      <c r="D79" s="11" t="s">
        <v>36</v>
      </c>
      <c r="E79" s="11" t="s">
        <v>843</v>
      </c>
      <c r="F79" s="11" t="s">
        <v>833</v>
      </c>
      <c r="G79" s="7">
        <v>3</v>
      </c>
      <c r="H79" s="8">
        <v>110.46</v>
      </c>
      <c r="I79" s="13">
        <v>0</v>
      </c>
      <c r="J79" s="8">
        <f>(Table23[[#This Row],[Quantity]]*Table23[[#This Row],[Unit Price]])-(Table23[[#This Row],[Unit Price]]*Table23[[#This Row],[Dscount]])*Table23[[#This Row],[Quantity]]</f>
        <v>331.38</v>
      </c>
      <c r="K79" s="8">
        <v>265.61</v>
      </c>
      <c r="L79" s="8">
        <f>Table23[[#This Row],[Revenue]]-Table23[[#This Row],[Total Cost]]</f>
        <v>65.769999999999982</v>
      </c>
      <c r="M79" s="16">
        <f>(Table23[[#This Row],[Profit]]/Table23[[#This Row],[Revenue]])</f>
        <v>0.19847305208521934</v>
      </c>
      <c r="N79" t="s">
        <v>33</v>
      </c>
    </row>
    <row r="80" spans="1:14" x14ac:dyDescent="0.25">
      <c r="A80" s="11" t="s">
        <v>1089</v>
      </c>
      <c r="B80" s="6">
        <v>45911</v>
      </c>
      <c r="C80" s="11" t="s">
        <v>1090</v>
      </c>
      <c r="D80" s="11" t="s">
        <v>20</v>
      </c>
      <c r="E80" s="11" t="s">
        <v>848</v>
      </c>
      <c r="F80" s="11" t="s">
        <v>833</v>
      </c>
      <c r="G80" s="7">
        <v>4</v>
      </c>
      <c r="H80" s="8">
        <v>95.05</v>
      </c>
      <c r="I80" s="13">
        <v>0.05</v>
      </c>
      <c r="J80" s="8">
        <f>(Table23[[#This Row],[Quantity]]*Table23[[#This Row],[Unit Price]])-(Table23[[#This Row],[Unit Price]]*Table23[[#This Row],[Dscount]])*Table23[[#This Row],[Quantity]]</f>
        <v>361.19</v>
      </c>
      <c r="K80" s="8">
        <v>295.49</v>
      </c>
      <c r="L80" s="8">
        <f>Table23[[#This Row],[Revenue]]-Table23[[#This Row],[Total Cost]]</f>
        <v>65.699999999999989</v>
      </c>
      <c r="M80" s="16">
        <f>(Table23[[#This Row],[Profit]]/Table23[[#This Row],[Revenue]])</f>
        <v>0.18189872366344581</v>
      </c>
      <c r="N80" t="s">
        <v>17</v>
      </c>
    </row>
    <row r="81" spans="1:14" x14ac:dyDescent="0.25">
      <c r="A81" s="11" t="s">
        <v>440</v>
      </c>
      <c r="B81" s="6">
        <v>45611</v>
      </c>
      <c r="C81" s="11" t="s">
        <v>441</v>
      </c>
      <c r="D81" s="11" t="s">
        <v>14</v>
      </c>
      <c r="E81" s="11" t="s">
        <v>47</v>
      </c>
      <c r="F81" s="11" t="s">
        <v>16</v>
      </c>
      <c r="G81" s="7">
        <v>3</v>
      </c>
      <c r="H81" s="8">
        <v>46.55</v>
      </c>
      <c r="I81" s="13">
        <v>0</v>
      </c>
      <c r="J81" s="8">
        <f>(Table23[[#This Row],[Quantity]]*Table23[[#This Row],[Unit Price]])-(Table23[[#This Row],[Unit Price]]*Table23[[#This Row],[Dscount]])*Table23[[#This Row],[Quantity]]</f>
        <v>139.64999999999998</v>
      </c>
      <c r="K81" s="8">
        <v>74.149999999999977</v>
      </c>
      <c r="L81" s="8">
        <f>Table23[[#This Row],[Revenue]]-Table23[[#This Row],[Total Cost]]</f>
        <v>65.5</v>
      </c>
      <c r="M81" s="16">
        <f>(Table23[[#This Row],[Profit]]/Table23[[#This Row],[Revenue]])</f>
        <v>0.46902971715001796</v>
      </c>
      <c r="N81" t="s">
        <v>33</v>
      </c>
    </row>
    <row r="82" spans="1:14" x14ac:dyDescent="0.25">
      <c r="A82" s="11" t="s">
        <v>771</v>
      </c>
      <c r="B82" s="6">
        <v>45609</v>
      </c>
      <c r="C82" s="11" t="s">
        <v>772</v>
      </c>
      <c r="D82" s="11" t="s">
        <v>20</v>
      </c>
      <c r="E82" s="11" t="s">
        <v>500</v>
      </c>
      <c r="F82" s="11" t="s">
        <v>480</v>
      </c>
      <c r="G82" s="7">
        <v>2</v>
      </c>
      <c r="H82" s="8">
        <v>63.15</v>
      </c>
      <c r="I82" s="13">
        <v>0</v>
      </c>
      <c r="J82" s="8">
        <f>(Table23[[#This Row],[Quantity]]*Table23[[#This Row],[Unit Price]])-(Table23[[#This Row],[Unit Price]]*Table23[[#This Row],[Dscount]])*Table23[[#This Row],[Quantity]]</f>
        <v>126.3</v>
      </c>
      <c r="K82" s="8">
        <v>60.97</v>
      </c>
      <c r="L82" s="8">
        <f>Table23[[#This Row],[Revenue]]-Table23[[#This Row],[Total Cost]]</f>
        <v>65.33</v>
      </c>
      <c r="M82" s="16">
        <f>(Table23[[#This Row],[Profit]]/Table23[[#This Row],[Revenue]])</f>
        <v>0.51726049089469517</v>
      </c>
      <c r="N82" t="s">
        <v>33</v>
      </c>
    </row>
    <row r="83" spans="1:14" x14ac:dyDescent="0.25">
      <c r="A83" s="11" t="s">
        <v>1745</v>
      </c>
      <c r="B83" s="6">
        <v>45716</v>
      </c>
      <c r="C83" s="11" t="s">
        <v>1101</v>
      </c>
      <c r="D83" s="11" t="s">
        <v>14</v>
      </c>
      <c r="E83" s="11" t="s">
        <v>1422</v>
      </c>
      <c r="F83" s="11" t="s">
        <v>1417</v>
      </c>
      <c r="G83" s="7">
        <v>4</v>
      </c>
      <c r="H83" s="8">
        <v>56.37</v>
      </c>
      <c r="I83" s="13">
        <v>0.1</v>
      </c>
      <c r="J83" s="8">
        <f>(Table23[[#This Row],[Quantity]]*Table23[[#This Row],[Unit Price]])-(Table23[[#This Row],[Unit Price]]*Table23[[#This Row],[Dscount]])*Table23[[#This Row],[Quantity]]</f>
        <v>202.93199999999999</v>
      </c>
      <c r="K83" s="8">
        <v>137.90199999999999</v>
      </c>
      <c r="L83" s="8">
        <f>Table23[[#This Row],[Revenue]]-Table23[[#This Row],[Total Cost]]</f>
        <v>65.03</v>
      </c>
      <c r="M83" s="16">
        <f>(Table23[[#This Row],[Profit]]/Table23[[#This Row],[Revenue]])</f>
        <v>0.32045217117063846</v>
      </c>
      <c r="N83" t="s">
        <v>48</v>
      </c>
    </row>
    <row r="84" spans="1:14" x14ac:dyDescent="0.25">
      <c r="A84" s="11" t="s">
        <v>770</v>
      </c>
      <c r="B84" s="6">
        <v>45633</v>
      </c>
      <c r="C84" s="11" t="s">
        <v>471</v>
      </c>
      <c r="D84" s="11" t="s">
        <v>14</v>
      </c>
      <c r="E84" s="11" t="s">
        <v>489</v>
      </c>
      <c r="F84" s="11" t="s">
        <v>480</v>
      </c>
      <c r="G84" s="7">
        <v>2</v>
      </c>
      <c r="H84" s="8">
        <v>75.09</v>
      </c>
      <c r="I84" s="13">
        <v>0.05</v>
      </c>
      <c r="J84" s="8">
        <f>(Table23[[#This Row],[Quantity]]*Table23[[#This Row],[Unit Price]])-(Table23[[#This Row],[Unit Price]]*Table23[[#This Row],[Dscount]])*Table23[[#This Row],[Quantity]]</f>
        <v>142.67099999999999</v>
      </c>
      <c r="K84" s="8">
        <v>78.130999999999986</v>
      </c>
      <c r="L84" s="8">
        <f>Table23[[#This Row],[Revenue]]-Table23[[#This Row],[Total Cost]]</f>
        <v>64.540000000000006</v>
      </c>
      <c r="M84" s="16">
        <f>(Table23[[#This Row],[Profit]]/Table23[[#This Row],[Revenue]])</f>
        <v>0.45236943737690216</v>
      </c>
      <c r="N84" t="s">
        <v>17</v>
      </c>
    </row>
    <row r="85" spans="1:14" x14ac:dyDescent="0.25">
      <c r="A85" s="11" t="s">
        <v>768</v>
      </c>
      <c r="B85" s="6">
        <v>45558</v>
      </c>
      <c r="C85" s="11" t="s">
        <v>769</v>
      </c>
      <c r="D85" s="11" t="s">
        <v>36</v>
      </c>
      <c r="E85" s="11" t="s">
        <v>546</v>
      </c>
      <c r="F85" s="11" t="s">
        <v>480</v>
      </c>
      <c r="G85" s="7">
        <v>2</v>
      </c>
      <c r="H85" s="8">
        <v>68.489999999999995</v>
      </c>
      <c r="I85" s="13">
        <v>0.05</v>
      </c>
      <c r="J85" s="8">
        <f>(Table23[[#This Row],[Quantity]]*Table23[[#This Row],[Unit Price]])-(Table23[[#This Row],[Unit Price]]*Table23[[#This Row],[Dscount]])*Table23[[#This Row],[Quantity]]</f>
        <v>130.131</v>
      </c>
      <c r="K85" s="8">
        <v>65.710999999999999</v>
      </c>
      <c r="L85" s="8">
        <f>Table23[[#This Row],[Revenue]]-Table23[[#This Row],[Total Cost]]</f>
        <v>64.42</v>
      </c>
      <c r="M85" s="16">
        <f>(Table23[[#This Row],[Profit]]/Table23[[#This Row],[Revenue]])</f>
        <v>0.49503961392750384</v>
      </c>
      <c r="N85" t="s">
        <v>33</v>
      </c>
    </row>
    <row r="86" spans="1:14" x14ac:dyDescent="0.25">
      <c r="A86" s="11" t="s">
        <v>1397</v>
      </c>
      <c r="B86" s="6">
        <v>45497</v>
      </c>
      <c r="C86" s="11" t="s">
        <v>276</v>
      </c>
      <c r="D86" s="11" t="s">
        <v>14</v>
      </c>
      <c r="E86" s="11" t="s">
        <v>1114</v>
      </c>
      <c r="F86" s="11" t="s">
        <v>1112</v>
      </c>
      <c r="G86" s="7">
        <v>4</v>
      </c>
      <c r="H86" s="8">
        <v>65.540000000000006</v>
      </c>
      <c r="I86" s="13">
        <v>0.25</v>
      </c>
      <c r="J86" s="8">
        <f>(Table23[[#This Row],[Quantity]]*Table23[[#This Row],[Unit Price]])-(Table23[[#This Row],[Unit Price]]*Table23[[#This Row],[Dscount]])*Table23[[#This Row],[Quantity]]</f>
        <v>196.62</v>
      </c>
      <c r="K86" s="8">
        <v>132.23000000000002</v>
      </c>
      <c r="L86" s="8">
        <f>Table23[[#This Row],[Revenue]]-Table23[[#This Row],[Total Cost]]</f>
        <v>64.389999999999986</v>
      </c>
      <c r="M86" s="16">
        <f>(Table23[[#This Row],[Profit]]/Table23[[#This Row],[Revenue]])</f>
        <v>0.32748448784457324</v>
      </c>
      <c r="N86" t="s">
        <v>48</v>
      </c>
    </row>
    <row r="87" spans="1:14" x14ac:dyDescent="0.25">
      <c r="A87" s="11" t="s">
        <v>767</v>
      </c>
      <c r="B87" s="6">
        <v>45628</v>
      </c>
      <c r="C87" s="11" t="s">
        <v>556</v>
      </c>
      <c r="D87" s="11" t="s">
        <v>20</v>
      </c>
      <c r="E87" s="11" t="s">
        <v>496</v>
      </c>
      <c r="F87" s="11" t="s">
        <v>480</v>
      </c>
      <c r="G87" s="7">
        <v>2</v>
      </c>
      <c r="H87" s="8">
        <v>83.04</v>
      </c>
      <c r="I87" s="13">
        <v>0.2</v>
      </c>
      <c r="J87" s="8">
        <f>(Table23[[#This Row],[Quantity]]*Table23[[#This Row],[Unit Price]])-(Table23[[#This Row],[Unit Price]]*Table23[[#This Row],[Dscount]])*Table23[[#This Row],[Quantity]]</f>
        <v>132.864</v>
      </c>
      <c r="K87" s="8">
        <v>68.674000000000007</v>
      </c>
      <c r="L87" s="8">
        <f>Table23[[#This Row],[Revenue]]-Table23[[#This Row],[Total Cost]]</f>
        <v>64.19</v>
      </c>
      <c r="M87" s="16">
        <f>(Table23[[#This Row],[Profit]]/Table23[[#This Row],[Revenue]])</f>
        <v>0.48312560211946048</v>
      </c>
      <c r="N87" t="s">
        <v>17</v>
      </c>
    </row>
    <row r="88" spans="1:14" x14ac:dyDescent="0.25">
      <c r="A88" s="11" t="s">
        <v>1088</v>
      </c>
      <c r="B88" s="6">
        <v>45957</v>
      </c>
      <c r="C88" s="11" t="s">
        <v>160</v>
      </c>
      <c r="D88" s="11" t="s">
        <v>20</v>
      </c>
      <c r="E88" s="11" t="s">
        <v>860</v>
      </c>
      <c r="F88" s="11" t="s">
        <v>833</v>
      </c>
      <c r="G88" s="7">
        <v>4</v>
      </c>
      <c r="H88" s="8">
        <v>136.08000000000001</v>
      </c>
      <c r="I88" s="13">
        <v>0</v>
      </c>
      <c r="J88" s="8">
        <f>(Table23[[#This Row],[Quantity]]*Table23[[#This Row],[Unit Price]])-(Table23[[#This Row],[Unit Price]]*Table23[[#This Row],[Dscount]])*Table23[[#This Row],[Quantity]]</f>
        <v>544.32000000000005</v>
      </c>
      <c r="K88" s="8">
        <v>480.14000000000004</v>
      </c>
      <c r="L88" s="8">
        <f>Table23[[#This Row],[Revenue]]-Table23[[#This Row],[Total Cost]]</f>
        <v>64.180000000000007</v>
      </c>
      <c r="M88" s="16">
        <f>(Table23[[#This Row],[Profit]]/Table23[[#This Row],[Revenue]])</f>
        <v>0.11790858318636097</v>
      </c>
      <c r="N88" t="s">
        <v>17</v>
      </c>
    </row>
    <row r="89" spans="1:14" x14ac:dyDescent="0.25">
      <c r="A89" s="11" t="s">
        <v>766</v>
      </c>
      <c r="B89" s="6">
        <v>45630</v>
      </c>
      <c r="C89" s="11" t="s">
        <v>429</v>
      </c>
      <c r="D89" s="11" t="s">
        <v>14</v>
      </c>
      <c r="E89" s="11" t="s">
        <v>505</v>
      </c>
      <c r="F89" s="11" t="s">
        <v>480</v>
      </c>
      <c r="G89" s="7">
        <v>2</v>
      </c>
      <c r="H89" s="8">
        <v>80.599999999999994</v>
      </c>
      <c r="I89" s="13">
        <v>0.25</v>
      </c>
      <c r="J89" s="8">
        <f>(Table23[[#This Row],[Quantity]]*Table23[[#This Row],[Unit Price]])-(Table23[[#This Row],[Unit Price]]*Table23[[#This Row],[Dscount]])*Table23[[#This Row],[Quantity]]</f>
        <v>120.89999999999999</v>
      </c>
      <c r="K89" s="8">
        <v>56.919999999999995</v>
      </c>
      <c r="L89" s="8">
        <f>Table23[[#This Row],[Revenue]]-Table23[[#This Row],[Total Cost]]</f>
        <v>63.98</v>
      </c>
      <c r="M89" s="16">
        <f>(Table23[[#This Row],[Profit]]/Table23[[#This Row],[Revenue]])</f>
        <v>0.52919768403639378</v>
      </c>
      <c r="N89" t="s">
        <v>17</v>
      </c>
    </row>
    <row r="90" spans="1:14" x14ac:dyDescent="0.25">
      <c r="A90" s="11" t="s">
        <v>1396</v>
      </c>
      <c r="B90" s="6">
        <v>45562</v>
      </c>
      <c r="C90" s="11" t="s">
        <v>1388</v>
      </c>
      <c r="D90" s="11" t="s">
        <v>31</v>
      </c>
      <c r="E90" s="11" t="s">
        <v>1184</v>
      </c>
      <c r="F90" s="11" t="s">
        <v>1112</v>
      </c>
      <c r="G90" s="7">
        <v>4</v>
      </c>
      <c r="H90" s="8">
        <v>62.74</v>
      </c>
      <c r="I90" s="13">
        <v>0.15</v>
      </c>
      <c r="J90" s="8">
        <f>(Table23[[#This Row],[Quantity]]*Table23[[#This Row],[Unit Price]])-(Table23[[#This Row],[Unit Price]]*Table23[[#This Row],[Dscount]])*Table23[[#This Row],[Quantity]]</f>
        <v>213.316</v>
      </c>
      <c r="K90" s="8">
        <v>149.386</v>
      </c>
      <c r="L90" s="8">
        <f>Table23[[#This Row],[Revenue]]-Table23[[#This Row],[Total Cost]]</f>
        <v>63.930000000000007</v>
      </c>
      <c r="M90" s="16">
        <f>(Table23[[#This Row],[Profit]]/Table23[[#This Row],[Revenue]])</f>
        <v>0.29969622531830714</v>
      </c>
      <c r="N90" t="s">
        <v>33</v>
      </c>
    </row>
    <row r="91" spans="1:14" x14ac:dyDescent="0.25">
      <c r="A91" s="11" t="s">
        <v>765</v>
      </c>
      <c r="B91" s="6">
        <v>45560</v>
      </c>
      <c r="C91" s="11" t="s">
        <v>19</v>
      </c>
      <c r="D91" s="11" t="s">
        <v>14</v>
      </c>
      <c r="E91" s="11" t="s">
        <v>546</v>
      </c>
      <c r="F91" s="11" t="s">
        <v>480</v>
      </c>
      <c r="G91" s="7">
        <v>3</v>
      </c>
      <c r="H91" s="8">
        <v>52.53</v>
      </c>
      <c r="I91" s="13">
        <v>0</v>
      </c>
      <c r="J91" s="8">
        <f>(Table23[[#This Row],[Quantity]]*Table23[[#This Row],[Unit Price]])-(Table23[[#This Row],[Unit Price]]*Table23[[#This Row],[Dscount]])*Table23[[#This Row],[Quantity]]</f>
        <v>157.59</v>
      </c>
      <c r="K91" s="8">
        <v>93.75</v>
      </c>
      <c r="L91" s="8">
        <f>Table23[[#This Row],[Revenue]]-Table23[[#This Row],[Total Cost]]</f>
        <v>63.84</v>
      </c>
      <c r="M91" s="16">
        <f>(Table23[[#This Row],[Profit]]/Table23[[#This Row],[Revenue]])</f>
        <v>0.40510184656386827</v>
      </c>
      <c r="N91" t="s">
        <v>17</v>
      </c>
    </row>
    <row r="92" spans="1:14" x14ac:dyDescent="0.25">
      <c r="A92" s="11" t="s">
        <v>1395</v>
      </c>
      <c r="B92" s="6">
        <v>46004</v>
      </c>
      <c r="C92" s="11" t="s">
        <v>144</v>
      </c>
      <c r="D92" s="11" t="s">
        <v>14</v>
      </c>
      <c r="E92" s="11" t="s">
        <v>1134</v>
      </c>
      <c r="F92" s="11" t="s">
        <v>1112</v>
      </c>
      <c r="G92" s="7">
        <v>3</v>
      </c>
      <c r="H92" s="8">
        <v>75.459999999999994</v>
      </c>
      <c r="I92" s="13">
        <v>0.2</v>
      </c>
      <c r="J92" s="8">
        <f>(Table23[[#This Row],[Quantity]]*Table23[[#This Row],[Unit Price]])-(Table23[[#This Row],[Unit Price]]*Table23[[#This Row],[Dscount]])*Table23[[#This Row],[Quantity]]</f>
        <v>181.10399999999998</v>
      </c>
      <c r="K92" s="8">
        <v>117.34399999999999</v>
      </c>
      <c r="L92" s="8">
        <f>Table23[[#This Row],[Revenue]]-Table23[[#This Row],[Total Cost]]</f>
        <v>63.759999999999991</v>
      </c>
      <c r="M92" s="16">
        <f>(Table23[[#This Row],[Profit]]/Table23[[#This Row],[Revenue]])</f>
        <v>0.35206290308331123</v>
      </c>
      <c r="N92" t="s">
        <v>17</v>
      </c>
    </row>
    <row r="93" spans="1:14" x14ac:dyDescent="0.25">
      <c r="A93" s="11" t="s">
        <v>1744</v>
      </c>
      <c r="B93" s="6">
        <v>45987</v>
      </c>
      <c r="C93" s="11" t="s">
        <v>1520</v>
      </c>
      <c r="D93" s="11" t="s">
        <v>31</v>
      </c>
      <c r="E93" s="11" t="s">
        <v>1429</v>
      </c>
      <c r="F93" s="11" t="s">
        <v>1417</v>
      </c>
      <c r="G93" s="7">
        <v>4</v>
      </c>
      <c r="H93" s="8">
        <v>57</v>
      </c>
      <c r="I93" s="13">
        <v>0</v>
      </c>
      <c r="J93" s="8">
        <f>(Table23[[#This Row],[Quantity]]*Table23[[#This Row],[Unit Price]])-(Table23[[#This Row],[Unit Price]]*Table23[[#This Row],[Dscount]])*Table23[[#This Row],[Quantity]]</f>
        <v>228</v>
      </c>
      <c r="K93" s="8">
        <v>164.75</v>
      </c>
      <c r="L93" s="8">
        <f>Table23[[#This Row],[Revenue]]-Table23[[#This Row],[Total Cost]]</f>
        <v>63.25</v>
      </c>
      <c r="M93" s="16">
        <f>(Table23[[#This Row],[Profit]]/Table23[[#This Row],[Revenue]])</f>
        <v>0.27741228070175439</v>
      </c>
      <c r="N93" t="s">
        <v>33</v>
      </c>
    </row>
    <row r="94" spans="1:14" x14ac:dyDescent="0.25">
      <c r="A94" s="11" t="s">
        <v>763</v>
      </c>
      <c r="B94" s="6">
        <v>45326</v>
      </c>
      <c r="C94" s="11" t="s">
        <v>764</v>
      </c>
      <c r="D94" s="11" t="s">
        <v>14</v>
      </c>
      <c r="E94" s="11" t="s">
        <v>486</v>
      </c>
      <c r="F94" s="11" t="s">
        <v>480</v>
      </c>
      <c r="G94" s="7">
        <v>2</v>
      </c>
      <c r="H94" s="8">
        <v>60</v>
      </c>
      <c r="I94" s="13">
        <v>0</v>
      </c>
      <c r="J94" s="8">
        <f>(Table23[[#This Row],[Quantity]]*Table23[[#This Row],[Unit Price]])-(Table23[[#This Row],[Unit Price]]*Table23[[#This Row],[Dscount]])*Table23[[#This Row],[Quantity]]</f>
        <v>120</v>
      </c>
      <c r="K94" s="8">
        <v>56.89</v>
      </c>
      <c r="L94" s="8">
        <f>Table23[[#This Row],[Revenue]]-Table23[[#This Row],[Total Cost]]</f>
        <v>63.11</v>
      </c>
      <c r="M94" s="16">
        <f>(Table23[[#This Row],[Profit]]/Table23[[#This Row],[Revenue]])</f>
        <v>0.5259166666666667</v>
      </c>
      <c r="N94" t="s">
        <v>48</v>
      </c>
    </row>
    <row r="95" spans="1:14" x14ac:dyDescent="0.25">
      <c r="A95" s="11" t="s">
        <v>1086</v>
      </c>
      <c r="B95" s="6">
        <v>45300</v>
      </c>
      <c r="C95" s="11" t="s">
        <v>1087</v>
      </c>
      <c r="D95" s="11" t="s">
        <v>24</v>
      </c>
      <c r="E95" s="11" t="s">
        <v>840</v>
      </c>
      <c r="F95" s="11" t="s">
        <v>833</v>
      </c>
      <c r="G95" s="7">
        <v>2</v>
      </c>
      <c r="H95" s="8">
        <v>133.88999999999999</v>
      </c>
      <c r="I95" s="13">
        <v>0.05</v>
      </c>
      <c r="J95" s="8">
        <f>(Table23[[#This Row],[Quantity]]*Table23[[#This Row],[Unit Price]])-(Table23[[#This Row],[Unit Price]]*Table23[[#This Row],[Dscount]])*Table23[[#This Row],[Quantity]]</f>
        <v>254.39099999999996</v>
      </c>
      <c r="K95" s="8">
        <v>191.73099999999997</v>
      </c>
      <c r="L95" s="8">
        <f>Table23[[#This Row],[Revenue]]-Table23[[#This Row],[Total Cost]]</f>
        <v>62.66</v>
      </c>
      <c r="M95" s="16">
        <f>(Table23[[#This Row],[Profit]]/Table23[[#This Row],[Revenue]])</f>
        <v>0.24631374537621223</v>
      </c>
      <c r="N95" t="s">
        <v>33</v>
      </c>
    </row>
    <row r="96" spans="1:14" x14ac:dyDescent="0.25">
      <c r="A96" s="11" t="s">
        <v>1084</v>
      </c>
      <c r="B96" s="6">
        <v>45971</v>
      </c>
      <c r="C96" s="11" t="s">
        <v>1085</v>
      </c>
      <c r="D96" s="11" t="s">
        <v>20</v>
      </c>
      <c r="E96" s="11" t="s">
        <v>843</v>
      </c>
      <c r="F96" s="11" t="s">
        <v>833</v>
      </c>
      <c r="G96" s="7">
        <v>4</v>
      </c>
      <c r="H96" s="8">
        <v>97.9</v>
      </c>
      <c r="I96" s="13">
        <v>0.15</v>
      </c>
      <c r="J96" s="8">
        <f>(Table23[[#This Row],[Quantity]]*Table23[[#This Row],[Unit Price]])-(Table23[[#This Row],[Unit Price]]*Table23[[#This Row],[Dscount]])*Table23[[#This Row],[Quantity]]</f>
        <v>332.86</v>
      </c>
      <c r="K96" s="8">
        <v>270.70000000000005</v>
      </c>
      <c r="L96" s="8">
        <f>Table23[[#This Row],[Revenue]]-Table23[[#This Row],[Total Cost]]</f>
        <v>62.159999999999968</v>
      </c>
      <c r="M96" s="16">
        <f>(Table23[[#This Row],[Profit]]/Table23[[#This Row],[Revenue]])</f>
        <v>0.18674517815297711</v>
      </c>
      <c r="N96" t="s">
        <v>33</v>
      </c>
    </row>
    <row r="97" spans="1:14" x14ac:dyDescent="0.25">
      <c r="A97" s="11" t="s">
        <v>1082</v>
      </c>
      <c r="B97" s="6">
        <v>45854</v>
      </c>
      <c r="C97" s="11" t="s">
        <v>1083</v>
      </c>
      <c r="D97" s="11" t="s">
        <v>31</v>
      </c>
      <c r="E97" s="11" t="s">
        <v>832</v>
      </c>
      <c r="F97" s="11" t="s">
        <v>833</v>
      </c>
      <c r="G97" s="7">
        <v>5</v>
      </c>
      <c r="H97" s="8">
        <v>115.36</v>
      </c>
      <c r="I97" s="13">
        <v>0.2</v>
      </c>
      <c r="J97" s="8">
        <f>(Table23[[#This Row],[Quantity]]*Table23[[#This Row],[Unit Price]])-(Table23[[#This Row],[Unit Price]]*Table23[[#This Row],[Dscount]])*Table23[[#This Row],[Quantity]]</f>
        <v>461.43999999999994</v>
      </c>
      <c r="K97" s="8">
        <v>399.31999999999994</v>
      </c>
      <c r="L97" s="8">
        <f>Table23[[#This Row],[Revenue]]-Table23[[#This Row],[Total Cost]]</f>
        <v>62.120000000000005</v>
      </c>
      <c r="M97" s="16">
        <f>(Table23[[#This Row],[Profit]]/Table23[[#This Row],[Revenue]])</f>
        <v>0.134622052704577</v>
      </c>
      <c r="N97" t="s">
        <v>33</v>
      </c>
    </row>
    <row r="98" spans="1:14" x14ac:dyDescent="0.25">
      <c r="A98" s="11" t="s">
        <v>762</v>
      </c>
      <c r="B98" s="6">
        <v>45616</v>
      </c>
      <c r="C98" s="11" t="s">
        <v>235</v>
      </c>
      <c r="D98" s="11" t="s">
        <v>36</v>
      </c>
      <c r="E98" s="11" t="s">
        <v>514</v>
      </c>
      <c r="F98" s="11" t="s">
        <v>480</v>
      </c>
      <c r="G98" s="7">
        <v>2</v>
      </c>
      <c r="H98" s="8">
        <v>64.239999999999995</v>
      </c>
      <c r="I98" s="13">
        <v>0</v>
      </c>
      <c r="J98" s="8">
        <f>(Table23[[#This Row],[Quantity]]*Table23[[#This Row],[Unit Price]])-(Table23[[#This Row],[Unit Price]]*Table23[[#This Row],[Dscount]])*Table23[[#This Row],[Quantity]]</f>
        <v>128.47999999999999</v>
      </c>
      <c r="K98" s="8">
        <v>66.589999999999989</v>
      </c>
      <c r="L98" s="8">
        <f>Table23[[#This Row],[Revenue]]-Table23[[#This Row],[Total Cost]]</f>
        <v>61.89</v>
      </c>
      <c r="M98" s="16">
        <f>(Table23[[#This Row],[Profit]]/Table23[[#This Row],[Revenue]])</f>
        <v>0.48170921544209222</v>
      </c>
      <c r="N98" t="s">
        <v>33</v>
      </c>
    </row>
    <row r="99" spans="1:14" x14ac:dyDescent="0.25">
      <c r="A99" s="11" t="s">
        <v>438</v>
      </c>
      <c r="B99" s="6">
        <v>45514</v>
      </c>
      <c r="C99" s="11" t="s">
        <v>439</v>
      </c>
      <c r="D99" s="11" t="s">
        <v>14</v>
      </c>
      <c r="E99" s="11" t="s">
        <v>21</v>
      </c>
      <c r="F99" s="11" t="s">
        <v>16</v>
      </c>
      <c r="G99" s="7">
        <v>2</v>
      </c>
      <c r="H99" s="8">
        <v>49.5</v>
      </c>
      <c r="I99" s="13">
        <v>0</v>
      </c>
      <c r="J99" s="8">
        <f>(Table23[[#This Row],[Quantity]]*Table23[[#This Row],[Unit Price]])-(Table23[[#This Row],[Unit Price]]*Table23[[#This Row],[Dscount]])*Table23[[#This Row],[Quantity]]</f>
        <v>99</v>
      </c>
      <c r="K99" s="8">
        <v>37.46</v>
      </c>
      <c r="L99" s="8">
        <f>Table23[[#This Row],[Revenue]]-Table23[[#This Row],[Total Cost]]</f>
        <v>61.54</v>
      </c>
      <c r="M99" s="16">
        <f>(Table23[[#This Row],[Profit]]/Table23[[#This Row],[Revenue]])</f>
        <v>0.62161616161616162</v>
      </c>
      <c r="N99" t="s">
        <v>17</v>
      </c>
    </row>
    <row r="100" spans="1:14" x14ac:dyDescent="0.25">
      <c r="A100" s="11" t="s">
        <v>760</v>
      </c>
      <c r="B100" s="6">
        <v>45669</v>
      </c>
      <c r="C100" s="11" t="s">
        <v>761</v>
      </c>
      <c r="D100" s="11" t="s">
        <v>14</v>
      </c>
      <c r="E100" s="11" t="s">
        <v>479</v>
      </c>
      <c r="F100" s="11" t="s">
        <v>480</v>
      </c>
      <c r="G100" s="7">
        <v>3</v>
      </c>
      <c r="H100" s="8">
        <v>70.55</v>
      </c>
      <c r="I100" s="13">
        <v>0.1</v>
      </c>
      <c r="J100" s="8">
        <f>(Table23[[#This Row],[Quantity]]*Table23[[#This Row],[Unit Price]])-(Table23[[#This Row],[Unit Price]]*Table23[[#This Row],[Dscount]])*Table23[[#This Row],[Quantity]]</f>
        <v>190.48499999999999</v>
      </c>
      <c r="K100" s="8">
        <v>129.01499999999999</v>
      </c>
      <c r="L100" s="8">
        <f>Table23[[#This Row],[Revenue]]-Table23[[#This Row],[Total Cost]]</f>
        <v>61.47</v>
      </c>
      <c r="M100" s="16">
        <f>(Table23[[#This Row],[Profit]]/Table23[[#This Row],[Revenue]])</f>
        <v>0.32270257500590599</v>
      </c>
      <c r="N100" t="s">
        <v>33</v>
      </c>
    </row>
    <row r="101" spans="1:14" x14ac:dyDescent="0.25">
      <c r="A101" s="11" t="s">
        <v>758</v>
      </c>
      <c r="B101" s="6">
        <v>45944</v>
      </c>
      <c r="C101" s="11" t="s">
        <v>759</v>
      </c>
      <c r="D101" s="11" t="s">
        <v>36</v>
      </c>
      <c r="E101" s="11" t="s">
        <v>479</v>
      </c>
      <c r="F101" s="11" t="s">
        <v>480</v>
      </c>
      <c r="G101" s="7">
        <v>3</v>
      </c>
      <c r="H101" s="8">
        <v>41.47</v>
      </c>
      <c r="I101" s="13">
        <v>0.1</v>
      </c>
      <c r="J101" s="8">
        <f>(Table23[[#This Row],[Quantity]]*Table23[[#This Row],[Unit Price]])-(Table23[[#This Row],[Unit Price]]*Table23[[#This Row],[Dscount]])*Table23[[#This Row],[Quantity]]</f>
        <v>111.96899999999999</v>
      </c>
      <c r="K101" s="8">
        <v>50.678999999999995</v>
      </c>
      <c r="L101" s="8">
        <f>Table23[[#This Row],[Revenue]]-Table23[[#This Row],[Total Cost]]</f>
        <v>61.29</v>
      </c>
      <c r="M101" s="16">
        <f>(Table23[[#This Row],[Profit]]/Table23[[#This Row],[Revenue]])</f>
        <v>0.54738365083192675</v>
      </c>
      <c r="N101" t="s">
        <v>17</v>
      </c>
    </row>
    <row r="102" spans="1:14" x14ac:dyDescent="0.25">
      <c r="A102" s="11" t="s">
        <v>1742</v>
      </c>
      <c r="B102" s="6">
        <v>45308</v>
      </c>
      <c r="C102" s="11" t="s">
        <v>1743</v>
      </c>
      <c r="D102" s="11" t="s">
        <v>20</v>
      </c>
      <c r="E102" s="11" t="s">
        <v>1443</v>
      </c>
      <c r="F102" s="11" t="s">
        <v>1417</v>
      </c>
      <c r="G102" s="7">
        <v>4</v>
      </c>
      <c r="H102" s="8">
        <v>54.32</v>
      </c>
      <c r="I102" s="13">
        <v>0.15</v>
      </c>
      <c r="J102" s="8">
        <f>(Table23[[#This Row],[Quantity]]*Table23[[#This Row],[Unit Price]])-(Table23[[#This Row],[Unit Price]]*Table23[[#This Row],[Dscount]])*Table23[[#This Row],[Quantity]]</f>
        <v>184.68799999999999</v>
      </c>
      <c r="K102" s="8">
        <v>123.71799999999999</v>
      </c>
      <c r="L102" s="8">
        <f>Table23[[#This Row],[Revenue]]-Table23[[#This Row],[Total Cost]]</f>
        <v>60.97</v>
      </c>
      <c r="M102" s="16">
        <f>(Table23[[#This Row],[Profit]]/Table23[[#This Row],[Revenue]])</f>
        <v>0.33012431776834444</v>
      </c>
      <c r="N102" t="s">
        <v>17</v>
      </c>
    </row>
    <row r="103" spans="1:14" x14ac:dyDescent="0.25">
      <c r="A103" s="11" t="s">
        <v>436</v>
      </c>
      <c r="B103" s="6">
        <v>45708</v>
      </c>
      <c r="C103" s="11" t="s">
        <v>437</v>
      </c>
      <c r="D103" s="11" t="s">
        <v>14</v>
      </c>
      <c r="E103" s="11" t="s">
        <v>32</v>
      </c>
      <c r="F103" s="11" t="s">
        <v>16</v>
      </c>
      <c r="G103" s="7">
        <v>5</v>
      </c>
      <c r="H103" s="8">
        <v>21.68</v>
      </c>
      <c r="I103" s="13">
        <v>0.1</v>
      </c>
      <c r="J103" s="8">
        <f>(Table23[[#This Row],[Quantity]]*Table23[[#This Row],[Unit Price]])-(Table23[[#This Row],[Unit Price]]*Table23[[#This Row],[Dscount]])*Table23[[#This Row],[Quantity]]</f>
        <v>97.56</v>
      </c>
      <c r="K103" s="8">
        <v>36.870000000000005</v>
      </c>
      <c r="L103" s="8">
        <f>Table23[[#This Row],[Revenue]]-Table23[[#This Row],[Total Cost]]</f>
        <v>60.69</v>
      </c>
      <c r="M103" s="16">
        <f>(Table23[[#This Row],[Profit]]/Table23[[#This Row],[Revenue]])</f>
        <v>0.62207872078720783</v>
      </c>
      <c r="N103" t="s">
        <v>33</v>
      </c>
    </row>
    <row r="104" spans="1:14" x14ac:dyDescent="0.25">
      <c r="A104" s="11" t="s">
        <v>1080</v>
      </c>
      <c r="B104" s="6">
        <v>46015</v>
      </c>
      <c r="C104" s="11" t="s">
        <v>1081</v>
      </c>
      <c r="D104" s="11" t="s">
        <v>24</v>
      </c>
      <c r="E104" s="11" t="s">
        <v>858</v>
      </c>
      <c r="F104" s="11" t="s">
        <v>833</v>
      </c>
      <c r="G104" s="7">
        <v>4</v>
      </c>
      <c r="H104" s="8">
        <v>101.95</v>
      </c>
      <c r="I104" s="13">
        <v>0.05</v>
      </c>
      <c r="J104" s="8">
        <f>(Table23[[#This Row],[Quantity]]*Table23[[#This Row],[Unit Price]])-(Table23[[#This Row],[Unit Price]]*Table23[[#This Row],[Dscount]])*Table23[[#This Row],[Quantity]]</f>
        <v>387.41</v>
      </c>
      <c r="K104" s="8">
        <v>326.77000000000004</v>
      </c>
      <c r="L104" s="8">
        <f>Table23[[#This Row],[Revenue]]-Table23[[#This Row],[Total Cost]]</f>
        <v>60.639999999999986</v>
      </c>
      <c r="M104" s="16">
        <f>(Table23[[#This Row],[Profit]]/Table23[[#This Row],[Revenue]])</f>
        <v>0.15652667716372831</v>
      </c>
      <c r="N104" t="s">
        <v>48</v>
      </c>
    </row>
    <row r="105" spans="1:14" x14ac:dyDescent="0.25">
      <c r="A105" s="11" t="s">
        <v>1393</v>
      </c>
      <c r="B105" s="6">
        <v>45951</v>
      </c>
      <c r="C105" s="11" t="s">
        <v>1394</v>
      </c>
      <c r="D105" s="11" t="s">
        <v>36</v>
      </c>
      <c r="E105" s="11" t="s">
        <v>1184</v>
      </c>
      <c r="F105" s="11" t="s">
        <v>1112</v>
      </c>
      <c r="G105" s="7">
        <v>3</v>
      </c>
      <c r="H105" s="8">
        <v>59.98</v>
      </c>
      <c r="I105" s="13">
        <v>0</v>
      </c>
      <c r="J105" s="8">
        <f>(Table23[[#This Row],[Quantity]]*Table23[[#This Row],[Unit Price]])-(Table23[[#This Row],[Unit Price]]*Table23[[#This Row],[Dscount]])*Table23[[#This Row],[Quantity]]</f>
        <v>179.94</v>
      </c>
      <c r="K105" s="8">
        <v>119.31</v>
      </c>
      <c r="L105" s="8">
        <f>Table23[[#This Row],[Revenue]]-Table23[[#This Row],[Total Cost]]</f>
        <v>60.629999999999995</v>
      </c>
      <c r="M105" s="16">
        <f>(Table23[[#This Row],[Profit]]/Table23[[#This Row],[Revenue]])</f>
        <v>0.33694564854951647</v>
      </c>
      <c r="N105" t="s">
        <v>17</v>
      </c>
    </row>
    <row r="106" spans="1:14" x14ac:dyDescent="0.25">
      <c r="A106" s="11" t="s">
        <v>1078</v>
      </c>
      <c r="B106" s="6">
        <v>46005</v>
      </c>
      <c r="C106" s="11" t="s">
        <v>1079</v>
      </c>
      <c r="D106" s="11" t="s">
        <v>24</v>
      </c>
      <c r="E106" s="11" t="s">
        <v>832</v>
      </c>
      <c r="F106" s="11" t="s">
        <v>833</v>
      </c>
      <c r="G106" s="7">
        <v>4</v>
      </c>
      <c r="H106" s="8">
        <v>98.09</v>
      </c>
      <c r="I106" s="13">
        <v>0.05</v>
      </c>
      <c r="J106" s="8">
        <f>(Table23[[#This Row],[Quantity]]*Table23[[#This Row],[Unit Price]])-(Table23[[#This Row],[Unit Price]]*Table23[[#This Row],[Dscount]])*Table23[[#This Row],[Quantity]]</f>
        <v>372.74200000000002</v>
      </c>
      <c r="K106" s="8">
        <v>312.322</v>
      </c>
      <c r="L106" s="8">
        <f>Table23[[#This Row],[Revenue]]-Table23[[#This Row],[Total Cost]]</f>
        <v>60.420000000000016</v>
      </c>
      <c r="M106" s="16">
        <f>(Table23[[#This Row],[Profit]]/Table23[[#This Row],[Revenue]])</f>
        <v>0.16209603425425634</v>
      </c>
      <c r="N106" t="s">
        <v>17</v>
      </c>
    </row>
    <row r="107" spans="1:14" x14ac:dyDescent="0.25">
      <c r="A107" s="11" t="s">
        <v>1391</v>
      </c>
      <c r="B107" s="6">
        <v>45456</v>
      </c>
      <c r="C107" s="11" t="s">
        <v>1392</v>
      </c>
      <c r="D107" s="11" t="s">
        <v>14</v>
      </c>
      <c r="E107" s="11" t="s">
        <v>1114</v>
      </c>
      <c r="F107" s="11" t="s">
        <v>1112</v>
      </c>
      <c r="G107" s="7">
        <v>4</v>
      </c>
      <c r="H107" s="8">
        <v>59.7</v>
      </c>
      <c r="I107" s="13">
        <v>0.25</v>
      </c>
      <c r="J107" s="8">
        <f>(Table23[[#This Row],[Quantity]]*Table23[[#This Row],[Unit Price]])-(Table23[[#This Row],[Unit Price]]*Table23[[#This Row],[Dscount]])*Table23[[#This Row],[Quantity]]</f>
        <v>179.10000000000002</v>
      </c>
      <c r="K107" s="8">
        <v>118.70000000000002</v>
      </c>
      <c r="L107" s="8">
        <f>Table23[[#This Row],[Revenue]]-Table23[[#This Row],[Total Cost]]</f>
        <v>60.400000000000006</v>
      </c>
      <c r="M107" s="16">
        <f>(Table23[[#This Row],[Profit]]/Table23[[#This Row],[Revenue]])</f>
        <v>0.33724176437744274</v>
      </c>
      <c r="N107" t="s">
        <v>33</v>
      </c>
    </row>
    <row r="108" spans="1:14" x14ac:dyDescent="0.25">
      <c r="A108" s="11" t="s">
        <v>756</v>
      </c>
      <c r="B108" s="6">
        <v>45551</v>
      </c>
      <c r="C108" s="11" t="s">
        <v>757</v>
      </c>
      <c r="D108" s="11" t="s">
        <v>20</v>
      </c>
      <c r="E108" s="11" t="s">
        <v>486</v>
      </c>
      <c r="F108" s="11" t="s">
        <v>480</v>
      </c>
      <c r="G108" s="7">
        <v>2</v>
      </c>
      <c r="H108" s="8">
        <v>73.319999999999993</v>
      </c>
      <c r="I108" s="13">
        <v>0.15</v>
      </c>
      <c r="J108" s="8">
        <f>(Table23[[#This Row],[Quantity]]*Table23[[#This Row],[Unit Price]])-(Table23[[#This Row],[Unit Price]]*Table23[[#This Row],[Dscount]])*Table23[[#This Row],[Quantity]]</f>
        <v>124.64399999999999</v>
      </c>
      <c r="K108" s="8">
        <v>64.293999999999983</v>
      </c>
      <c r="L108" s="8">
        <f>Table23[[#This Row],[Revenue]]-Table23[[#This Row],[Total Cost]]</f>
        <v>60.350000000000009</v>
      </c>
      <c r="M108" s="16">
        <f>(Table23[[#This Row],[Profit]]/Table23[[#This Row],[Revenue]])</f>
        <v>0.48417894162575026</v>
      </c>
      <c r="N108" t="s">
        <v>17</v>
      </c>
    </row>
    <row r="109" spans="1:14" x14ac:dyDescent="0.25">
      <c r="A109" s="11" t="s">
        <v>754</v>
      </c>
      <c r="B109" s="6">
        <v>45722</v>
      </c>
      <c r="C109" s="11" t="s">
        <v>755</v>
      </c>
      <c r="D109" s="11" t="s">
        <v>20</v>
      </c>
      <c r="E109" s="11" t="s">
        <v>483</v>
      </c>
      <c r="F109" s="11" t="s">
        <v>480</v>
      </c>
      <c r="G109" s="7">
        <v>3</v>
      </c>
      <c r="H109" s="8">
        <v>63.3</v>
      </c>
      <c r="I109" s="13">
        <v>0.15</v>
      </c>
      <c r="J109" s="8">
        <f>(Table23[[#This Row],[Quantity]]*Table23[[#This Row],[Unit Price]])-(Table23[[#This Row],[Unit Price]]*Table23[[#This Row],[Dscount]])*Table23[[#This Row],[Quantity]]</f>
        <v>161.41499999999996</v>
      </c>
      <c r="K109" s="8">
        <v>101.22499999999997</v>
      </c>
      <c r="L109" s="8">
        <f>Table23[[#This Row],[Revenue]]-Table23[[#This Row],[Total Cost]]</f>
        <v>60.19</v>
      </c>
      <c r="M109" s="16">
        <f>(Table23[[#This Row],[Profit]]/Table23[[#This Row],[Revenue]])</f>
        <v>0.37288975621844322</v>
      </c>
      <c r="N109" t="s">
        <v>17</v>
      </c>
    </row>
    <row r="110" spans="1:14" x14ac:dyDescent="0.25">
      <c r="A110" s="11" t="s">
        <v>1389</v>
      </c>
      <c r="B110" s="6">
        <v>45755</v>
      </c>
      <c r="C110" s="11" t="s">
        <v>1390</v>
      </c>
      <c r="D110" s="11" t="s">
        <v>14</v>
      </c>
      <c r="E110" s="11" t="s">
        <v>1184</v>
      </c>
      <c r="F110" s="11" t="s">
        <v>1112</v>
      </c>
      <c r="G110" s="7">
        <v>4</v>
      </c>
      <c r="H110" s="8">
        <v>59.6</v>
      </c>
      <c r="I110" s="13">
        <v>0.05</v>
      </c>
      <c r="J110" s="8">
        <f>(Table23[[#This Row],[Quantity]]*Table23[[#This Row],[Unit Price]])-(Table23[[#This Row],[Unit Price]]*Table23[[#This Row],[Dscount]])*Table23[[#This Row],[Quantity]]</f>
        <v>226.48000000000002</v>
      </c>
      <c r="K110" s="8">
        <v>166.34000000000003</v>
      </c>
      <c r="L110" s="8">
        <f>Table23[[#This Row],[Revenue]]-Table23[[#This Row],[Total Cost]]</f>
        <v>60.139999999999986</v>
      </c>
      <c r="M110" s="16">
        <f>(Table23[[#This Row],[Profit]]/Table23[[#This Row],[Revenue]])</f>
        <v>0.26554221123277988</v>
      </c>
      <c r="N110" t="s">
        <v>33</v>
      </c>
    </row>
    <row r="111" spans="1:14" x14ac:dyDescent="0.25">
      <c r="A111" s="11" t="s">
        <v>434</v>
      </c>
      <c r="B111" s="6">
        <v>45957</v>
      </c>
      <c r="C111" s="11" t="s">
        <v>435</v>
      </c>
      <c r="D111" s="11" t="s">
        <v>14</v>
      </c>
      <c r="E111" s="11" t="s">
        <v>47</v>
      </c>
      <c r="F111" s="11" t="s">
        <v>16</v>
      </c>
      <c r="G111" s="7">
        <v>3</v>
      </c>
      <c r="H111" s="8">
        <v>43.87</v>
      </c>
      <c r="I111" s="13">
        <v>0.1</v>
      </c>
      <c r="J111" s="8">
        <f>(Table23[[#This Row],[Quantity]]*Table23[[#This Row],[Unit Price]])-(Table23[[#This Row],[Unit Price]]*Table23[[#This Row],[Dscount]])*Table23[[#This Row],[Quantity]]</f>
        <v>118.44899999999998</v>
      </c>
      <c r="K111" s="8">
        <v>58.338999999999984</v>
      </c>
      <c r="L111" s="8">
        <f>Table23[[#This Row],[Revenue]]-Table23[[#This Row],[Total Cost]]</f>
        <v>60.11</v>
      </c>
      <c r="M111" s="16">
        <f>(Table23[[#This Row],[Profit]]/Table23[[#This Row],[Revenue]])</f>
        <v>0.50747579126881615</v>
      </c>
      <c r="N111" t="s">
        <v>17</v>
      </c>
    </row>
    <row r="112" spans="1:14" x14ac:dyDescent="0.25">
      <c r="A112" s="11" t="s">
        <v>752</v>
      </c>
      <c r="B112" s="6">
        <v>45970</v>
      </c>
      <c r="C112" s="11" t="s">
        <v>753</v>
      </c>
      <c r="D112" s="11" t="s">
        <v>20</v>
      </c>
      <c r="E112" s="11" t="s">
        <v>489</v>
      </c>
      <c r="F112" s="11" t="s">
        <v>480</v>
      </c>
      <c r="G112" s="7">
        <v>2</v>
      </c>
      <c r="H112" s="8">
        <v>57.29</v>
      </c>
      <c r="I112" s="13">
        <v>0</v>
      </c>
      <c r="J112" s="8">
        <f>(Table23[[#This Row],[Quantity]]*Table23[[#This Row],[Unit Price]])-(Table23[[#This Row],[Unit Price]]*Table23[[#This Row],[Dscount]])*Table23[[#This Row],[Quantity]]</f>
        <v>114.58</v>
      </c>
      <c r="K112" s="8">
        <v>54.5</v>
      </c>
      <c r="L112" s="8">
        <f>Table23[[#This Row],[Revenue]]-Table23[[#This Row],[Total Cost]]</f>
        <v>60.08</v>
      </c>
      <c r="M112" s="16">
        <f>(Table23[[#This Row],[Profit]]/Table23[[#This Row],[Revenue]])</f>
        <v>0.52434979926688774</v>
      </c>
      <c r="N112" t="s">
        <v>33</v>
      </c>
    </row>
    <row r="113" spans="1:14" x14ac:dyDescent="0.25">
      <c r="A113" s="11" t="s">
        <v>432</v>
      </c>
      <c r="B113" s="6">
        <v>45365</v>
      </c>
      <c r="C113" s="11" t="s">
        <v>433</v>
      </c>
      <c r="D113" s="11" t="s">
        <v>36</v>
      </c>
      <c r="E113" s="11" t="s">
        <v>44</v>
      </c>
      <c r="F113" s="11" t="s">
        <v>16</v>
      </c>
      <c r="G113" s="7">
        <v>4</v>
      </c>
      <c r="H113" s="8">
        <v>31.05</v>
      </c>
      <c r="I113" s="13">
        <v>0.05</v>
      </c>
      <c r="J113" s="8">
        <f>(Table23[[#This Row],[Quantity]]*Table23[[#This Row],[Unit Price]])-(Table23[[#This Row],[Unit Price]]*Table23[[#This Row],[Dscount]])*Table23[[#This Row],[Quantity]]</f>
        <v>117.99000000000001</v>
      </c>
      <c r="K113" s="8">
        <v>58.260000000000012</v>
      </c>
      <c r="L113" s="8">
        <f>Table23[[#This Row],[Revenue]]-Table23[[#This Row],[Total Cost]]</f>
        <v>59.73</v>
      </c>
      <c r="M113" s="16">
        <f>(Table23[[#This Row],[Profit]]/Table23[[#This Row],[Revenue]])</f>
        <v>0.50622934146961596</v>
      </c>
      <c r="N113" t="s">
        <v>33</v>
      </c>
    </row>
    <row r="114" spans="1:14" x14ac:dyDescent="0.25">
      <c r="A114" s="11" t="s">
        <v>751</v>
      </c>
      <c r="B114" s="6">
        <v>45603</v>
      </c>
      <c r="C114" s="11" t="s">
        <v>337</v>
      </c>
      <c r="D114" s="11" t="s">
        <v>24</v>
      </c>
      <c r="E114" s="11" t="s">
        <v>489</v>
      </c>
      <c r="F114" s="11" t="s">
        <v>480</v>
      </c>
      <c r="G114" s="7">
        <v>3</v>
      </c>
      <c r="H114" s="8">
        <v>47.44</v>
      </c>
      <c r="I114" s="13">
        <v>0.05</v>
      </c>
      <c r="J114" s="8">
        <f>(Table23[[#This Row],[Quantity]]*Table23[[#This Row],[Unit Price]])-(Table23[[#This Row],[Unit Price]]*Table23[[#This Row],[Dscount]])*Table23[[#This Row],[Quantity]]</f>
        <v>135.20400000000001</v>
      </c>
      <c r="K114" s="8">
        <v>75.604000000000013</v>
      </c>
      <c r="L114" s="8">
        <f>Table23[[#This Row],[Revenue]]-Table23[[#This Row],[Total Cost]]</f>
        <v>59.599999999999994</v>
      </c>
      <c r="M114" s="16">
        <f>(Table23[[#This Row],[Profit]]/Table23[[#This Row],[Revenue]])</f>
        <v>0.44081536049229308</v>
      </c>
      <c r="N114" t="s">
        <v>33</v>
      </c>
    </row>
    <row r="115" spans="1:14" x14ac:dyDescent="0.25">
      <c r="A115" s="11" t="s">
        <v>1387</v>
      </c>
      <c r="B115" s="6">
        <v>45767</v>
      </c>
      <c r="C115" s="11" t="s">
        <v>1388</v>
      </c>
      <c r="D115" s="11" t="s">
        <v>31</v>
      </c>
      <c r="E115" s="11" t="s">
        <v>1134</v>
      </c>
      <c r="F115" s="11" t="s">
        <v>1112</v>
      </c>
      <c r="G115" s="7">
        <v>3</v>
      </c>
      <c r="H115" s="8">
        <v>71.64</v>
      </c>
      <c r="I115" s="13">
        <v>0.1</v>
      </c>
      <c r="J115" s="8">
        <f>(Table23[[#This Row],[Quantity]]*Table23[[#This Row],[Unit Price]])-(Table23[[#This Row],[Unit Price]]*Table23[[#This Row],[Dscount]])*Table23[[#This Row],[Quantity]]</f>
        <v>193.42800000000003</v>
      </c>
      <c r="K115" s="8">
        <v>133.90800000000002</v>
      </c>
      <c r="L115" s="8">
        <f>Table23[[#This Row],[Revenue]]-Table23[[#This Row],[Total Cost]]</f>
        <v>59.52000000000001</v>
      </c>
      <c r="M115" s="16">
        <f>(Table23[[#This Row],[Profit]]/Table23[[#This Row],[Revenue]])</f>
        <v>0.30771139648861595</v>
      </c>
      <c r="N115" t="s">
        <v>33</v>
      </c>
    </row>
    <row r="116" spans="1:14" x14ac:dyDescent="0.25">
      <c r="A116" s="11" t="s">
        <v>428</v>
      </c>
      <c r="B116" s="6">
        <v>45666</v>
      </c>
      <c r="C116" s="11" t="s">
        <v>429</v>
      </c>
      <c r="D116" s="11" t="s">
        <v>14</v>
      </c>
      <c r="E116" s="11" t="s">
        <v>53</v>
      </c>
      <c r="F116" s="11" t="s">
        <v>16</v>
      </c>
      <c r="G116" s="7">
        <v>5</v>
      </c>
      <c r="H116" s="8">
        <v>21.11</v>
      </c>
      <c r="I116" s="13">
        <v>0.1</v>
      </c>
      <c r="J116" s="8">
        <f>(Table23[[#This Row],[Quantity]]*Table23[[#This Row],[Unit Price]])-(Table23[[#This Row],[Unit Price]]*Table23[[#This Row],[Dscount]])*Table23[[#This Row],[Quantity]]</f>
        <v>94.99499999999999</v>
      </c>
      <c r="K116" s="8">
        <v>35.824999999999989</v>
      </c>
      <c r="L116" s="8">
        <f>Table23[[#This Row],[Revenue]]-Table23[[#This Row],[Total Cost]]</f>
        <v>59.17</v>
      </c>
      <c r="M116" s="16">
        <f>(Table23[[#This Row],[Profit]]/Table23[[#This Row],[Revenue]])</f>
        <v>0.62287488815200809</v>
      </c>
      <c r="N116" t="s">
        <v>17</v>
      </c>
    </row>
    <row r="117" spans="1:14" x14ac:dyDescent="0.25">
      <c r="A117" s="11" t="s">
        <v>430</v>
      </c>
      <c r="B117" s="6">
        <v>45412</v>
      </c>
      <c r="C117" s="11" t="s">
        <v>431</v>
      </c>
      <c r="D117" s="11" t="s">
        <v>24</v>
      </c>
      <c r="E117" s="11" t="s">
        <v>53</v>
      </c>
      <c r="F117" s="11" t="s">
        <v>16</v>
      </c>
      <c r="G117" s="7">
        <v>3</v>
      </c>
      <c r="H117" s="8">
        <v>35.96</v>
      </c>
      <c r="I117" s="13">
        <v>0</v>
      </c>
      <c r="J117" s="8">
        <f>(Table23[[#This Row],[Quantity]]*Table23[[#This Row],[Unit Price]])-(Table23[[#This Row],[Unit Price]]*Table23[[#This Row],[Dscount]])*Table23[[#This Row],[Quantity]]</f>
        <v>107.88</v>
      </c>
      <c r="K117" s="8">
        <v>48.709999999999994</v>
      </c>
      <c r="L117" s="8">
        <f>Table23[[#This Row],[Revenue]]-Table23[[#This Row],[Total Cost]]</f>
        <v>59.17</v>
      </c>
      <c r="M117" s="16">
        <f>(Table23[[#This Row],[Profit]]/Table23[[#This Row],[Revenue]])</f>
        <v>0.5484797923618836</v>
      </c>
      <c r="N117" t="s">
        <v>33</v>
      </c>
    </row>
    <row r="118" spans="1:14" x14ac:dyDescent="0.25">
      <c r="A118" s="11" t="s">
        <v>427</v>
      </c>
      <c r="B118" s="6">
        <v>45454</v>
      </c>
      <c r="C118" s="11" t="s">
        <v>272</v>
      </c>
      <c r="D118" s="11" t="s">
        <v>24</v>
      </c>
      <c r="E118" s="11" t="s">
        <v>32</v>
      </c>
      <c r="F118" s="11" t="s">
        <v>16</v>
      </c>
      <c r="G118" s="7">
        <v>3</v>
      </c>
      <c r="H118" s="8">
        <v>34.11</v>
      </c>
      <c r="I118" s="13">
        <v>0.05</v>
      </c>
      <c r="J118" s="8">
        <f>(Table23[[#This Row],[Quantity]]*Table23[[#This Row],[Unit Price]])-(Table23[[#This Row],[Unit Price]]*Table23[[#This Row],[Dscount]])*Table23[[#This Row],[Quantity]]</f>
        <v>97.213499999999996</v>
      </c>
      <c r="K118" s="8">
        <v>38.123499999999993</v>
      </c>
      <c r="L118" s="8">
        <f>Table23[[#This Row],[Revenue]]-Table23[[#This Row],[Total Cost]]</f>
        <v>59.09</v>
      </c>
      <c r="M118" s="16">
        <f>(Table23[[#This Row],[Profit]]/Table23[[#This Row],[Revenue]])</f>
        <v>0.60783738884002747</v>
      </c>
      <c r="N118" t="s">
        <v>33</v>
      </c>
    </row>
    <row r="119" spans="1:14" x14ac:dyDescent="0.25">
      <c r="A119" s="11" t="s">
        <v>1076</v>
      </c>
      <c r="B119" s="6">
        <v>45401</v>
      </c>
      <c r="C119" s="11" t="s">
        <v>1077</v>
      </c>
      <c r="D119" s="11" t="s">
        <v>24</v>
      </c>
      <c r="E119" s="11" t="s">
        <v>858</v>
      </c>
      <c r="F119" s="11" t="s">
        <v>833</v>
      </c>
      <c r="G119" s="7">
        <v>3</v>
      </c>
      <c r="H119" s="8">
        <v>90.84</v>
      </c>
      <c r="I119" s="13">
        <v>0</v>
      </c>
      <c r="J119" s="8">
        <f>(Table23[[#This Row],[Quantity]]*Table23[[#This Row],[Unit Price]])-(Table23[[#This Row],[Unit Price]]*Table23[[#This Row],[Dscount]])*Table23[[#This Row],[Quantity]]</f>
        <v>272.52</v>
      </c>
      <c r="K119" s="8">
        <v>213.76999999999998</v>
      </c>
      <c r="L119" s="8">
        <f>Table23[[#This Row],[Revenue]]-Table23[[#This Row],[Total Cost]]</f>
        <v>58.75</v>
      </c>
      <c r="M119" s="16">
        <f>(Table23[[#This Row],[Profit]]/Table23[[#This Row],[Revenue]])</f>
        <v>0.21558050785263469</v>
      </c>
      <c r="N119" t="s">
        <v>33</v>
      </c>
    </row>
    <row r="120" spans="1:14" x14ac:dyDescent="0.25">
      <c r="A120" s="11" t="s">
        <v>1741</v>
      </c>
      <c r="B120" s="6">
        <v>45908</v>
      </c>
      <c r="C120" s="11" t="s">
        <v>299</v>
      </c>
      <c r="D120" s="11" t="s">
        <v>24</v>
      </c>
      <c r="E120" s="11" t="s">
        <v>1457</v>
      </c>
      <c r="F120" s="11" t="s">
        <v>1417</v>
      </c>
      <c r="G120" s="7">
        <v>5</v>
      </c>
      <c r="H120" s="8">
        <v>36.86</v>
      </c>
      <c r="I120" s="13">
        <v>0</v>
      </c>
      <c r="J120" s="8">
        <f>(Table23[[#This Row],[Quantity]]*Table23[[#This Row],[Unit Price]])-(Table23[[#This Row],[Unit Price]]*Table23[[#This Row],[Dscount]])*Table23[[#This Row],[Quantity]]</f>
        <v>184.3</v>
      </c>
      <c r="K120" s="8">
        <v>126.71000000000001</v>
      </c>
      <c r="L120" s="8">
        <f>Table23[[#This Row],[Revenue]]-Table23[[#This Row],[Total Cost]]</f>
        <v>57.59</v>
      </c>
      <c r="M120" s="16">
        <f>(Table23[[#This Row],[Profit]]/Table23[[#This Row],[Revenue]])</f>
        <v>0.31247965274009765</v>
      </c>
      <c r="N120" t="s">
        <v>17</v>
      </c>
    </row>
    <row r="121" spans="1:14" x14ac:dyDescent="0.25">
      <c r="A121" s="11" t="s">
        <v>1074</v>
      </c>
      <c r="B121" s="6">
        <v>45640</v>
      </c>
      <c r="C121" s="11" t="s">
        <v>1075</v>
      </c>
      <c r="D121" s="11" t="s">
        <v>20</v>
      </c>
      <c r="E121" s="11" t="s">
        <v>858</v>
      </c>
      <c r="F121" s="11" t="s">
        <v>833</v>
      </c>
      <c r="G121" s="7">
        <v>3</v>
      </c>
      <c r="H121" s="8">
        <v>131.26</v>
      </c>
      <c r="I121" s="13">
        <v>0</v>
      </c>
      <c r="J121" s="8">
        <f>(Table23[[#This Row],[Quantity]]*Table23[[#This Row],[Unit Price]])-(Table23[[#This Row],[Unit Price]]*Table23[[#This Row],[Dscount]])*Table23[[#This Row],[Quantity]]</f>
        <v>393.78</v>
      </c>
      <c r="K121" s="8">
        <v>336.62</v>
      </c>
      <c r="L121" s="8">
        <f>Table23[[#This Row],[Revenue]]-Table23[[#This Row],[Total Cost]]</f>
        <v>57.159999999999968</v>
      </c>
      <c r="M121" s="16">
        <f>(Table23[[#This Row],[Profit]]/Table23[[#This Row],[Revenue]])</f>
        <v>0.14515719437249219</v>
      </c>
      <c r="N121" t="s">
        <v>48</v>
      </c>
    </row>
    <row r="122" spans="1:14" x14ac:dyDescent="0.25">
      <c r="A122" s="11" t="s">
        <v>1073</v>
      </c>
      <c r="B122" s="6">
        <v>45801</v>
      </c>
      <c r="C122" s="11" t="s">
        <v>220</v>
      </c>
      <c r="D122" s="11" t="s">
        <v>20</v>
      </c>
      <c r="E122" s="11" t="s">
        <v>840</v>
      </c>
      <c r="F122" s="11" t="s">
        <v>833</v>
      </c>
      <c r="G122" s="7">
        <v>4</v>
      </c>
      <c r="H122" s="8">
        <v>113.66</v>
      </c>
      <c r="I122" s="13">
        <v>0.15</v>
      </c>
      <c r="J122" s="8">
        <f>(Table23[[#This Row],[Quantity]]*Table23[[#This Row],[Unit Price]])-(Table23[[#This Row],[Unit Price]]*Table23[[#This Row],[Dscount]])*Table23[[#This Row],[Quantity]]</f>
        <v>386.44399999999996</v>
      </c>
      <c r="K122" s="8">
        <v>329.31399999999996</v>
      </c>
      <c r="L122" s="8">
        <f>Table23[[#This Row],[Revenue]]-Table23[[#This Row],[Total Cost]]</f>
        <v>57.129999999999995</v>
      </c>
      <c r="M122" s="16">
        <f>(Table23[[#This Row],[Profit]]/Table23[[#This Row],[Revenue]])</f>
        <v>0.14783513264535095</v>
      </c>
      <c r="N122" t="s">
        <v>33</v>
      </c>
    </row>
    <row r="123" spans="1:14" x14ac:dyDescent="0.25">
      <c r="A123" s="11" t="s">
        <v>425</v>
      </c>
      <c r="B123" s="6">
        <v>45386</v>
      </c>
      <c r="C123" s="11" t="s">
        <v>426</v>
      </c>
      <c r="D123" s="11" t="s">
        <v>20</v>
      </c>
      <c r="E123" s="11" t="s">
        <v>44</v>
      </c>
      <c r="F123" s="11" t="s">
        <v>16</v>
      </c>
      <c r="G123" s="7">
        <v>3</v>
      </c>
      <c r="H123" s="8">
        <v>32.29</v>
      </c>
      <c r="I123" s="13">
        <v>0.1</v>
      </c>
      <c r="J123" s="8">
        <f>(Table23[[#This Row],[Quantity]]*Table23[[#This Row],[Unit Price]])-(Table23[[#This Row],[Unit Price]]*Table23[[#This Row],[Dscount]])*Table23[[#This Row],[Quantity]]</f>
        <v>87.183000000000007</v>
      </c>
      <c r="K123" s="8">
        <v>30.52300000000001</v>
      </c>
      <c r="L123" s="8">
        <f>Table23[[#This Row],[Revenue]]-Table23[[#This Row],[Total Cost]]</f>
        <v>56.66</v>
      </c>
      <c r="M123" s="16">
        <f>(Table23[[#This Row],[Profit]]/Table23[[#This Row],[Revenue]])</f>
        <v>0.64989734237179253</v>
      </c>
      <c r="N123" t="s">
        <v>33</v>
      </c>
    </row>
    <row r="124" spans="1:14" x14ac:dyDescent="0.25">
      <c r="A124" s="11" t="s">
        <v>423</v>
      </c>
      <c r="B124" s="6">
        <v>45674</v>
      </c>
      <c r="C124" s="11" t="s">
        <v>424</v>
      </c>
      <c r="D124" s="11" t="s">
        <v>14</v>
      </c>
      <c r="E124" s="11" t="s">
        <v>32</v>
      </c>
      <c r="F124" s="11" t="s">
        <v>16</v>
      </c>
      <c r="G124" s="7">
        <v>4</v>
      </c>
      <c r="H124" s="8">
        <v>27.2</v>
      </c>
      <c r="I124" s="13">
        <v>0</v>
      </c>
      <c r="J124" s="8">
        <f>(Table23[[#This Row],[Quantity]]*Table23[[#This Row],[Unit Price]])-(Table23[[#This Row],[Unit Price]]*Table23[[#This Row],[Dscount]])*Table23[[#This Row],[Quantity]]</f>
        <v>108.8</v>
      </c>
      <c r="K124" s="8">
        <v>52.62</v>
      </c>
      <c r="L124" s="8">
        <f>Table23[[#This Row],[Revenue]]-Table23[[#This Row],[Total Cost]]</f>
        <v>56.18</v>
      </c>
      <c r="M124" s="16">
        <f>(Table23[[#This Row],[Profit]]/Table23[[#This Row],[Revenue]])</f>
        <v>0.51636029411764706</v>
      </c>
      <c r="N124" t="s">
        <v>33</v>
      </c>
    </row>
    <row r="125" spans="1:14" x14ac:dyDescent="0.25">
      <c r="A125" s="11" t="s">
        <v>1740</v>
      </c>
      <c r="B125" s="6">
        <v>45747</v>
      </c>
      <c r="C125" s="11" t="s">
        <v>278</v>
      </c>
      <c r="D125" s="11" t="s">
        <v>31</v>
      </c>
      <c r="E125" s="11" t="s">
        <v>1439</v>
      </c>
      <c r="F125" s="11" t="s">
        <v>1417</v>
      </c>
      <c r="G125" s="7">
        <v>3</v>
      </c>
      <c r="H125" s="8">
        <v>59.85</v>
      </c>
      <c r="I125" s="13">
        <v>0</v>
      </c>
      <c r="J125" s="8">
        <f>(Table23[[#This Row],[Quantity]]*Table23[[#This Row],[Unit Price]])-(Table23[[#This Row],[Unit Price]]*Table23[[#This Row],[Dscount]])*Table23[[#This Row],[Quantity]]</f>
        <v>179.55</v>
      </c>
      <c r="K125" s="8">
        <v>123.79000000000002</v>
      </c>
      <c r="L125" s="8">
        <f>Table23[[#This Row],[Revenue]]-Table23[[#This Row],[Total Cost]]</f>
        <v>55.759999999999991</v>
      </c>
      <c r="M125" s="16">
        <f>(Table23[[#This Row],[Profit]]/Table23[[#This Row],[Revenue]])</f>
        <v>0.31055416318574208</v>
      </c>
      <c r="N125" t="s">
        <v>48</v>
      </c>
    </row>
    <row r="126" spans="1:14" x14ac:dyDescent="0.25">
      <c r="A126" s="11" t="s">
        <v>1385</v>
      </c>
      <c r="B126" s="6">
        <v>45299</v>
      </c>
      <c r="C126" s="11" t="s">
        <v>1386</v>
      </c>
      <c r="D126" s="11" t="s">
        <v>24</v>
      </c>
      <c r="E126" s="11" t="s">
        <v>1114</v>
      </c>
      <c r="F126" s="11" t="s">
        <v>1112</v>
      </c>
      <c r="G126" s="7">
        <v>2</v>
      </c>
      <c r="H126" s="8">
        <v>76.75</v>
      </c>
      <c r="I126" s="13">
        <v>0</v>
      </c>
      <c r="J126" s="8">
        <f>(Table23[[#This Row],[Quantity]]*Table23[[#This Row],[Unit Price]])-(Table23[[#This Row],[Unit Price]]*Table23[[#This Row],[Dscount]])*Table23[[#This Row],[Quantity]]</f>
        <v>153.5</v>
      </c>
      <c r="K126" s="8">
        <v>97.759999999999991</v>
      </c>
      <c r="L126" s="8">
        <f>Table23[[#This Row],[Revenue]]-Table23[[#This Row],[Total Cost]]</f>
        <v>55.740000000000009</v>
      </c>
      <c r="M126" s="16">
        <f>(Table23[[#This Row],[Profit]]/Table23[[#This Row],[Revenue]])</f>
        <v>0.36312703583061895</v>
      </c>
      <c r="N126" t="s">
        <v>17</v>
      </c>
    </row>
    <row r="127" spans="1:14" x14ac:dyDescent="0.25">
      <c r="A127" s="11" t="s">
        <v>421</v>
      </c>
      <c r="B127" s="6">
        <v>45951</v>
      </c>
      <c r="C127" s="11" t="s">
        <v>422</v>
      </c>
      <c r="D127" s="11" t="s">
        <v>20</v>
      </c>
      <c r="E127" s="11" t="s">
        <v>47</v>
      </c>
      <c r="F127" s="11" t="s">
        <v>16</v>
      </c>
      <c r="G127" s="7">
        <v>2</v>
      </c>
      <c r="H127" s="8">
        <v>49.12</v>
      </c>
      <c r="I127" s="13">
        <v>0.05</v>
      </c>
      <c r="J127" s="8">
        <f>(Table23[[#This Row],[Quantity]]*Table23[[#This Row],[Unit Price]])-(Table23[[#This Row],[Unit Price]]*Table23[[#This Row],[Dscount]])*Table23[[#This Row],[Quantity]]</f>
        <v>93.327999999999989</v>
      </c>
      <c r="K127" s="8">
        <v>37.597999999999992</v>
      </c>
      <c r="L127" s="8">
        <f>Table23[[#This Row],[Revenue]]-Table23[[#This Row],[Total Cost]]</f>
        <v>55.73</v>
      </c>
      <c r="M127" s="16">
        <f>(Table23[[#This Row],[Profit]]/Table23[[#This Row],[Revenue]])</f>
        <v>0.5971412652151552</v>
      </c>
      <c r="N127" t="s">
        <v>17</v>
      </c>
    </row>
    <row r="128" spans="1:14" x14ac:dyDescent="0.25">
      <c r="A128" s="11" t="s">
        <v>419</v>
      </c>
      <c r="B128" s="6">
        <v>45427</v>
      </c>
      <c r="C128" s="11" t="s">
        <v>420</v>
      </c>
      <c r="D128" s="11" t="s">
        <v>36</v>
      </c>
      <c r="E128" s="11" t="s">
        <v>28</v>
      </c>
      <c r="F128" s="11" t="s">
        <v>16</v>
      </c>
      <c r="G128" s="7">
        <v>2</v>
      </c>
      <c r="H128" s="8">
        <v>48.44</v>
      </c>
      <c r="I128" s="13">
        <v>0</v>
      </c>
      <c r="J128" s="8">
        <f>(Table23[[#This Row],[Quantity]]*Table23[[#This Row],[Unit Price]])-(Table23[[#This Row],[Unit Price]]*Table23[[#This Row],[Dscount]])*Table23[[#This Row],[Quantity]]</f>
        <v>96.88</v>
      </c>
      <c r="K128" s="8">
        <v>41.179999999999993</v>
      </c>
      <c r="L128" s="8">
        <f>Table23[[#This Row],[Revenue]]-Table23[[#This Row],[Total Cost]]</f>
        <v>55.7</v>
      </c>
      <c r="M128" s="16">
        <f>(Table23[[#This Row],[Profit]]/Table23[[#This Row],[Revenue]])</f>
        <v>0.57493806771263423</v>
      </c>
      <c r="N128" t="s">
        <v>33</v>
      </c>
    </row>
    <row r="129" spans="1:14" x14ac:dyDescent="0.25">
      <c r="A129" s="11" t="s">
        <v>1071</v>
      </c>
      <c r="B129" s="6">
        <v>45668</v>
      </c>
      <c r="C129" s="11" t="s">
        <v>1072</v>
      </c>
      <c r="D129" s="11" t="s">
        <v>14</v>
      </c>
      <c r="E129" s="11" t="s">
        <v>832</v>
      </c>
      <c r="F129" s="11" t="s">
        <v>833</v>
      </c>
      <c r="G129" s="7">
        <v>3</v>
      </c>
      <c r="H129" s="8">
        <v>81.849999999999994</v>
      </c>
      <c r="I129" s="13">
        <v>0.05</v>
      </c>
      <c r="J129" s="8">
        <f>(Table23[[#This Row],[Quantity]]*Table23[[#This Row],[Unit Price]])-(Table23[[#This Row],[Unit Price]]*Table23[[#This Row],[Dscount]])*Table23[[#This Row],[Quantity]]</f>
        <v>233.27249999999998</v>
      </c>
      <c r="K129" s="8">
        <v>178.46249999999998</v>
      </c>
      <c r="L129" s="8">
        <f>Table23[[#This Row],[Revenue]]-Table23[[#This Row],[Total Cost]]</f>
        <v>54.81</v>
      </c>
      <c r="M129" s="16">
        <f>(Table23[[#This Row],[Profit]]/Table23[[#This Row],[Revenue]])</f>
        <v>0.23496125775648655</v>
      </c>
      <c r="N129" t="s">
        <v>33</v>
      </c>
    </row>
    <row r="130" spans="1:14" x14ac:dyDescent="0.25">
      <c r="A130" s="11" t="s">
        <v>1738</v>
      </c>
      <c r="B130" s="6">
        <v>45607</v>
      </c>
      <c r="C130" s="11" t="s">
        <v>1739</v>
      </c>
      <c r="D130" s="11" t="s">
        <v>14</v>
      </c>
      <c r="E130" s="11" t="s">
        <v>1422</v>
      </c>
      <c r="F130" s="11" t="s">
        <v>1417</v>
      </c>
      <c r="G130" s="7">
        <v>4</v>
      </c>
      <c r="H130" s="8">
        <v>54.88</v>
      </c>
      <c r="I130" s="13">
        <v>0.1</v>
      </c>
      <c r="J130" s="8">
        <f>(Table23[[#This Row],[Quantity]]*Table23[[#This Row],[Unit Price]])-(Table23[[#This Row],[Unit Price]]*Table23[[#This Row],[Dscount]])*Table23[[#This Row],[Quantity]]</f>
        <v>197.56800000000001</v>
      </c>
      <c r="K130" s="8">
        <v>143.06800000000001</v>
      </c>
      <c r="L130" s="8">
        <f>Table23[[#This Row],[Revenue]]-Table23[[#This Row],[Total Cost]]</f>
        <v>54.5</v>
      </c>
      <c r="M130" s="16">
        <f>(Table23[[#This Row],[Profit]]/Table23[[#This Row],[Revenue]])</f>
        <v>0.2758543893747975</v>
      </c>
      <c r="N130" t="s">
        <v>33</v>
      </c>
    </row>
    <row r="131" spans="1:14" x14ac:dyDescent="0.25">
      <c r="A131" s="11" t="s">
        <v>749</v>
      </c>
      <c r="B131" s="6">
        <v>45817</v>
      </c>
      <c r="C131" s="11" t="s">
        <v>750</v>
      </c>
      <c r="D131" s="11" t="s">
        <v>20</v>
      </c>
      <c r="E131" s="11" t="s">
        <v>496</v>
      </c>
      <c r="F131" s="11" t="s">
        <v>480</v>
      </c>
      <c r="G131" s="7">
        <v>2</v>
      </c>
      <c r="H131" s="8">
        <v>88.79</v>
      </c>
      <c r="I131" s="13">
        <v>0.1</v>
      </c>
      <c r="J131" s="8">
        <f>(Table23[[#This Row],[Quantity]]*Table23[[#This Row],[Unit Price]])-(Table23[[#This Row],[Unit Price]]*Table23[[#This Row],[Dscount]])*Table23[[#This Row],[Quantity]]</f>
        <v>159.822</v>
      </c>
      <c r="K131" s="8">
        <v>105.33199999999999</v>
      </c>
      <c r="L131" s="8">
        <f>Table23[[#This Row],[Revenue]]-Table23[[#This Row],[Total Cost]]</f>
        <v>54.490000000000009</v>
      </c>
      <c r="M131" s="16">
        <f>(Table23[[#This Row],[Profit]]/Table23[[#This Row],[Revenue]])</f>
        <v>0.34094179774999694</v>
      </c>
      <c r="N131" t="s">
        <v>17</v>
      </c>
    </row>
    <row r="132" spans="1:14" x14ac:dyDescent="0.25">
      <c r="A132" s="11" t="s">
        <v>418</v>
      </c>
      <c r="B132" s="6">
        <v>45992</v>
      </c>
      <c r="C132" s="11" t="s">
        <v>244</v>
      </c>
      <c r="D132" s="11" t="s">
        <v>14</v>
      </c>
      <c r="E132" s="11" t="s">
        <v>28</v>
      </c>
      <c r="F132" s="11" t="s">
        <v>16</v>
      </c>
      <c r="G132" s="7">
        <v>3</v>
      </c>
      <c r="H132" s="8">
        <v>31.21</v>
      </c>
      <c r="I132" s="13">
        <v>0.1</v>
      </c>
      <c r="J132" s="8">
        <f>(Table23[[#This Row],[Quantity]]*Table23[[#This Row],[Unit Price]])-(Table23[[#This Row],[Unit Price]]*Table23[[#This Row],[Dscount]])*Table23[[#This Row],[Quantity]]</f>
        <v>84.266999999999996</v>
      </c>
      <c r="K132" s="8">
        <v>29.896999999999998</v>
      </c>
      <c r="L132" s="8">
        <f>Table23[[#This Row],[Revenue]]-Table23[[#This Row],[Total Cost]]</f>
        <v>54.37</v>
      </c>
      <c r="M132" s="16">
        <f>(Table23[[#This Row],[Profit]]/Table23[[#This Row],[Revenue]])</f>
        <v>0.6452110553360153</v>
      </c>
      <c r="N132" t="s">
        <v>33</v>
      </c>
    </row>
    <row r="133" spans="1:14" x14ac:dyDescent="0.25">
      <c r="A133" s="11" t="s">
        <v>747</v>
      </c>
      <c r="B133" s="6">
        <v>45460</v>
      </c>
      <c r="C133" s="11" t="s">
        <v>748</v>
      </c>
      <c r="D133" s="11" t="s">
        <v>24</v>
      </c>
      <c r="E133" s="11" t="s">
        <v>500</v>
      </c>
      <c r="F133" s="11" t="s">
        <v>480</v>
      </c>
      <c r="G133" s="7">
        <v>2</v>
      </c>
      <c r="H133" s="8">
        <v>70.23</v>
      </c>
      <c r="I133" s="13">
        <v>0.15</v>
      </c>
      <c r="J133" s="8">
        <f>(Table23[[#This Row],[Quantity]]*Table23[[#This Row],[Unit Price]])-(Table23[[#This Row],[Unit Price]]*Table23[[#This Row],[Dscount]])*Table23[[#This Row],[Quantity]]</f>
        <v>119.39100000000001</v>
      </c>
      <c r="K133" s="8">
        <v>65.521000000000015</v>
      </c>
      <c r="L133" s="8">
        <f>Table23[[#This Row],[Revenue]]-Table23[[#This Row],[Total Cost]]</f>
        <v>53.86999999999999</v>
      </c>
      <c r="M133" s="16">
        <f>(Table23[[#This Row],[Profit]]/Table23[[#This Row],[Revenue]])</f>
        <v>0.45120653985643799</v>
      </c>
      <c r="N133" t="s">
        <v>17</v>
      </c>
    </row>
    <row r="134" spans="1:14" x14ac:dyDescent="0.25">
      <c r="A134" s="11" t="s">
        <v>745</v>
      </c>
      <c r="B134" s="6">
        <v>45547</v>
      </c>
      <c r="C134" s="11" t="s">
        <v>746</v>
      </c>
      <c r="D134" s="11" t="s">
        <v>14</v>
      </c>
      <c r="E134" s="11" t="s">
        <v>500</v>
      </c>
      <c r="F134" s="11" t="s">
        <v>480</v>
      </c>
      <c r="G134" s="7">
        <v>2</v>
      </c>
      <c r="H134" s="8">
        <v>71.77</v>
      </c>
      <c r="I134" s="13">
        <v>0.25</v>
      </c>
      <c r="J134" s="8">
        <f>(Table23[[#This Row],[Quantity]]*Table23[[#This Row],[Unit Price]])-(Table23[[#This Row],[Unit Price]]*Table23[[#This Row],[Dscount]])*Table23[[#This Row],[Quantity]]</f>
        <v>107.655</v>
      </c>
      <c r="K134" s="8">
        <v>54.245000000000005</v>
      </c>
      <c r="L134" s="8">
        <f>Table23[[#This Row],[Revenue]]-Table23[[#This Row],[Total Cost]]</f>
        <v>53.41</v>
      </c>
      <c r="M134" s="16">
        <f>(Table23[[#This Row],[Profit]]/Table23[[#This Row],[Revenue]])</f>
        <v>0.49612187079095255</v>
      </c>
      <c r="N134" t="s">
        <v>17</v>
      </c>
    </row>
    <row r="135" spans="1:14" x14ac:dyDescent="0.25">
      <c r="A135" s="11" t="s">
        <v>743</v>
      </c>
      <c r="B135" s="6">
        <v>45903</v>
      </c>
      <c r="C135" s="11" t="s">
        <v>744</v>
      </c>
      <c r="D135" s="11" t="s">
        <v>31</v>
      </c>
      <c r="E135" s="11" t="s">
        <v>479</v>
      </c>
      <c r="F135" s="11" t="s">
        <v>480</v>
      </c>
      <c r="G135" s="7">
        <v>4</v>
      </c>
      <c r="H135" s="8">
        <v>31.81</v>
      </c>
      <c r="I135" s="13">
        <v>0.1</v>
      </c>
      <c r="J135" s="8">
        <f>(Table23[[#This Row],[Quantity]]*Table23[[#This Row],[Unit Price]])-(Table23[[#This Row],[Unit Price]]*Table23[[#This Row],[Dscount]])*Table23[[#This Row],[Quantity]]</f>
        <v>114.51599999999999</v>
      </c>
      <c r="K135" s="8">
        <v>61.155999999999992</v>
      </c>
      <c r="L135" s="8">
        <f>Table23[[#This Row],[Revenue]]-Table23[[#This Row],[Total Cost]]</f>
        <v>53.36</v>
      </c>
      <c r="M135" s="16">
        <f>(Table23[[#This Row],[Profit]]/Table23[[#This Row],[Revenue]])</f>
        <v>0.46596108840686024</v>
      </c>
      <c r="N135" t="s">
        <v>48</v>
      </c>
    </row>
    <row r="136" spans="1:14" x14ac:dyDescent="0.25">
      <c r="A136" s="11" t="s">
        <v>417</v>
      </c>
      <c r="B136" s="6">
        <v>45445</v>
      </c>
      <c r="C136" s="11" t="s">
        <v>327</v>
      </c>
      <c r="D136" s="11" t="s">
        <v>20</v>
      </c>
      <c r="E136" s="11" t="s">
        <v>47</v>
      </c>
      <c r="F136" s="11" t="s">
        <v>16</v>
      </c>
      <c r="G136" s="7">
        <v>2</v>
      </c>
      <c r="H136" s="8">
        <v>43.55</v>
      </c>
      <c r="I136" s="13">
        <v>0</v>
      </c>
      <c r="J136" s="8">
        <f>(Table23[[#This Row],[Quantity]]*Table23[[#This Row],[Unit Price]])-(Table23[[#This Row],[Unit Price]]*Table23[[#This Row],[Dscount]])*Table23[[#This Row],[Quantity]]</f>
        <v>87.1</v>
      </c>
      <c r="K136" s="8">
        <v>33.769999999999996</v>
      </c>
      <c r="L136" s="8">
        <f>Table23[[#This Row],[Revenue]]-Table23[[#This Row],[Total Cost]]</f>
        <v>53.33</v>
      </c>
      <c r="M136" s="16">
        <f>(Table23[[#This Row],[Profit]]/Table23[[#This Row],[Revenue]])</f>
        <v>0.61228473019517793</v>
      </c>
      <c r="N136" t="s">
        <v>17</v>
      </c>
    </row>
    <row r="137" spans="1:14" x14ac:dyDescent="0.25">
      <c r="A137" s="11" t="s">
        <v>1069</v>
      </c>
      <c r="B137" s="6">
        <v>45504</v>
      </c>
      <c r="C137" s="11" t="s">
        <v>1070</v>
      </c>
      <c r="D137" s="11" t="s">
        <v>24</v>
      </c>
      <c r="E137" s="11" t="s">
        <v>856</v>
      </c>
      <c r="F137" s="11" t="s">
        <v>833</v>
      </c>
      <c r="G137" s="7">
        <v>2</v>
      </c>
      <c r="H137" s="8">
        <v>135.74</v>
      </c>
      <c r="I137" s="13">
        <v>0.2</v>
      </c>
      <c r="J137" s="8">
        <f>(Table23[[#This Row],[Quantity]]*Table23[[#This Row],[Unit Price]])-(Table23[[#This Row],[Unit Price]]*Table23[[#This Row],[Dscount]])*Table23[[#This Row],[Quantity]]</f>
        <v>217.18400000000003</v>
      </c>
      <c r="K137" s="8">
        <v>164.09400000000002</v>
      </c>
      <c r="L137" s="8">
        <f>Table23[[#This Row],[Revenue]]-Table23[[#This Row],[Total Cost]]</f>
        <v>53.09</v>
      </c>
      <c r="M137" s="16">
        <f>(Table23[[#This Row],[Profit]]/Table23[[#This Row],[Revenue]])</f>
        <v>0.24444710475909825</v>
      </c>
      <c r="N137" t="s">
        <v>33</v>
      </c>
    </row>
    <row r="138" spans="1:14" x14ac:dyDescent="0.25">
      <c r="A138" s="11" t="s">
        <v>1383</v>
      </c>
      <c r="B138" s="6">
        <v>45611</v>
      </c>
      <c r="C138" s="11" t="s">
        <v>1384</v>
      </c>
      <c r="D138" s="11" t="s">
        <v>24</v>
      </c>
      <c r="E138" s="11" t="s">
        <v>1117</v>
      </c>
      <c r="F138" s="11" t="s">
        <v>1112</v>
      </c>
      <c r="G138" s="7">
        <v>2</v>
      </c>
      <c r="H138" s="8">
        <v>74.47</v>
      </c>
      <c r="I138" s="13">
        <v>0</v>
      </c>
      <c r="J138" s="8">
        <f>(Table23[[#This Row],[Quantity]]*Table23[[#This Row],[Unit Price]])-(Table23[[#This Row],[Unit Price]]*Table23[[#This Row],[Dscount]])*Table23[[#This Row],[Quantity]]</f>
        <v>148.94</v>
      </c>
      <c r="K138" s="8">
        <v>96.22999999999999</v>
      </c>
      <c r="L138" s="8">
        <f>Table23[[#This Row],[Revenue]]-Table23[[#This Row],[Total Cost]]</f>
        <v>52.710000000000008</v>
      </c>
      <c r="M138" s="16">
        <f>(Table23[[#This Row],[Profit]]/Table23[[#This Row],[Revenue]])</f>
        <v>0.35390089969115085</v>
      </c>
      <c r="N138" t="s">
        <v>17</v>
      </c>
    </row>
    <row r="139" spans="1:14" x14ac:dyDescent="0.25">
      <c r="A139" s="11" t="s">
        <v>741</v>
      </c>
      <c r="B139" s="6">
        <v>45952</v>
      </c>
      <c r="C139" s="11" t="s">
        <v>742</v>
      </c>
      <c r="D139" s="11" t="s">
        <v>20</v>
      </c>
      <c r="E139" s="11" t="s">
        <v>496</v>
      </c>
      <c r="F139" s="11" t="s">
        <v>480</v>
      </c>
      <c r="G139" s="7">
        <v>2</v>
      </c>
      <c r="H139" s="8">
        <v>53.16</v>
      </c>
      <c r="I139" s="13">
        <v>0.1</v>
      </c>
      <c r="J139" s="8">
        <f>(Table23[[#This Row],[Quantity]]*Table23[[#This Row],[Unit Price]])-(Table23[[#This Row],[Unit Price]]*Table23[[#This Row],[Dscount]])*Table23[[#This Row],[Quantity]]</f>
        <v>95.687999999999988</v>
      </c>
      <c r="K139" s="8">
        <v>43.307999999999986</v>
      </c>
      <c r="L139" s="8">
        <f>Table23[[#This Row],[Revenue]]-Table23[[#This Row],[Total Cost]]</f>
        <v>52.38</v>
      </c>
      <c r="M139" s="16">
        <f>(Table23[[#This Row],[Profit]]/Table23[[#This Row],[Revenue]])</f>
        <v>0.54740406320541768</v>
      </c>
      <c r="N139" t="s">
        <v>17</v>
      </c>
    </row>
    <row r="140" spans="1:14" x14ac:dyDescent="0.25">
      <c r="A140" s="11" t="s">
        <v>415</v>
      </c>
      <c r="B140" s="6">
        <v>45969</v>
      </c>
      <c r="C140" s="11" t="s">
        <v>416</v>
      </c>
      <c r="D140" s="11" t="s">
        <v>36</v>
      </c>
      <c r="E140" s="11" t="s">
        <v>47</v>
      </c>
      <c r="F140" s="11" t="s">
        <v>16</v>
      </c>
      <c r="G140" s="7">
        <v>3</v>
      </c>
      <c r="H140" s="8">
        <v>34.840000000000003</v>
      </c>
      <c r="I140" s="13">
        <v>0.15</v>
      </c>
      <c r="J140" s="8">
        <f>(Table23[[#This Row],[Quantity]]*Table23[[#This Row],[Unit Price]])-(Table23[[#This Row],[Unit Price]]*Table23[[#This Row],[Dscount]])*Table23[[#This Row],[Quantity]]</f>
        <v>88.842000000000013</v>
      </c>
      <c r="K140" s="8">
        <v>36.792000000000016</v>
      </c>
      <c r="L140" s="8">
        <f>Table23[[#This Row],[Revenue]]-Table23[[#This Row],[Total Cost]]</f>
        <v>52.05</v>
      </c>
      <c r="M140" s="16">
        <f>(Table23[[#This Row],[Profit]]/Table23[[#This Row],[Revenue]])</f>
        <v>0.58587154724116963</v>
      </c>
      <c r="N140" t="s">
        <v>33</v>
      </c>
    </row>
    <row r="141" spans="1:14" x14ac:dyDescent="0.25">
      <c r="A141" s="11" t="s">
        <v>1068</v>
      </c>
      <c r="B141" s="6">
        <v>45499</v>
      </c>
      <c r="C141" s="11" t="s">
        <v>386</v>
      </c>
      <c r="D141" s="11" t="s">
        <v>14</v>
      </c>
      <c r="E141" s="11" t="s">
        <v>848</v>
      </c>
      <c r="F141" s="11" t="s">
        <v>833</v>
      </c>
      <c r="G141" s="7">
        <v>3</v>
      </c>
      <c r="H141" s="8">
        <v>129.13999999999999</v>
      </c>
      <c r="I141" s="13">
        <v>0.1</v>
      </c>
      <c r="J141" s="8">
        <f>(Table23[[#This Row],[Quantity]]*Table23[[#This Row],[Unit Price]])-(Table23[[#This Row],[Unit Price]]*Table23[[#This Row],[Dscount]])*Table23[[#This Row],[Quantity]]</f>
        <v>348.67799999999994</v>
      </c>
      <c r="K141" s="8">
        <v>296.66799999999995</v>
      </c>
      <c r="L141" s="8">
        <f>Table23[[#This Row],[Revenue]]-Table23[[#This Row],[Total Cost]]</f>
        <v>52.009999999999991</v>
      </c>
      <c r="M141" s="16">
        <f>(Table23[[#This Row],[Profit]]/Table23[[#This Row],[Revenue]])</f>
        <v>0.14916341151434848</v>
      </c>
      <c r="N141" t="s">
        <v>33</v>
      </c>
    </row>
    <row r="142" spans="1:14" x14ac:dyDescent="0.25">
      <c r="A142" s="11" t="s">
        <v>1382</v>
      </c>
      <c r="B142" s="6">
        <v>45609</v>
      </c>
      <c r="C142" s="11" t="s">
        <v>759</v>
      </c>
      <c r="D142" s="11" t="s">
        <v>14</v>
      </c>
      <c r="E142" s="11" t="s">
        <v>1184</v>
      </c>
      <c r="F142" s="11" t="s">
        <v>1112</v>
      </c>
      <c r="G142" s="7">
        <v>2</v>
      </c>
      <c r="H142" s="8">
        <v>78.63</v>
      </c>
      <c r="I142" s="13">
        <v>0</v>
      </c>
      <c r="J142" s="8">
        <f>(Table23[[#This Row],[Quantity]]*Table23[[#This Row],[Unit Price]])-(Table23[[#This Row],[Unit Price]]*Table23[[#This Row],[Dscount]])*Table23[[#This Row],[Quantity]]</f>
        <v>157.26</v>
      </c>
      <c r="K142" s="8">
        <v>105.35</v>
      </c>
      <c r="L142" s="8">
        <f>Table23[[#This Row],[Revenue]]-Table23[[#This Row],[Total Cost]]</f>
        <v>51.91</v>
      </c>
      <c r="M142" s="16">
        <f>(Table23[[#This Row],[Profit]]/Table23[[#This Row],[Revenue]])</f>
        <v>0.33009029632455805</v>
      </c>
      <c r="N142" t="s">
        <v>33</v>
      </c>
    </row>
    <row r="143" spans="1:14" x14ac:dyDescent="0.25">
      <c r="A143" s="11" t="s">
        <v>740</v>
      </c>
      <c r="B143" s="6">
        <v>45753</v>
      </c>
      <c r="C143" s="11" t="s">
        <v>325</v>
      </c>
      <c r="D143" s="11" t="s">
        <v>20</v>
      </c>
      <c r="E143" s="11" t="s">
        <v>505</v>
      </c>
      <c r="F143" s="11" t="s">
        <v>480</v>
      </c>
      <c r="G143" s="7">
        <v>4</v>
      </c>
      <c r="H143" s="8">
        <v>34.840000000000003</v>
      </c>
      <c r="I143" s="13">
        <v>0</v>
      </c>
      <c r="J143" s="8">
        <f>(Table23[[#This Row],[Quantity]]*Table23[[#This Row],[Unit Price]])-(Table23[[#This Row],[Unit Price]]*Table23[[#This Row],[Dscount]])*Table23[[#This Row],[Quantity]]</f>
        <v>139.36000000000001</v>
      </c>
      <c r="K143" s="8">
        <v>87.62</v>
      </c>
      <c r="L143" s="8">
        <f>Table23[[#This Row],[Revenue]]-Table23[[#This Row],[Total Cost]]</f>
        <v>51.740000000000009</v>
      </c>
      <c r="M143" s="16">
        <f>(Table23[[#This Row],[Profit]]/Table23[[#This Row],[Revenue]])</f>
        <v>0.37126865671641796</v>
      </c>
      <c r="N143" t="s">
        <v>17</v>
      </c>
    </row>
    <row r="144" spans="1:14" x14ac:dyDescent="0.25">
      <c r="A144" s="11" t="s">
        <v>413</v>
      </c>
      <c r="B144" s="6">
        <v>45527</v>
      </c>
      <c r="C144" s="11" t="s">
        <v>414</v>
      </c>
      <c r="D144" s="11" t="s">
        <v>31</v>
      </c>
      <c r="E144" s="11" t="s">
        <v>28</v>
      </c>
      <c r="F144" s="11" t="s">
        <v>16</v>
      </c>
      <c r="G144" s="7">
        <v>5</v>
      </c>
      <c r="H144" s="8">
        <v>20.95</v>
      </c>
      <c r="I144" s="13">
        <v>0.15</v>
      </c>
      <c r="J144" s="8">
        <f>(Table23[[#This Row],[Quantity]]*Table23[[#This Row],[Unit Price]])-(Table23[[#This Row],[Unit Price]]*Table23[[#This Row],[Dscount]])*Table23[[#This Row],[Quantity]]</f>
        <v>89.037499999999994</v>
      </c>
      <c r="K144" s="8">
        <v>37.617499999999993</v>
      </c>
      <c r="L144" s="8">
        <f>Table23[[#This Row],[Revenue]]-Table23[[#This Row],[Total Cost]]</f>
        <v>51.42</v>
      </c>
      <c r="M144" s="16">
        <f>(Table23[[#This Row],[Profit]]/Table23[[#This Row],[Revenue]])</f>
        <v>0.57750947634423699</v>
      </c>
      <c r="N144" t="s">
        <v>33</v>
      </c>
    </row>
    <row r="145" spans="1:14" x14ac:dyDescent="0.25">
      <c r="A145" s="11" t="s">
        <v>1067</v>
      </c>
      <c r="B145" s="6">
        <v>45505</v>
      </c>
      <c r="C145" s="11" t="s">
        <v>126</v>
      </c>
      <c r="D145" s="11" t="s">
        <v>31</v>
      </c>
      <c r="E145" s="11" t="s">
        <v>860</v>
      </c>
      <c r="F145" s="11" t="s">
        <v>833</v>
      </c>
      <c r="G145" s="7">
        <v>2</v>
      </c>
      <c r="H145" s="8">
        <v>111.83</v>
      </c>
      <c r="I145" s="13">
        <v>0.05</v>
      </c>
      <c r="J145" s="8">
        <f>(Table23[[#This Row],[Quantity]]*Table23[[#This Row],[Unit Price]])-(Table23[[#This Row],[Unit Price]]*Table23[[#This Row],[Dscount]])*Table23[[#This Row],[Quantity]]</f>
        <v>212.477</v>
      </c>
      <c r="K145" s="8">
        <v>161.297</v>
      </c>
      <c r="L145" s="8">
        <f>Table23[[#This Row],[Revenue]]-Table23[[#This Row],[Total Cost]]</f>
        <v>51.180000000000007</v>
      </c>
      <c r="M145" s="16">
        <f>(Table23[[#This Row],[Profit]]/Table23[[#This Row],[Revenue]])</f>
        <v>0.24087312979757811</v>
      </c>
      <c r="N145" t="s">
        <v>33</v>
      </c>
    </row>
    <row r="146" spans="1:14" x14ac:dyDescent="0.25">
      <c r="A146" s="11" t="s">
        <v>1380</v>
      </c>
      <c r="B146" s="6">
        <v>45762</v>
      </c>
      <c r="C146" s="11" t="s">
        <v>1381</v>
      </c>
      <c r="D146" s="11" t="s">
        <v>24</v>
      </c>
      <c r="E146" s="11" t="s">
        <v>1111</v>
      </c>
      <c r="F146" s="11" t="s">
        <v>1112</v>
      </c>
      <c r="G146" s="7">
        <v>3</v>
      </c>
      <c r="H146" s="8">
        <v>61.19</v>
      </c>
      <c r="I146" s="13">
        <v>0.2</v>
      </c>
      <c r="J146" s="8">
        <f>(Table23[[#This Row],[Quantity]]*Table23[[#This Row],[Unit Price]])-(Table23[[#This Row],[Unit Price]]*Table23[[#This Row],[Dscount]])*Table23[[#This Row],[Quantity]]</f>
        <v>146.85599999999999</v>
      </c>
      <c r="K146" s="8">
        <v>95.786000000000001</v>
      </c>
      <c r="L146" s="8">
        <f>Table23[[#This Row],[Revenue]]-Table23[[#This Row],[Total Cost]]</f>
        <v>51.069999999999993</v>
      </c>
      <c r="M146" s="16">
        <f>(Table23[[#This Row],[Profit]]/Table23[[#This Row],[Revenue]])</f>
        <v>0.34775562455738951</v>
      </c>
      <c r="N146" t="s">
        <v>33</v>
      </c>
    </row>
    <row r="147" spans="1:14" x14ac:dyDescent="0.25">
      <c r="A147" s="11" t="s">
        <v>412</v>
      </c>
      <c r="B147" s="6">
        <v>45368</v>
      </c>
      <c r="C147" s="11" t="s">
        <v>194</v>
      </c>
      <c r="D147" s="11" t="s">
        <v>14</v>
      </c>
      <c r="E147" s="11" t="s">
        <v>44</v>
      </c>
      <c r="F147" s="11" t="s">
        <v>16</v>
      </c>
      <c r="G147" s="7">
        <v>3</v>
      </c>
      <c r="H147" s="8">
        <v>31.44</v>
      </c>
      <c r="I147" s="13">
        <v>0</v>
      </c>
      <c r="J147" s="8">
        <f>(Table23[[#This Row],[Quantity]]*Table23[[#This Row],[Unit Price]])-(Table23[[#This Row],[Unit Price]]*Table23[[#This Row],[Dscount]])*Table23[[#This Row],[Quantity]]</f>
        <v>94.320000000000007</v>
      </c>
      <c r="K147" s="8">
        <v>43.77000000000001</v>
      </c>
      <c r="L147" s="8">
        <f>Table23[[#This Row],[Revenue]]-Table23[[#This Row],[Total Cost]]</f>
        <v>50.55</v>
      </c>
      <c r="M147" s="16">
        <f>(Table23[[#This Row],[Profit]]/Table23[[#This Row],[Revenue]])</f>
        <v>0.53594147582697194</v>
      </c>
      <c r="N147" t="s">
        <v>33</v>
      </c>
    </row>
    <row r="148" spans="1:14" x14ac:dyDescent="0.25">
      <c r="A148" s="11" t="s">
        <v>738</v>
      </c>
      <c r="B148" s="6">
        <v>45549</v>
      </c>
      <c r="C148" s="11" t="s">
        <v>739</v>
      </c>
      <c r="D148" s="11" t="s">
        <v>31</v>
      </c>
      <c r="E148" s="11" t="s">
        <v>503</v>
      </c>
      <c r="F148" s="11" t="s">
        <v>480</v>
      </c>
      <c r="G148" s="7">
        <v>3</v>
      </c>
      <c r="H148" s="8">
        <v>35.11</v>
      </c>
      <c r="I148" s="13">
        <v>0.05</v>
      </c>
      <c r="J148" s="8">
        <f>(Table23[[#This Row],[Quantity]]*Table23[[#This Row],[Unit Price]])-(Table23[[#This Row],[Unit Price]]*Table23[[#This Row],[Dscount]])*Table23[[#This Row],[Quantity]]</f>
        <v>100.0635</v>
      </c>
      <c r="K148" s="8">
        <v>49.563500000000005</v>
      </c>
      <c r="L148" s="8">
        <f>Table23[[#This Row],[Revenue]]-Table23[[#This Row],[Total Cost]]</f>
        <v>50.5</v>
      </c>
      <c r="M148" s="16">
        <f>(Table23[[#This Row],[Profit]]/Table23[[#This Row],[Revenue]])</f>
        <v>0.5046795284994029</v>
      </c>
      <c r="N148" t="s">
        <v>33</v>
      </c>
    </row>
    <row r="149" spans="1:14" x14ac:dyDescent="0.25">
      <c r="A149" s="11" t="s">
        <v>736</v>
      </c>
      <c r="B149" s="6">
        <v>45740</v>
      </c>
      <c r="C149" s="11" t="s">
        <v>737</v>
      </c>
      <c r="D149" s="11" t="s">
        <v>20</v>
      </c>
      <c r="E149" s="11" t="s">
        <v>486</v>
      </c>
      <c r="F149" s="11" t="s">
        <v>480</v>
      </c>
      <c r="G149" s="7">
        <v>2</v>
      </c>
      <c r="H149" s="8">
        <v>82.56</v>
      </c>
      <c r="I149" s="13">
        <v>0.05</v>
      </c>
      <c r="J149" s="8">
        <f>(Table23[[#This Row],[Quantity]]*Table23[[#This Row],[Unit Price]])-(Table23[[#This Row],[Unit Price]]*Table23[[#This Row],[Dscount]])*Table23[[#This Row],[Quantity]]</f>
        <v>156.864</v>
      </c>
      <c r="K149" s="8">
        <v>106.38400000000001</v>
      </c>
      <c r="L149" s="8">
        <f>Table23[[#This Row],[Revenue]]-Table23[[#This Row],[Total Cost]]</f>
        <v>50.47999999999999</v>
      </c>
      <c r="M149" s="16">
        <f>(Table23[[#This Row],[Profit]]/Table23[[#This Row],[Revenue]])</f>
        <v>0.3218074255405956</v>
      </c>
      <c r="N149" t="s">
        <v>33</v>
      </c>
    </row>
    <row r="150" spans="1:14" x14ac:dyDescent="0.25">
      <c r="A150" s="11" t="s">
        <v>1066</v>
      </c>
      <c r="B150" s="6">
        <v>45414</v>
      </c>
      <c r="C150" s="11" t="s">
        <v>660</v>
      </c>
      <c r="D150" s="11" t="s">
        <v>24</v>
      </c>
      <c r="E150" s="11" t="s">
        <v>835</v>
      </c>
      <c r="F150" s="11" t="s">
        <v>833</v>
      </c>
      <c r="G150" s="7">
        <v>4</v>
      </c>
      <c r="H150" s="8">
        <v>118.28</v>
      </c>
      <c r="I150" s="13">
        <v>0.05</v>
      </c>
      <c r="J150" s="8">
        <f>(Table23[[#This Row],[Quantity]]*Table23[[#This Row],[Unit Price]])-(Table23[[#This Row],[Unit Price]]*Table23[[#This Row],[Dscount]])*Table23[[#This Row],[Quantity]]</f>
        <v>449.464</v>
      </c>
      <c r="K150" s="8">
        <v>399.084</v>
      </c>
      <c r="L150" s="8">
        <f>Table23[[#This Row],[Revenue]]-Table23[[#This Row],[Total Cost]]</f>
        <v>50.379999999999995</v>
      </c>
      <c r="M150" s="16">
        <f>(Table23[[#This Row],[Profit]]/Table23[[#This Row],[Revenue]])</f>
        <v>0.11208906608760656</v>
      </c>
      <c r="N150" t="s">
        <v>17</v>
      </c>
    </row>
    <row r="151" spans="1:14" x14ac:dyDescent="0.25">
      <c r="A151" s="11" t="s">
        <v>1379</v>
      </c>
      <c r="B151" s="6">
        <v>45733</v>
      </c>
      <c r="C151" s="11" t="s">
        <v>1372</v>
      </c>
      <c r="D151" s="11" t="s">
        <v>24</v>
      </c>
      <c r="E151" s="11" t="s">
        <v>1134</v>
      </c>
      <c r="F151" s="11" t="s">
        <v>1112</v>
      </c>
      <c r="G151" s="7">
        <v>5</v>
      </c>
      <c r="H151" s="8">
        <v>31.67</v>
      </c>
      <c r="I151" s="13">
        <v>0.05</v>
      </c>
      <c r="J151" s="8">
        <f>(Table23[[#This Row],[Quantity]]*Table23[[#This Row],[Unit Price]])-(Table23[[#This Row],[Unit Price]]*Table23[[#This Row],[Dscount]])*Table23[[#This Row],[Quantity]]</f>
        <v>150.43250000000003</v>
      </c>
      <c r="K151" s="8">
        <v>100.06250000000003</v>
      </c>
      <c r="L151" s="8">
        <f>Table23[[#This Row],[Revenue]]-Table23[[#This Row],[Total Cost]]</f>
        <v>50.370000000000005</v>
      </c>
      <c r="M151" s="16">
        <f>(Table23[[#This Row],[Profit]]/Table23[[#This Row],[Revenue]])</f>
        <v>0.33483456035098796</v>
      </c>
      <c r="N151" t="s">
        <v>33</v>
      </c>
    </row>
    <row r="152" spans="1:14" x14ac:dyDescent="0.25">
      <c r="A152" s="11" t="s">
        <v>1065</v>
      </c>
      <c r="B152" s="6">
        <v>45682</v>
      </c>
      <c r="C152" s="11" t="s">
        <v>233</v>
      </c>
      <c r="D152" s="11" t="s">
        <v>36</v>
      </c>
      <c r="E152" s="11" t="s">
        <v>843</v>
      </c>
      <c r="F152" s="11" t="s">
        <v>833</v>
      </c>
      <c r="G152" s="7">
        <v>2</v>
      </c>
      <c r="H152" s="8">
        <v>137.69</v>
      </c>
      <c r="I152" s="13">
        <v>0.05</v>
      </c>
      <c r="J152" s="8">
        <f>(Table23[[#This Row],[Quantity]]*Table23[[#This Row],[Unit Price]])-(Table23[[#This Row],[Unit Price]]*Table23[[#This Row],[Dscount]])*Table23[[#This Row],[Quantity]]</f>
        <v>261.61099999999999</v>
      </c>
      <c r="K152" s="8">
        <v>211.351</v>
      </c>
      <c r="L152" s="8">
        <f>Table23[[#This Row],[Revenue]]-Table23[[#This Row],[Total Cost]]</f>
        <v>50.259999999999991</v>
      </c>
      <c r="M152" s="16">
        <f>(Table23[[#This Row],[Profit]]/Table23[[#This Row],[Revenue]])</f>
        <v>0.19211730393599655</v>
      </c>
      <c r="N152" t="s">
        <v>17</v>
      </c>
    </row>
    <row r="153" spans="1:14" x14ac:dyDescent="0.25">
      <c r="A153" s="11" t="s">
        <v>1736</v>
      </c>
      <c r="B153" s="6">
        <v>45551</v>
      </c>
      <c r="C153" s="11" t="s">
        <v>1737</v>
      </c>
      <c r="D153" s="11" t="s">
        <v>14</v>
      </c>
      <c r="E153" s="11" t="s">
        <v>1439</v>
      </c>
      <c r="F153" s="11" t="s">
        <v>1417</v>
      </c>
      <c r="G153" s="7">
        <v>4</v>
      </c>
      <c r="H153" s="8">
        <v>49.44</v>
      </c>
      <c r="I153" s="13">
        <v>0</v>
      </c>
      <c r="J153" s="8">
        <f>(Table23[[#This Row],[Quantity]]*Table23[[#This Row],[Unit Price]])-(Table23[[#This Row],[Unit Price]]*Table23[[#This Row],[Dscount]])*Table23[[#This Row],[Quantity]]</f>
        <v>197.76</v>
      </c>
      <c r="K153" s="8">
        <v>147.51999999999998</v>
      </c>
      <c r="L153" s="8">
        <f>Table23[[#This Row],[Revenue]]-Table23[[#This Row],[Total Cost]]</f>
        <v>50.240000000000009</v>
      </c>
      <c r="M153" s="16">
        <f>(Table23[[#This Row],[Profit]]/Table23[[#This Row],[Revenue]])</f>
        <v>0.25404530744336573</v>
      </c>
      <c r="N153" t="s">
        <v>17</v>
      </c>
    </row>
    <row r="154" spans="1:14" x14ac:dyDescent="0.25">
      <c r="A154" s="11" t="s">
        <v>734</v>
      </c>
      <c r="B154" s="6">
        <v>45972</v>
      </c>
      <c r="C154" s="11" t="s">
        <v>735</v>
      </c>
      <c r="D154" s="11" t="s">
        <v>31</v>
      </c>
      <c r="E154" s="11" t="s">
        <v>489</v>
      </c>
      <c r="F154" s="11" t="s">
        <v>480</v>
      </c>
      <c r="G154" s="7">
        <v>3</v>
      </c>
      <c r="H154" s="8">
        <v>50.3</v>
      </c>
      <c r="I154" s="13">
        <v>0.05</v>
      </c>
      <c r="J154" s="8">
        <f>(Table23[[#This Row],[Quantity]]*Table23[[#This Row],[Unit Price]])-(Table23[[#This Row],[Unit Price]]*Table23[[#This Row],[Dscount]])*Table23[[#This Row],[Quantity]]</f>
        <v>143.35499999999999</v>
      </c>
      <c r="K154" s="8">
        <v>93.164999999999992</v>
      </c>
      <c r="L154" s="8">
        <f>Table23[[#This Row],[Revenue]]-Table23[[#This Row],[Total Cost]]</f>
        <v>50.19</v>
      </c>
      <c r="M154" s="16">
        <f>(Table23[[#This Row],[Profit]]/Table23[[#This Row],[Revenue]])</f>
        <v>0.35010986711311082</v>
      </c>
      <c r="N154" t="s">
        <v>33</v>
      </c>
    </row>
    <row r="155" spans="1:14" x14ac:dyDescent="0.25">
      <c r="A155" s="11" t="s">
        <v>1378</v>
      </c>
      <c r="B155" s="6">
        <v>45557</v>
      </c>
      <c r="C155" s="11" t="s">
        <v>645</v>
      </c>
      <c r="D155" s="11" t="s">
        <v>14</v>
      </c>
      <c r="E155" s="11" t="s">
        <v>1134</v>
      </c>
      <c r="F155" s="11" t="s">
        <v>1112</v>
      </c>
      <c r="G155" s="7">
        <v>3</v>
      </c>
      <c r="H155" s="8">
        <v>65.89</v>
      </c>
      <c r="I155" s="13">
        <v>0.15</v>
      </c>
      <c r="J155" s="8">
        <f>(Table23[[#This Row],[Quantity]]*Table23[[#This Row],[Unit Price]])-(Table23[[#This Row],[Unit Price]]*Table23[[#This Row],[Dscount]])*Table23[[#This Row],[Quantity]]</f>
        <v>168.01950000000002</v>
      </c>
      <c r="K155" s="8">
        <v>117.85950000000003</v>
      </c>
      <c r="L155" s="8">
        <f>Table23[[#This Row],[Revenue]]-Table23[[#This Row],[Total Cost]]</f>
        <v>50.16</v>
      </c>
      <c r="M155" s="16">
        <f>(Table23[[#This Row],[Profit]]/Table23[[#This Row],[Revenue]])</f>
        <v>0.2985367769812432</v>
      </c>
      <c r="N155" t="s">
        <v>33</v>
      </c>
    </row>
    <row r="156" spans="1:14" x14ac:dyDescent="0.25">
      <c r="A156" s="11" t="s">
        <v>732</v>
      </c>
      <c r="B156" s="6">
        <v>45605</v>
      </c>
      <c r="C156" s="11" t="s">
        <v>733</v>
      </c>
      <c r="D156" s="11" t="s">
        <v>14</v>
      </c>
      <c r="E156" s="11" t="s">
        <v>500</v>
      </c>
      <c r="F156" s="11" t="s">
        <v>480</v>
      </c>
      <c r="G156" s="7">
        <v>2</v>
      </c>
      <c r="H156" s="8">
        <v>65.89</v>
      </c>
      <c r="I156" s="13">
        <v>0.25</v>
      </c>
      <c r="J156" s="8">
        <f>(Table23[[#This Row],[Quantity]]*Table23[[#This Row],[Unit Price]])-(Table23[[#This Row],[Unit Price]]*Table23[[#This Row],[Dscount]])*Table23[[#This Row],[Quantity]]</f>
        <v>98.835000000000008</v>
      </c>
      <c r="K156" s="8">
        <v>48.705000000000005</v>
      </c>
      <c r="L156" s="8">
        <f>Table23[[#This Row],[Revenue]]-Table23[[#This Row],[Total Cost]]</f>
        <v>50.13</v>
      </c>
      <c r="M156" s="16">
        <f>(Table23[[#This Row],[Profit]]/Table23[[#This Row],[Revenue]])</f>
        <v>0.50720898467142206</v>
      </c>
      <c r="N156" t="s">
        <v>33</v>
      </c>
    </row>
    <row r="157" spans="1:14" x14ac:dyDescent="0.25">
      <c r="A157" s="11" t="s">
        <v>1377</v>
      </c>
      <c r="B157" s="6">
        <v>45645</v>
      </c>
      <c r="C157" s="11" t="s">
        <v>1161</v>
      </c>
      <c r="D157" s="11" t="s">
        <v>31</v>
      </c>
      <c r="E157" s="11" t="s">
        <v>1117</v>
      </c>
      <c r="F157" s="11" t="s">
        <v>1112</v>
      </c>
      <c r="G157" s="7">
        <v>5</v>
      </c>
      <c r="H157" s="8">
        <v>48.14</v>
      </c>
      <c r="I157" s="13">
        <v>0.1</v>
      </c>
      <c r="J157" s="8">
        <f>(Table23[[#This Row],[Quantity]]*Table23[[#This Row],[Unit Price]])-(Table23[[#This Row],[Unit Price]]*Table23[[#This Row],[Dscount]])*Table23[[#This Row],[Quantity]]</f>
        <v>216.63</v>
      </c>
      <c r="K157" s="8">
        <v>166.69</v>
      </c>
      <c r="L157" s="8">
        <f>Table23[[#This Row],[Revenue]]-Table23[[#This Row],[Total Cost]]</f>
        <v>49.94</v>
      </c>
      <c r="M157" s="16">
        <f>(Table23[[#This Row],[Profit]]/Table23[[#This Row],[Revenue]])</f>
        <v>0.23053132068503901</v>
      </c>
      <c r="N157" t="s">
        <v>33</v>
      </c>
    </row>
    <row r="158" spans="1:14" x14ac:dyDescent="0.25">
      <c r="A158" s="11" t="s">
        <v>410</v>
      </c>
      <c r="B158" s="6">
        <v>45343</v>
      </c>
      <c r="C158" s="11" t="s">
        <v>411</v>
      </c>
      <c r="D158" s="11" t="s">
        <v>24</v>
      </c>
      <c r="E158" s="11" t="s">
        <v>28</v>
      </c>
      <c r="F158" s="11" t="s">
        <v>16</v>
      </c>
      <c r="G158" s="7">
        <v>2</v>
      </c>
      <c r="H158" s="8">
        <v>42.69</v>
      </c>
      <c r="I158" s="13">
        <v>0</v>
      </c>
      <c r="J158" s="8">
        <f>(Table23[[#This Row],[Quantity]]*Table23[[#This Row],[Unit Price]])-(Table23[[#This Row],[Unit Price]]*Table23[[#This Row],[Dscount]])*Table23[[#This Row],[Quantity]]</f>
        <v>85.38</v>
      </c>
      <c r="K158" s="8">
        <v>35.629999999999995</v>
      </c>
      <c r="L158" s="8">
        <f>Table23[[#This Row],[Revenue]]-Table23[[#This Row],[Total Cost]]</f>
        <v>49.75</v>
      </c>
      <c r="M158" s="16">
        <f>(Table23[[#This Row],[Profit]]/Table23[[#This Row],[Revenue]])</f>
        <v>0.58268915436870461</v>
      </c>
      <c r="N158" t="s">
        <v>17</v>
      </c>
    </row>
    <row r="159" spans="1:14" x14ac:dyDescent="0.25">
      <c r="A159" s="11" t="s">
        <v>408</v>
      </c>
      <c r="B159" s="6">
        <v>45630</v>
      </c>
      <c r="C159" s="11" t="s">
        <v>409</v>
      </c>
      <c r="D159" s="11" t="s">
        <v>31</v>
      </c>
      <c r="E159" s="11" t="s">
        <v>21</v>
      </c>
      <c r="F159" s="11" t="s">
        <v>16</v>
      </c>
      <c r="G159" s="7">
        <v>2</v>
      </c>
      <c r="H159" s="8">
        <v>45.06</v>
      </c>
      <c r="I159" s="13">
        <v>0</v>
      </c>
      <c r="J159" s="8">
        <f>(Table23[[#This Row],[Quantity]]*Table23[[#This Row],[Unit Price]])-(Table23[[#This Row],[Unit Price]]*Table23[[#This Row],[Dscount]])*Table23[[#This Row],[Quantity]]</f>
        <v>90.12</v>
      </c>
      <c r="K159" s="8">
        <v>40.620000000000005</v>
      </c>
      <c r="L159" s="8">
        <f>Table23[[#This Row],[Revenue]]-Table23[[#This Row],[Total Cost]]</f>
        <v>49.5</v>
      </c>
      <c r="M159" s="16">
        <f>(Table23[[#This Row],[Profit]]/Table23[[#This Row],[Revenue]])</f>
        <v>0.54926764314247667</v>
      </c>
      <c r="N159" t="s">
        <v>33</v>
      </c>
    </row>
    <row r="160" spans="1:14" x14ac:dyDescent="0.25">
      <c r="A160" s="11" t="s">
        <v>1735</v>
      </c>
      <c r="B160" s="6">
        <v>45367</v>
      </c>
      <c r="C160" s="11" t="s">
        <v>1009</v>
      </c>
      <c r="D160" s="11" t="s">
        <v>31</v>
      </c>
      <c r="E160" s="11" t="s">
        <v>1429</v>
      </c>
      <c r="F160" s="11" t="s">
        <v>1417</v>
      </c>
      <c r="G160" s="7">
        <v>4</v>
      </c>
      <c r="H160" s="8">
        <v>59.46</v>
      </c>
      <c r="I160" s="13">
        <v>0</v>
      </c>
      <c r="J160" s="8">
        <f>(Table23[[#This Row],[Quantity]]*Table23[[#This Row],[Unit Price]])-(Table23[[#This Row],[Unit Price]]*Table23[[#This Row],[Dscount]])*Table23[[#This Row],[Quantity]]</f>
        <v>237.84</v>
      </c>
      <c r="K160" s="8">
        <v>188.53</v>
      </c>
      <c r="L160" s="8">
        <f>Table23[[#This Row],[Revenue]]-Table23[[#This Row],[Total Cost]]</f>
        <v>49.31</v>
      </c>
      <c r="M160" s="16">
        <f>(Table23[[#This Row],[Profit]]/Table23[[#This Row],[Revenue]])</f>
        <v>0.20732425159771276</v>
      </c>
      <c r="N160" t="s">
        <v>33</v>
      </c>
    </row>
    <row r="161" spans="1:14" x14ac:dyDescent="0.25">
      <c r="A161" s="11" t="s">
        <v>406</v>
      </c>
      <c r="B161" s="6">
        <v>45436</v>
      </c>
      <c r="C161" s="11" t="s">
        <v>407</v>
      </c>
      <c r="D161" s="11" t="s">
        <v>31</v>
      </c>
      <c r="E161" s="11" t="s">
        <v>44</v>
      </c>
      <c r="F161" s="11" t="s">
        <v>16</v>
      </c>
      <c r="G161" s="7">
        <v>3</v>
      </c>
      <c r="H161" s="8">
        <v>25.71</v>
      </c>
      <c r="I161" s="13">
        <v>0</v>
      </c>
      <c r="J161" s="8">
        <f>(Table23[[#This Row],[Quantity]]*Table23[[#This Row],[Unit Price]])-(Table23[[#This Row],[Unit Price]]*Table23[[#This Row],[Dscount]])*Table23[[#This Row],[Quantity]]</f>
        <v>77.13</v>
      </c>
      <c r="K161" s="8">
        <v>27.849999999999994</v>
      </c>
      <c r="L161" s="8">
        <f>Table23[[#This Row],[Revenue]]-Table23[[#This Row],[Total Cost]]</f>
        <v>49.28</v>
      </c>
      <c r="M161" s="16">
        <f>(Table23[[#This Row],[Profit]]/Table23[[#This Row],[Revenue]])</f>
        <v>0.63892130169843131</v>
      </c>
      <c r="N161" t="s">
        <v>33</v>
      </c>
    </row>
    <row r="162" spans="1:14" x14ac:dyDescent="0.25">
      <c r="A162" s="11" t="s">
        <v>405</v>
      </c>
      <c r="B162" s="6">
        <v>45948</v>
      </c>
      <c r="C162" s="11" t="s">
        <v>94</v>
      </c>
      <c r="D162" s="11" t="s">
        <v>20</v>
      </c>
      <c r="E162" s="11" t="s">
        <v>28</v>
      </c>
      <c r="F162" s="11" t="s">
        <v>16</v>
      </c>
      <c r="G162" s="7">
        <v>2</v>
      </c>
      <c r="H162" s="8">
        <v>38.67</v>
      </c>
      <c r="I162" s="13">
        <v>0</v>
      </c>
      <c r="J162" s="8">
        <f>(Table23[[#This Row],[Quantity]]*Table23[[#This Row],[Unit Price]])-(Table23[[#This Row],[Unit Price]]*Table23[[#This Row],[Dscount]])*Table23[[#This Row],[Quantity]]</f>
        <v>77.34</v>
      </c>
      <c r="K162" s="8">
        <v>28.230000000000004</v>
      </c>
      <c r="L162" s="8">
        <f>Table23[[#This Row],[Revenue]]-Table23[[#This Row],[Total Cost]]</f>
        <v>49.11</v>
      </c>
      <c r="M162" s="16">
        <f>(Table23[[#This Row],[Profit]]/Table23[[#This Row],[Revenue]])</f>
        <v>0.6349883630721489</v>
      </c>
      <c r="N162" t="s">
        <v>33</v>
      </c>
    </row>
    <row r="163" spans="1:14" x14ac:dyDescent="0.25">
      <c r="A163" s="11" t="s">
        <v>1063</v>
      </c>
      <c r="B163" s="6">
        <v>45830</v>
      </c>
      <c r="C163" s="11" t="s">
        <v>1064</v>
      </c>
      <c r="D163" s="11" t="s">
        <v>20</v>
      </c>
      <c r="E163" s="11" t="s">
        <v>846</v>
      </c>
      <c r="F163" s="11" t="s">
        <v>833</v>
      </c>
      <c r="G163" s="7">
        <v>3</v>
      </c>
      <c r="H163" s="8">
        <v>94.51</v>
      </c>
      <c r="I163" s="13">
        <v>0.15</v>
      </c>
      <c r="J163" s="8">
        <f>(Table23[[#This Row],[Quantity]]*Table23[[#This Row],[Unit Price]])-(Table23[[#This Row],[Unit Price]]*Table23[[#This Row],[Dscount]])*Table23[[#This Row],[Quantity]]</f>
        <v>241.00050000000005</v>
      </c>
      <c r="K163" s="8">
        <v>191.91050000000004</v>
      </c>
      <c r="L163" s="8">
        <f>Table23[[#This Row],[Revenue]]-Table23[[#This Row],[Total Cost]]</f>
        <v>49.09</v>
      </c>
      <c r="M163" s="16">
        <f>(Table23[[#This Row],[Profit]]/Table23[[#This Row],[Revenue]])</f>
        <v>0.20369252345949487</v>
      </c>
      <c r="N163" t="s">
        <v>33</v>
      </c>
    </row>
    <row r="164" spans="1:14" x14ac:dyDescent="0.25">
      <c r="A164" s="11" t="s">
        <v>403</v>
      </c>
      <c r="B164" s="6">
        <v>45954</v>
      </c>
      <c r="C164" s="11" t="s">
        <v>404</v>
      </c>
      <c r="D164" s="11" t="s">
        <v>36</v>
      </c>
      <c r="E164" s="11" t="s">
        <v>32</v>
      </c>
      <c r="F164" s="11" t="s">
        <v>16</v>
      </c>
      <c r="G164" s="7">
        <v>5</v>
      </c>
      <c r="H164" s="8">
        <v>19.52</v>
      </c>
      <c r="I164" s="13">
        <v>0</v>
      </c>
      <c r="J164" s="8">
        <f>(Table23[[#This Row],[Quantity]]*Table23[[#This Row],[Unit Price]])-(Table23[[#This Row],[Unit Price]]*Table23[[#This Row],[Dscount]])*Table23[[#This Row],[Quantity]]</f>
        <v>97.6</v>
      </c>
      <c r="K164" s="8">
        <v>48.599999999999994</v>
      </c>
      <c r="L164" s="8">
        <f>Table23[[#This Row],[Revenue]]-Table23[[#This Row],[Total Cost]]</f>
        <v>49</v>
      </c>
      <c r="M164" s="16">
        <f>(Table23[[#This Row],[Profit]]/Table23[[#This Row],[Revenue]])</f>
        <v>0.50204918032786883</v>
      </c>
      <c r="N164" t="s">
        <v>33</v>
      </c>
    </row>
    <row r="165" spans="1:14" x14ac:dyDescent="0.25">
      <c r="A165" s="11" t="s">
        <v>402</v>
      </c>
      <c r="B165" s="6">
        <v>45365</v>
      </c>
      <c r="C165" s="11" t="s">
        <v>190</v>
      </c>
      <c r="D165" s="11" t="s">
        <v>14</v>
      </c>
      <c r="E165" s="11" t="s">
        <v>28</v>
      </c>
      <c r="F165" s="11" t="s">
        <v>16</v>
      </c>
      <c r="G165" s="7">
        <v>3</v>
      </c>
      <c r="H165" s="8">
        <v>39.61</v>
      </c>
      <c r="I165" s="13">
        <v>0.1</v>
      </c>
      <c r="J165" s="8">
        <f>(Table23[[#This Row],[Quantity]]*Table23[[#This Row],[Unit Price]])-(Table23[[#This Row],[Unit Price]]*Table23[[#This Row],[Dscount]])*Table23[[#This Row],[Quantity]]</f>
        <v>106.947</v>
      </c>
      <c r="K165" s="8">
        <v>58.007000000000005</v>
      </c>
      <c r="L165" s="8">
        <f>Table23[[#This Row],[Revenue]]-Table23[[#This Row],[Total Cost]]</f>
        <v>48.94</v>
      </c>
      <c r="M165" s="16">
        <f>(Table23[[#This Row],[Profit]]/Table23[[#This Row],[Revenue]])</f>
        <v>0.4576098441284</v>
      </c>
      <c r="N165" t="s">
        <v>33</v>
      </c>
    </row>
    <row r="166" spans="1:14" x14ac:dyDescent="0.25">
      <c r="A166" s="11" t="s">
        <v>730</v>
      </c>
      <c r="B166" s="6">
        <v>45543</v>
      </c>
      <c r="C166" s="11" t="s">
        <v>731</v>
      </c>
      <c r="D166" s="11" t="s">
        <v>31</v>
      </c>
      <c r="E166" s="11" t="s">
        <v>496</v>
      </c>
      <c r="F166" s="11" t="s">
        <v>480</v>
      </c>
      <c r="G166" s="7">
        <v>2</v>
      </c>
      <c r="H166" s="8">
        <v>51.46</v>
      </c>
      <c r="I166" s="13">
        <v>0</v>
      </c>
      <c r="J166" s="8">
        <f>(Table23[[#This Row],[Quantity]]*Table23[[#This Row],[Unit Price]])-(Table23[[#This Row],[Unit Price]]*Table23[[#This Row],[Dscount]])*Table23[[#This Row],[Quantity]]</f>
        <v>102.92</v>
      </c>
      <c r="K166" s="8">
        <v>54.46</v>
      </c>
      <c r="L166" s="8">
        <f>Table23[[#This Row],[Revenue]]-Table23[[#This Row],[Total Cost]]</f>
        <v>48.46</v>
      </c>
      <c r="M166" s="16">
        <f>(Table23[[#This Row],[Profit]]/Table23[[#This Row],[Revenue]])</f>
        <v>0.47085114652157017</v>
      </c>
      <c r="N166" t="s">
        <v>33</v>
      </c>
    </row>
    <row r="167" spans="1:14" x14ac:dyDescent="0.25">
      <c r="A167" s="11" t="s">
        <v>1734</v>
      </c>
      <c r="B167" s="6">
        <v>45624</v>
      </c>
      <c r="C167" s="11" t="s">
        <v>138</v>
      </c>
      <c r="D167" s="11" t="s">
        <v>36</v>
      </c>
      <c r="E167" s="11" t="s">
        <v>1436</v>
      </c>
      <c r="F167" s="11" t="s">
        <v>1417</v>
      </c>
      <c r="G167" s="7">
        <v>4</v>
      </c>
      <c r="H167" s="8">
        <v>51.81</v>
      </c>
      <c r="I167" s="13">
        <v>0.05</v>
      </c>
      <c r="J167" s="8">
        <f>(Table23[[#This Row],[Quantity]]*Table23[[#This Row],[Unit Price]])-(Table23[[#This Row],[Unit Price]]*Table23[[#This Row],[Dscount]])*Table23[[#This Row],[Quantity]]</f>
        <v>196.87800000000001</v>
      </c>
      <c r="K167" s="8">
        <v>148.428</v>
      </c>
      <c r="L167" s="8">
        <f>Table23[[#This Row],[Revenue]]-Table23[[#This Row],[Total Cost]]</f>
        <v>48.450000000000017</v>
      </c>
      <c r="M167" s="16">
        <f>(Table23[[#This Row],[Profit]]/Table23[[#This Row],[Revenue]])</f>
        <v>0.24609148812970477</v>
      </c>
      <c r="N167" t="s">
        <v>17</v>
      </c>
    </row>
    <row r="168" spans="1:14" x14ac:dyDescent="0.25">
      <c r="A168" s="11" t="s">
        <v>728</v>
      </c>
      <c r="B168" s="6">
        <v>45759</v>
      </c>
      <c r="C168" s="11" t="s">
        <v>729</v>
      </c>
      <c r="D168" s="11" t="s">
        <v>24</v>
      </c>
      <c r="E168" s="11" t="s">
        <v>546</v>
      </c>
      <c r="F168" s="11" t="s">
        <v>480</v>
      </c>
      <c r="G168" s="7">
        <v>5</v>
      </c>
      <c r="H168" s="8">
        <v>28.02</v>
      </c>
      <c r="I168" s="13">
        <v>0.2</v>
      </c>
      <c r="J168" s="8">
        <f>(Table23[[#This Row],[Quantity]]*Table23[[#This Row],[Unit Price]])-(Table23[[#This Row],[Unit Price]]*Table23[[#This Row],[Dscount]])*Table23[[#This Row],[Quantity]]</f>
        <v>112.08</v>
      </c>
      <c r="K168" s="8">
        <v>63.91</v>
      </c>
      <c r="L168" s="8">
        <f>Table23[[#This Row],[Revenue]]-Table23[[#This Row],[Total Cost]]</f>
        <v>48.17</v>
      </c>
      <c r="M168" s="16">
        <f>(Table23[[#This Row],[Profit]]/Table23[[#This Row],[Revenue]])</f>
        <v>0.4297822983583155</v>
      </c>
      <c r="N168" t="s">
        <v>33</v>
      </c>
    </row>
    <row r="169" spans="1:14" x14ac:dyDescent="0.25">
      <c r="A169" s="11" t="s">
        <v>1733</v>
      </c>
      <c r="B169" s="6">
        <v>45857</v>
      </c>
      <c r="C169" s="11" t="s">
        <v>1524</v>
      </c>
      <c r="D169" s="11" t="s">
        <v>24</v>
      </c>
      <c r="E169" s="11" t="s">
        <v>1420</v>
      </c>
      <c r="F169" s="11" t="s">
        <v>1417</v>
      </c>
      <c r="G169" s="7">
        <v>5</v>
      </c>
      <c r="H169" s="8">
        <v>53.24</v>
      </c>
      <c r="I169" s="13">
        <v>0.2</v>
      </c>
      <c r="J169" s="8">
        <f>(Table23[[#This Row],[Quantity]]*Table23[[#This Row],[Unit Price]])-(Table23[[#This Row],[Unit Price]]*Table23[[#This Row],[Dscount]])*Table23[[#This Row],[Quantity]]</f>
        <v>212.95999999999998</v>
      </c>
      <c r="K169" s="8">
        <v>164.98999999999998</v>
      </c>
      <c r="L169" s="8">
        <f>Table23[[#This Row],[Revenue]]-Table23[[#This Row],[Total Cost]]</f>
        <v>47.97</v>
      </c>
      <c r="M169" s="16">
        <f>(Table23[[#This Row],[Profit]]/Table23[[#This Row],[Revenue]])</f>
        <v>0.22525356874530431</v>
      </c>
      <c r="N169" t="s">
        <v>17</v>
      </c>
    </row>
    <row r="170" spans="1:14" x14ac:dyDescent="0.25">
      <c r="A170" s="11" t="s">
        <v>400</v>
      </c>
      <c r="B170" s="6">
        <v>45298</v>
      </c>
      <c r="C170" s="11" t="s">
        <v>401</v>
      </c>
      <c r="D170" s="11" t="s">
        <v>20</v>
      </c>
      <c r="E170" s="11" t="s">
        <v>44</v>
      </c>
      <c r="F170" s="11" t="s">
        <v>16</v>
      </c>
      <c r="G170" s="7">
        <v>3</v>
      </c>
      <c r="H170" s="8">
        <v>35.71</v>
      </c>
      <c r="I170" s="13">
        <v>0</v>
      </c>
      <c r="J170" s="8">
        <f>(Table23[[#This Row],[Quantity]]*Table23[[#This Row],[Unit Price]])-(Table23[[#This Row],[Unit Price]]*Table23[[#This Row],[Dscount]])*Table23[[#This Row],[Quantity]]</f>
        <v>107.13</v>
      </c>
      <c r="K170" s="8">
        <v>59.62</v>
      </c>
      <c r="L170" s="8">
        <f>Table23[[#This Row],[Revenue]]-Table23[[#This Row],[Total Cost]]</f>
        <v>47.51</v>
      </c>
      <c r="M170" s="16">
        <f>(Table23[[#This Row],[Profit]]/Table23[[#This Row],[Revenue]])</f>
        <v>0.44347988425277701</v>
      </c>
      <c r="N170" t="s">
        <v>33</v>
      </c>
    </row>
    <row r="171" spans="1:14" x14ac:dyDescent="0.25">
      <c r="A171" s="11" t="s">
        <v>727</v>
      </c>
      <c r="B171" s="6">
        <v>45302</v>
      </c>
      <c r="C171" s="11" t="s">
        <v>569</v>
      </c>
      <c r="D171" s="11" t="s">
        <v>24</v>
      </c>
      <c r="E171" s="11" t="s">
        <v>500</v>
      </c>
      <c r="F171" s="11" t="s">
        <v>480</v>
      </c>
      <c r="G171" s="7">
        <v>5</v>
      </c>
      <c r="H171" s="8">
        <v>26.63</v>
      </c>
      <c r="I171" s="13">
        <v>0.15</v>
      </c>
      <c r="J171" s="8">
        <f>(Table23[[#This Row],[Quantity]]*Table23[[#This Row],[Unit Price]])-(Table23[[#This Row],[Unit Price]]*Table23[[#This Row],[Dscount]])*Table23[[#This Row],[Quantity]]</f>
        <v>113.17750000000001</v>
      </c>
      <c r="K171" s="8">
        <v>65.877500000000012</v>
      </c>
      <c r="L171" s="8">
        <f>Table23[[#This Row],[Revenue]]-Table23[[#This Row],[Total Cost]]</f>
        <v>47.3</v>
      </c>
      <c r="M171" s="16">
        <f>(Table23[[#This Row],[Profit]]/Table23[[#This Row],[Revenue]])</f>
        <v>0.41792759161494109</v>
      </c>
      <c r="N171" t="s">
        <v>33</v>
      </c>
    </row>
    <row r="172" spans="1:14" x14ac:dyDescent="0.25">
      <c r="A172" s="11" t="s">
        <v>1375</v>
      </c>
      <c r="B172" s="6">
        <v>45425</v>
      </c>
      <c r="C172" s="11" t="s">
        <v>1376</v>
      </c>
      <c r="D172" s="11" t="s">
        <v>36</v>
      </c>
      <c r="E172" s="11" t="s">
        <v>1184</v>
      </c>
      <c r="F172" s="11" t="s">
        <v>1112</v>
      </c>
      <c r="G172" s="7">
        <v>4</v>
      </c>
      <c r="H172" s="8">
        <v>55.37</v>
      </c>
      <c r="I172" s="13">
        <v>0.05</v>
      </c>
      <c r="J172" s="8">
        <f>(Table23[[#This Row],[Quantity]]*Table23[[#This Row],[Unit Price]])-(Table23[[#This Row],[Unit Price]]*Table23[[#This Row],[Dscount]])*Table23[[#This Row],[Quantity]]</f>
        <v>210.40599999999998</v>
      </c>
      <c r="K172" s="8">
        <v>163.65599999999998</v>
      </c>
      <c r="L172" s="8">
        <f>Table23[[#This Row],[Revenue]]-Table23[[#This Row],[Total Cost]]</f>
        <v>46.75</v>
      </c>
      <c r="M172" s="16">
        <f>(Table23[[#This Row],[Profit]]/Table23[[#This Row],[Revenue]])</f>
        <v>0.22218948128855642</v>
      </c>
      <c r="N172" t="s">
        <v>48</v>
      </c>
    </row>
    <row r="173" spans="1:14" x14ac:dyDescent="0.25">
      <c r="A173" s="11" t="s">
        <v>725</v>
      </c>
      <c r="B173" s="6">
        <v>45669</v>
      </c>
      <c r="C173" s="11" t="s">
        <v>726</v>
      </c>
      <c r="D173" s="11" t="s">
        <v>14</v>
      </c>
      <c r="E173" s="11" t="s">
        <v>514</v>
      </c>
      <c r="F173" s="11" t="s">
        <v>480</v>
      </c>
      <c r="G173" s="7">
        <v>2</v>
      </c>
      <c r="H173" s="8">
        <v>62.72</v>
      </c>
      <c r="I173" s="13">
        <v>0.05</v>
      </c>
      <c r="J173" s="8">
        <f>(Table23[[#This Row],[Quantity]]*Table23[[#This Row],[Unit Price]])-(Table23[[#This Row],[Unit Price]]*Table23[[#This Row],[Dscount]])*Table23[[#This Row],[Quantity]]</f>
        <v>119.16799999999999</v>
      </c>
      <c r="K173" s="8">
        <v>72.457999999999998</v>
      </c>
      <c r="L173" s="8">
        <f>Table23[[#This Row],[Revenue]]-Table23[[#This Row],[Total Cost]]</f>
        <v>46.709999999999994</v>
      </c>
      <c r="M173" s="16">
        <f>(Table23[[#This Row],[Profit]]/Table23[[#This Row],[Revenue]])</f>
        <v>0.39196764232008591</v>
      </c>
      <c r="N173" t="s">
        <v>33</v>
      </c>
    </row>
    <row r="174" spans="1:14" x14ac:dyDescent="0.25">
      <c r="A174" s="11" t="s">
        <v>1731</v>
      </c>
      <c r="B174" s="6">
        <v>45688</v>
      </c>
      <c r="C174" s="11" t="s">
        <v>1732</v>
      </c>
      <c r="D174" s="11" t="s">
        <v>24</v>
      </c>
      <c r="E174" s="11" t="s">
        <v>1478</v>
      </c>
      <c r="F174" s="11" t="s">
        <v>1417</v>
      </c>
      <c r="G174" s="7">
        <v>3</v>
      </c>
      <c r="H174" s="8">
        <v>54.7</v>
      </c>
      <c r="I174" s="13">
        <v>0.15</v>
      </c>
      <c r="J174" s="8">
        <f>(Table23[[#This Row],[Quantity]]*Table23[[#This Row],[Unit Price]])-(Table23[[#This Row],[Unit Price]]*Table23[[#This Row],[Dscount]])*Table23[[#This Row],[Quantity]]</f>
        <v>139.48500000000001</v>
      </c>
      <c r="K174" s="8">
        <v>93.16500000000002</v>
      </c>
      <c r="L174" s="8">
        <f>Table23[[#This Row],[Revenue]]-Table23[[#This Row],[Total Cost]]</f>
        <v>46.319999999999993</v>
      </c>
      <c r="M174" s="16">
        <f>(Table23[[#This Row],[Profit]]/Table23[[#This Row],[Revenue]])</f>
        <v>0.33207871814173556</v>
      </c>
      <c r="N174" t="s">
        <v>33</v>
      </c>
    </row>
    <row r="175" spans="1:14" x14ac:dyDescent="0.25">
      <c r="A175" s="11" t="s">
        <v>398</v>
      </c>
      <c r="B175" s="6">
        <v>45655</v>
      </c>
      <c r="C175" s="11" t="s">
        <v>399</v>
      </c>
      <c r="D175" s="11" t="s">
        <v>14</v>
      </c>
      <c r="E175" s="11" t="s">
        <v>68</v>
      </c>
      <c r="F175" s="11" t="s">
        <v>16</v>
      </c>
      <c r="G175" s="7">
        <v>2</v>
      </c>
      <c r="H175" s="8">
        <v>47.91</v>
      </c>
      <c r="I175" s="13">
        <v>0</v>
      </c>
      <c r="J175" s="8">
        <f>(Table23[[#This Row],[Quantity]]*Table23[[#This Row],[Unit Price]])-(Table23[[#This Row],[Unit Price]]*Table23[[#This Row],[Dscount]])*Table23[[#This Row],[Quantity]]</f>
        <v>95.82</v>
      </c>
      <c r="K175" s="8">
        <v>49.949999999999996</v>
      </c>
      <c r="L175" s="8">
        <f>Table23[[#This Row],[Revenue]]-Table23[[#This Row],[Total Cost]]</f>
        <v>45.87</v>
      </c>
      <c r="M175" s="16">
        <f>(Table23[[#This Row],[Profit]]/Table23[[#This Row],[Revenue]])</f>
        <v>0.47871008140262994</v>
      </c>
      <c r="N175" t="s">
        <v>33</v>
      </c>
    </row>
    <row r="176" spans="1:14" x14ac:dyDescent="0.25">
      <c r="A176" s="11" t="s">
        <v>723</v>
      </c>
      <c r="B176" s="6">
        <v>45630</v>
      </c>
      <c r="C176" s="11" t="s">
        <v>724</v>
      </c>
      <c r="D176" s="11" t="s">
        <v>20</v>
      </c>
      <c r="E176" s="11" t="s">
        <v>479</v>
      </c>
      <c r="F176" s="11" t="s">
        <v>480</v>
      </c>
      <c r="G176" s="7">
        <v>2</v>
      </c>
      <c r="H176" s="8">
        <v>63.08</v>
      </c>
      <c r="I176" s="13">
        <v>0.15</v>
      </c>
      <c r="J176" s="8">
        <f>(Table23[[#This Row],[Quantity]]*Table23[[#This Row],[Unit Price]])-(Table23[[#This Row],[Unit Price]]*Table23[[#This Row],[Dscount]])*Table23[[#This Row],[Quantity]]</f>
        <v>107.23599999999999</v>
      </c>
      <c r="K176" s="8">
        <v>61.55599999999999</v>
      </c>
      <c r="L176" s="8">
        <f>Table23[[#This Row],[Revenue]]-Table23[[#This Row],[Total Cost]]</f>
        <v>45.68</v>
      </c>
      <c r="M176" s="16">
        <f>(Table23[[#This Row],[Profit]]/Table23[[#This Row],[Revenue]])</f>
        <v>0.42597635122533484</v>
      </c>
      <c r="N176" t="s">
        <v>17</v>
      </c>
    </row>
    <row r="177" spans="1:14" x14ac:dyDescent="0.25">
      <c r="A177" s="11" t="s">
        <v>721</v>
      </c>
      <c r="B177" s="6">
        <v>45647</v>
      </c>
      <c r="C177" s="11" t="s">
        <v>722</v>
      </c>
      <c r="D177" s="11" t="s">
        <v>14</v>
      </c>
      <c r="E177" s="11" t="s">
        <v>505</v>
      </c>
      <c r="F177" s="11" t="s">
        <v>480</v>
      </c>
      <c r="G177" s="7">
        <v>2</v>
      </c>
      <c r="H177" s="8">
        <v>42.26</v>
      </c>
      <c r="I177" s="13">
        <v>0</v>
      </c>
      <c r="J177" s="8">
        <f>(Table23[[#This Row],[Quantity]]*Table23[[#This Row],[Unit Price]])-(Table23[[#This Row],[Unit Price]]*Table23[[#This Row],[Dscount]])*Table23[[#This Row],[Quantity]]</f>
        <v>84.52</v>
      </c>
      <c r="K177" s="8">
        <v>38.879999999999995</v>
      </c>
      <c r="L177" s="8">
        <f>Table23[[#This Row],[Revenue]]-Table23[[#This Row],[Total Cost]]</f>
        <v>45.64</v>
      </c>
      <c r="M177" s="16">
        <f>(Table23[[#This Row],[Profit]]/Table23[[#This Row],[Revenue]])</f>
        <v>0.53999053478466641</v>
      </c>
      <c r="N177" t="s">
        <v>17</v>
      </c>
    </row>
    <row r="178" spans="1:14" x14ac:dyDescent="0.25">
      <c r="A178" s="11" t="s">
        <v>397</v>
      </c>
      <c r="B178" s="6">
        <v>45524</v>
      </c>
      <c r="C178" s="11" t="s">
        <v>376</v>
      </c>
      <c r="D178" s="11" t="s">
        <v>24</v>
      </c>
      <c r="E178" s="11" t="s">
        <v>25</v>
      </c>
      <c r="F178" s="11" t="s">
        <v>16</v>
      </c>
      <c r="G178" s="7">
        <v>3</v>
      </c>
      <c r="H178" s="8">
        <v>30.57</v>
      </c>
      <c r="I178" s="13">
        <v>0.2</v>
      </c>
      <c r="J178" s="8">
        <f>(Table23[[#This Row],[Quantity]]*Table23[[#This Row],[Unit Price]])-(Table23[[#This Row],[Unit Price]]*Table23[[#This Row],[Dscount]])*Table23[[#This Row],[Quantity]]</f>
        <v>73.368000000000009</v>
      </c>
      <c r="K178" s="8">
        <v>27.768000000000008</v>
      </c>
      <c r="L178" s="8">
        <f>Table23[[#This Row],[Revenue]]-Table23[[#This Row],[Total Cost]]</f>
        <v>45.6</v>
      </c>
      <c r="M178" s="16">
        <f>(Table23[[#This Row],[Profit]]/Table23[[#This Row],[Revenue]])</f>
        <v>0.62152437029767738</v>
      </c>
      <c r="N178" t="s">
        <v>17</v>
      </c>
    </row>
    <row r="179" spans="1:14" x14ac:dyDescent="0.25">
      <c r="A179" s="11" t="s">
        <v>719</v>
      </c>
      <c r="B179" s="6">
        <v>45981</v>
      </c>
      <c r="C179" s="11" t="s">
        <v>720</v>
      </c>
      <c r="D179" s="11" t="s">
        <v>24</v>
      </c>
      <c r="E179" s="11" t="s">
        <v>546</v>
      </c>
      <c r="F179" s="11" t="s">
        <v>480</v>
      </c>
      <c r="G179" s="7">
        <v>2</v>
      </c>
      <c r="H179" s="8">
        <v>46.18</v>
      </c>
      <c r="I179" s="13">
        <v>0</v>
      </c>
      <c r="J179" s="8">
        <f>(Table23[[#This Row],[Quantity]]*Table23[[#This Row],[Unit Price]])-(Table23[[#This Row],[Unit Price]]*Table23[[#This Row],[Dscount]])*Table23[[#This Row],[Quantity]]</f>
        <v>92.36</v>
      </c>
      <c r="K179" s="8">
        <v>46.85</v>
      </c>
      <c r="L179" s="8">
        <f>Table23[[#This Row],[Revenue]]-Table23[[#This Row],[Total Cost]]</f>
        <v>45.51</v>
      </c>
      <c r="M179" s="16">
        <f>(Table23[[#This Row],[Profit]]/Table23[[#This Row],[Revenue]])</f>
        <v>0.49274577739281072</v>
      </c>
      <c r="N179" t="s">
        <v>17</v>
      </c>
    </row>
    <row r="180" spans="1:14" x14ac:dyDescent="0.25">
      <c r="A180" s="11" t="s">
        <v>395</v>
      </c>
      <c r="B180" s="6">
        <v>45623</v>
      </c>
      <c r="C180" s="11" t="s">
        <v>396</v>
      </c>
      <c r="D180" s="11" t="s">
        <v>36</v>
      </c>
      <c r="E180" s="11" t="s">
        <v>15</v>
      </c>
      <c r="F180" s="11" t="s">
        <v>16</v>
      </c>
      <c r="G180" s="7">
        <v>2</v>
      </c>
      <c r="H180" s="8">
        <v>43.71</v>
      </c>
      <c r="I180" s="13">
        <v>0.05</v>
      </c>
      <c r="J180" s="8">
        <f>(Table23[[#This Row],[Quantity]]*Table23[[#This Row],[Unit Price]])-(Table23[[#This Row],[Unit Price]]*Table23[[#This Row],[Dscount]])*Table23[[#This Row],[Quantity]]</f>
        <v>83.049000000000007</v>
      </c>
      <c r="K180" s="8">
        <v>37.559000000000005</v>
      </c>
      <c r="L180" s="8">
        <f>Table23[[#This Row],[Revenue]]-Table23[[#This Row],[Total Cost]]</f>
        <v>45.49</v>
      </c>
      <c r="M180" s="16">
        <f>(Table23[[#This Row],[Profit]]/Table23[[#This Row],[Revenue]])</f>
        <v>0.54774891931269487</v>
      </c>
      <c r="N180" t="s">
        <v>33</v>
      </c>
    </row>
    <row r="181" spans="1:14" x14ac:dyDescent="0.25">
      <c r="A181" s="11" t="s">
        <v>718</v>
      </c>
      <c r="B181" s="6">
        <v>45624</v>
      </c>
      <c r="C181" s="11" t="s">
        <v>529</v>
      </c>
      <c r="D181" s="11" t="s">
        <v>14</v>
      </c>
      <c r="E181" s="11" t="s">
        <v>546</v>
      </c>
      <c r="F181" s="11" t="s">
        <v>480</v>
      </c>
      <c r="G181" s="7">
        <v>2</v>
      </c>
      <c r="H181" s="8">
        <v>59.61</v>
      </c>
      <c r="I181" s="13">
        <v>0.15</v>
      </c>
      <c r="J181" s="8">
        <f>(Table23[[#This Row],[Quantity]]*Table23[[#This Row],[Unit Price]])-(Table23[[#This Row],[Unit Price]]*Table23[[#This Row],[Dscount]])*Table23[[#This Row],[Quantity]]</f>
        <v>101.337</v>
      </c>
      <c r="K181" s="8">
        <v>55.907000000000004</v>
      </c>
      <c r="L181" s="8">
        <f>Table23[[#This Row],[Revenue]]-Table23[[#This Row],[Total Cost]]</f>
        <v>45.43</v>
      </c>
      <c r="M181" s="16">
        <f>(Table23[[#This Row],[Profit]]/Table23[[#This Row],[Revenue]])</f>
        <v>0.44830614681705594</v>
      </c>
      <c r="N181" t="s">
        <v>17</v>
      </c>
    </row>
    <row r="182" spans="1:14" x14ac:dyDescent="0.25">
      <c r="A182" s="11" t="s">
        <v>394</v>
      </c>
      <c r="B182" s="6">
        <v>45660</v>
      </c>
      <c r="C182" s="11" t="s">
        <v>88</v>
      </c>
      <c r="D182" s="11" t="s">
        <v>31</v>
      </c>
      <c r="E182" s="11" t="s">
        <v>15</v>
      </c>
      <c r="F182" s="11" t="s">
        <v>16</v>
      </c>
      <c r="G182" s="7">
        <v>2</v>
      </c>
      <c r="H182" s="8">
        <v>43.22</v>
      </c>
      <c r="I182" s="13">
        <v>0</v>
      </c>
      <c r="J182" s="8">
        <f>(Table23[[#This Row],[Quantity]]*Table23[[#This Row],[Unit Price]])-(Table23[[#This Row],[Unit Price]]*Table23[[#This Row],[Dscount]])*Table23[[#This Row],[Quantity]]</f>
        <v>86.44</v>
      </c>
      <c r="K182" s="8">
        <v>41.489999999999995</v>
      </c>
      <c r="L182" s="8">
        <f>Table23[[#This Row],[Revenue]]-Table23[[#This Row],[Total Cost]]</f>
        <v>44.95</v>
      </c>
      <c r="M182" s="16">
        <f>(Table23[[#This Row],[Profit]]/Table23[[#This Row],[Revenue]])</f>
        <v>0.52001388246182323</v>
      </c>
      <c r="N182" t="s">
        <v>33</v>
      </c>
    </row>
    <row r="183" spans="1:14" x14ac:dyDescent="0.25">
      <c r="A183" s="11" t="s">
        <v>1374</v>
      </c>
      <c r="B183" s="6">
        <v>45429</v>
      </c>
      <c r="C183" s="11" t="s">
        <v>499</v>
      </c>
      <c r="D183" s="11" t="s">
        <v>24</v>
      </c>
      <c r="E183" s="11" t="s">
        <v>1128</v>
      </c>
      <c r="F183" s="11" t="s">
        <v>1112</v>
      </c>
      <c r="G183" s="7">
        <v>3</v>
      </c>
      <c r="H183" s="8">
        <v>41.19</v>
      </c>
      <c r="I183" s="13">
        <v>0.05</v>
      </c>
      <c r="J183" s="8">
        <f>(Table23[[#This Row],[Quantity]]*Table23[[#This Row],[Unit Price]])-(Table23[[#This Row],[Unit Price]]*Table23[[#This Row],[Dscount]])*Table23[[#This Row],[Quantity]]</f>
        <v>117.39149999999999</v>
      </c>
      <c r="K183" s="8">
        <v>72.811499999999995</v>
      </c>
      <c r="L183" s="8">
        <f>Table23[[#This Row],[Revenue]]-Table23[[#This Row],[Total Cost]]</f>
        <v>44.58</v>
      </c>
      <c r="M183" s="16">
        <f>(Table23[[#This Row],[Profit]]/Table23[[#This Row],[Revenue]])</f>
        <v>0.3797549226306845</v>
      </c>
      <c r="N183" t="s">
        <v>33</v>
      </c>
    </row>
    <row r="184" spans="1:14" x14ac:dyDescent="0.25">
      <c r="A184" s="11" t="s">
        <v>1061</v>
      </c>
      <c r="B184" s="6">
        <v>45790</v>
      </c>
      <c r="C184" s="11" t="s">
        <v>1062</v>
      </c>
      <c r="D184" s="11" t="s">
        <v>20</v>
      </c>
      <c r="E184" s="11" t="s">
        <v>860</v>
      </c>
      <c r="F184" s="11" t="s">
        <v>833</v>
      </c>
      <c r="G184" s="7">
        <v>2</v>
      </c>
      <c r="H184" s="8">
        <v>125.79</v>
      </c>
      <c r="I184" s="13">
        <v>0.1</v>
      </c>
      <c r="J184" s="8">
        <f>(Table23[[#This Row],[Quantity]]*Table23[[#This Row],[Unit Price]])-(Table23[[#This Row],[Unit Price]]*Table23[[#This Row],[Dscount]])*Table23[[#This Row],[Quantity]]</f>
        <v>226.42200000000003</v>
      </c>
      <c r="K184" s="8">
        <v>181.86200000000002</v>
      </c>
      <c r="L184" s="8">
        <f>Table23[[#This Row],[Revenue]]-Table23[[#This Row],[Total Cost]]</f>
        <v>44.56</v>
      </c>
      <c r="M184" s="16">
        <f>(Table23[[#This Row],[Profit]]/Table23[[#This Row],[Revenue]])</f>
        <v>0.19680066424640713</v>
      </c>
      <c r="N184" t="s">
        <v>33</v>
      </c>
    </row>
    <row r="185" spans="1:14" x14ac:dyDescent="0.25">
      <c r="A185" s="11" t="s">
        <v>1729</v>
      </c>
      <c r="B185" s="6">
        <v>45998</v>
      </c>
      <c r="C185" s="11" t="s">
        <v>1730</v>
      </c>
      <c r="D185" s="11" t="s">
        <v>20</v>
      </c>
      <c r="E185" s="11" t="s">
        <v>1426</v>
      </c>
      <c r="F185" s="11" t="s">
        <v>1417</v>
      </c>
      <c r="G185" s="7">
        <v>4</v>
      </c>
      <c r="H185" s="8">
        <v>51.45</v>
      </c>
      <c r="I185" s="13">
        <v>0</v>
      </c>
      <c r="J185" s="8">
        <f>(Table23[[#This Row],[Quantity]]*Table23[[#This Row],[Unit Price]])-(Table23[[#This Row],[Unit Price]]*Table23[[#This Row],[Dscount]])*Table23[[#This Row],[Quantity]]</f>
        <v>205.8</v>
      </c>
      <c r="K185" s="8">
        <v>161.43</v>
      </c>
      <c r="L185" s="8">
        <f>Table23[[#This Row],[Revenue]]-Table23[[#This Row],[Total Cost]]</f>
        <v>44.370000000000005</v>
      </c>
      <c r="M185" s="16">
        <f>(Table23[[#This Row],[Profit]]/Table23[[#This Row],[Revenue]])</f>
        <v>0.21559766763848398</v>
      </c>
      <c r="N185" t="s">
        <v>17</v>
      </c>
    </row>
    <row r="186" spans="1:14" x14ac:dyDescent="0.25">
      <c r="A186" s="11" t="s">
        <v>1727</v>
      </c>
      <c r="B186" s="6">
        <v>45460</v>
      </c>
      <c r="C186" s="11" t="s">
        <v>1728</v>
      </c>
      <c r="D186" s="11" t="s">
        <v>24</v>
      </c>
      <c r="E186" s="11" t="s">
        <v>1439</v>
      </c>
      <c r="F186" s="11" t="s">
        <v>1417</v>
      </c>
      <c r="G186" s="7">
        <v>3</v>
      </c>
      <c r="H186" s="8">
        <v>59.38</v>
      </c>
      <c r="I186" s="13">
        <v>0.2</v>
      </c>
      <c r="J186" s="8">
        <f>(Table23[[#This Row],[Quantity]]*Table23[[#This Row],[Unit Price]])-(Table23[[#This Row],[Unit Price]]*Table23[[#This Row],[Dscount]])*Table23[[#This Row],[Quantity]]</f>
        <v>142.512</v>
      </c>
      <c r="K186" s="8">
        <v>98.722000000000008</v>
      </c>
      <c r="L186" s="8">
        <f>Table23[[#This Row],[Revenue]]-Table23[[#This Row],[Total Cost]]</f>
        <v>43.789999999999992</v>
      </c>
      <c r="M186" s="16">
        <f>(Table23[[#This Row],[Profit]]/Table23[[#This Row],[Revenue]])</f>
        <v>0.30727237004603114</v>
      </c>
      <c r="N186" t="s">
        <v>48</v>
      </c>
    </row>
    <row r="187" spans="1:14" x14ac:dyDescent="0.25">
      <c r="A187" s="11" t="s">
        <v>1726</v>
      </c>
      <c r="B187" s="6">
        <v>45363</v>
      </c>
      <c r="C187" s="11" t="s">
        <v>178</v>
      </c>
      <c r="D187" s="11" t="s">
        <v>24</v>
      </c>
      <c r="E187" s="11" t="s">
        <v>1420</v>
      </c>
      <c r="F187" s="11" t="s">
        <v>1417</v>
      </c>
      <c r="G187" s="7">
        <v>3</v>
      </c>
      <c r="H187" s="8">
        <v>54.12</v>
      </c>
      <c r="I187" s="13">
        <v>0</v>
      </c>
      <c r="J187" s="8">
        <f>(Table23[[#This Row],[Quantity]]*Table23[[#This Row],[Unit Price]])-(Table23[[#This Row],[Unit Price]]*Table23[[#This Row],[Dscount]])*Table23[[#This Row],[Quantity]]</f>
        <v>162.35999999999999</v>
      </c>
      <c r="K187" s="8">
        <v>118.61999999999998</v>
      </c>
      <c r="L187" s="8">
        <f>Table23[[#This Row],[Revenue]]-Table23[[#This Row],[Total Cost]]</f>
        <v>43.740000000000009</v>
      </c>
      <c r="M187" s="16">
        <f>(Table23[[#This Row],[Profit]]/Table23[[#This Row],[Revenue]])</f>
        <v>0.2694013303769402</v>
      </c>
      <c r="N187" t="s">
        <v>17</v>
      </c>
    </row>
    <row r="188" spans="1:14" x14ac:dyDescent="0.25">
      <c r="A188" s="11" t="s">
        <v>716</v>
      </c>
      <c r="B188" s="6">
        <v>45709</v>
      </c>
      <c r="C188" s="11" t="s">
        <v>717</v>
      </c>
      <c r="D188" s="11" t="s">
        <v>20</v>
      </c>
      <c r="E188" s="11" t="s">
        <v>503</v>
      </c>
      <c r="F188" s="11" t="s">
        <v>480</v>
      </c>
      <c r="G188" s="7">
        <v>5</v>
      </c>
      <c r="H188" s="8">
        <v>32.21</v>
      </c>
      <c r="I188" s="13">
        <v>0.2</v>
      </c>
      <c r="J188" s="8">
        <f>(Table23[[#This Row],[Quantity]]*Table23[[#This Row],[Unit Price]])-(Table23[[#This Row],[Unit Price]]*Table23[[#This Row],[Dscount]])*Table23[[#This Row],[Quantity]]</f>
        <v>128.84</v>
      </c>
      <c r="K188" s="8">
        <v>85.15</v>
      </c>
      <c r="L188" s="8">
        <f>Table23[[#This Row],[Revenue]]-Table23[[#This Row],[Total Cost]]</f>
        <v>43.69</v>
      </c>
      <c r="M188" s="16">
        <f>(Table23[[#This Row],[Profit]]/Table23[[#This Row],[Revenue]])</f>
        <v>0.33910276311704435</v>
      </c>
      <c r="N188" t="s">
        <v>33</v>
      </c>
    </row>
    <row r="189" spans="1:14" x14ac:dyDescent="0.25">
      <c r="A189" s="11" t="s">
        <v>1060</v>
      </c>
      <c r="B189" s="6">
        <v>45414</v>
      </c>
      <c r="C189" s="11" t="s">
        <v>254</v>
      </c>
      <c r="D189" s="11" t="s">
        <v>24</v>
      </c>
      <c r="E189" s="11" t="s">
        <v>846</v>
      </c>
      <c r="F189" s="11" t="s">
        <v>833</v>
      </c>
      <c r="G189" s="7">
        <v>2</v>
      </c>
      <c r="H189" s="8">
        <v>145.56</v>
      </c>
      <c r="I189" s="13">
        <v>0</v>
      </c>
      <c r="J189" s="8">
        <f>(Table23[[#This Row],[Quantity]]*Table23[[#This Row],[Unit Price]])-(Table23[[#This Row],[Unit Price]]*Table23[[#This Row],[Dscount]])*Table23[[#This Row],[Quantity]]</f>
        <v>291.12</v>
      </c>
      <c r="K189" s="8">
        <v>247.52</v>
      </c>
      <c r="L189" s="8">
        <f>Table23[[#This Row],[Revenue]]-Table23[[#This Row],[Total Cost]]</f>
        <v>43.599999999999994</v>
      </c>
      <c r="M189" s="16">
        <f>(Table23[[#This Row],[Profit]]/Table23[[#This Row],[Revenue]])</f>
        <v>0.14976641934597415</v>
      </c>
      <c r="N189" t="s">
        <v>17</v>
      </c>
    </row>
    <row r="190" spans="1:14" x14ac:dyDescent="0.25">
      <c r="A190" s="11" t="s">
        <v>1373</v>
      </c>
      <c r="B190" s="6">
        <v>45613</v>
      </c>
      <c r="C190" s="11" t="s">
        <v>678</v>
      </c>
      <c r="D190" s="11" t="s">
        <v>14</v>
      </c>
      <c r="E190" s="11" t="s">
        <v>1128</v>
      </c>
      <c r="F190" s="11" t="s">
        <v>1112</v>
      </c>
      <c r="G190" s="7">
        <v>2</v>
      </c>
      <c r="H190" s="8">
        <v>64.260000000000005</v>
      </c>
      <c r="I190" s="13">
        <v>0</v>
      </c>
      <c r="J190" s="8">
        <f>(Table23[[#This Row],[Quantity]]*Table23[[#This Row],[Unit Price]])-(Table23[[#This Row],[Unit Price]]*Table23[[#This Row],[Dscount]])*Table23[[#This Row],[Quantity]]</f>
        <v>128.52000000000001</v>
      </c>
      <c r="K190" s="8">
        <v>84.960000000000008</v>
      </c>
      <c r="L190" s="8">
        <f>Table23[[#This Row],[Revenue]]-Table23[[#This Row],[Total Cost]]</f>
        <v>43.56</v>
      </c>
      <c r="M190" s="16">
        <f>(Table23[[#This Row],[Profit]]/Table23[[#This Row],[Revenue]])</f>
        <v>0.33893557422969189</v>
      </c>
      <c r="N190" t="s">
        <v>17</v>
      </c>
    </row>
    <row r="191" spans="1:14" x14ac:dyDescent="0.25">
      <c r="A191" s="11" t="s">
        <v>1059</v>
      </c>
      <c r="B191" s="6">
        <v>46008</v>
      </c>
      <c r="C191" s="11" t="s">
        <v>977</v>
      </c>
      <c r="D191" s="11" t="s">
        <v>14</v>
      </c>
      <c r="E191" s="11" t="s">
        <v>860</v>
      </c>
      <c r="F191" s="11" t="s">
        <v>833</v>
      </c>
      <c r="G191" s="7">
        <v>2</v>
      </c>
      <c r="H191" s="8">
        <v>145.76</v>
      </c>
      <c r="I191" s="13">
        <v>0.1</v>
      </c>
      <c r="J191" s="8">
        <f>(Table23[[#This Row],[Quantity]]*Table23[[#This Row],[Unit Price]])-(Table23[[#This Row],[Unit Price]]*Table23[[#This Row],[Dscount]])*Table23[[#This Row],[Quantity]]</f>
        <v>262.36799999999999</v>
      </c>
      <c r="K191" s="8">
        <v>218.84799999999998</v>
      </c>
      <c r="L191" s="8">
        <f>Table23[[#This Row],[Revenue]]-Table23[[#This Row],[Total Cost]]</f>
        <v>43.52000000000001</v>
      </c>
      <c r="M191" s="16">
        <f>(Table23[[#This Row],[Profit]]/Table23[[#This Row],[Revenue]])</f>
        <v>0.16587388705939754</v>
      </c>
      <c r="N191" t="s">
        <v>17</v>
      </c>
    </row>
    <row r="192" spans="1:14" x14ac:dyDescent="0.25">
      <c r="A192" s="11" t="s">
        <v>714</v>
      </c>
      <c r="B192" s="6">
        <v>45301</v>
      </c>
      <c r="C192" s="11" t="s">
        <v>715</v>
      </c>
      <c r="D192" s="11" t="s">
        <v>24</v>
      </c>
      <c r="E192" s="11" t="s">
        <v>514</v>
      </c>
      <c r="F192" s="11" t="s">
        <v>480</v>
      </c>
      <c r="G192" s="7">
        <v>2</v>
      </c>
      <c r="H192" s="8">
        <v>50.79</v>
      </c>
      <c r="I192" s="13">
        <v>0.05</v>
      </c>
      <c r="J192" s="8">
        <f>(Table23[[#This Row],[Quantity]]*Table23[[#This Row],[Unit Price]])-(Table23[[#This Row],[Unit Price]]*Table23[[#This Row],[Dscount]])*Table23[[#This Row],[Quantity]]</f>
        <v>96.501000000000005</v>
      </c>
      <c r="K192" s="8">
        <v>53.021000000000008</v>
      </c>
      <c r="L192" s="8">
        <f>Table23[[#This Row],[Revenue]]-Table23[[#This Row],[Total Cost]]</f>
        <v>43.48</v>
      </c>
      <c r="M192" s="16">
        <f>(Table23[[#This Row],[Profit]]/Table23[[#This Row],[Revenue]])</f>
        <v>0.45056527911627853</v>
      </c>
      <c r="N192" t="s">
        <v>17</v>
      </c>
    </row>
    <row r="193" spans="1:14" x14ac:dyDescent="0.25">
      <c r="A193" s="11" t="s">
        <v>713</v>
      </c>
      <c r="B193" s="6">
        <v>45757</v>
      </c>
      <c r="C193" s="11" t="s">
        <v>639</v>
      </c>
      <c r="D193" s="11" t="s">
        <v>36</v>
      </c>
      <c r="E193" s="11" t="s">
        <v>483</v>
      </c>
      <c r="F193" s="11" t="s">
        <v>480</v>
      </c>
      <c r="G193" s="7">
        <v>2</v>
      </c>
      <c r="H193" s="8">
        <v>48.95</v>
      </c>
      <c r="I193" s="13">
        <v>0.05</v>
      </c>
      <c r="J193" s="8">
        <f>(Table23[[#This Row],[Quantity]]*Table23[[#This Row],[Unit Price]])-(Table23[[#This Row],[Unit Price]]*Table23[[#This Row],[Dscount]])*Table23[[#This Row],[Quantity]]</f>
        <v>93.00500000000001</v>
      </c>
      <c r="K193" s="8">
        <v>49.585000000000008</v>
      </c>
      <c r="L193" s="8">
        <f>Table23[[#This Row],[Revenue]]-Table23[[#This Row],[Total Cost]]</f>
        <v>43.42</v>
      </c>
      <c r="M193" s="16">
        <f>(Table23[[#This Row],[Profit]]/Table23[[#This Row],[Revenue]])</f>
        <v>0.46685662061179506</v>
      </c>
      <c r="N193" t="s">
        <v>33</v>
      </c>
    </row>
    <row r="194" spans="1:14" x14ac:dyDescent="0.25">
      <c r="A194" s="11" t="s">
        <v>392</v>
      </c>
      <c r="B194" s="6">
        <v>45789</v>
      </c>
      <c r="C194" s="11" t="s">
        <v>393</v>
      </c>
      <c r="D194" s="11" t="s">
        <v>31</v>
      </c>
      <c r="E194" s="11" t="s">
        <v>68</v>
      </c>
      <c r="F194" s="11" t="s">
        <v>16</v>
      </c>
      <c r="G194" s="7">
        <v>3</v>
      </c>
      <c r="H194" s="8">
        <v>25.09</v>
      </c>
      <c r="I194" s="13">
        <v>0.05</v>
      </c>
      <c r="J194" s="8">
        <f>(Table23[[#This Row],[Quantity]]*Table23[[#This Row],[Unit Price]])-(Table23[[#This Row],[Unit Price]]*Table23[[#This Row],[Dscount]])*Table23[[#This Row],[Quantity]]</f>
        <v>71.506499999999988</v>
      </c>
      <c r="K194" s="8">
        <v>28.096499999999992</v>
      </c>
      <c r="L194" s="8">
        <f>Table23[[#This Row],[Revenue]]-Table23[[#This Row],[Total Cost]]</f>
        <v>43.41</v>
      </c>
      <c r="M194" s="16">
        <f>(Table23[[#This Row],[Profit]]/Table23[[#This Row],[Revenue]])</f>
        <v>0.60707767825302605</v>
      </c>
      <c r="N194" t="s">
        <v>48</v>
      </c>
    </row>
    <row r="195" spans="1:14" x14ac:dyDescent="0.25">
      <c r="A195" s="11" t="s">
        <v>711</v>
      </c>
      <c r="B195" s="6">
        <v>45402</v>
      </c>
      <c r="C195" s="11" t="s">
        <v>712</v>
      </c>
      <c r="D195" s="11" t="s">
        <v>24</v>
      </c>
      <c r="E195" s="11" t="s">
        <v>546</v>
      </c>
      <c r="F195" s="11" t="s">
        <v>480</v>
      </c>
      <c r="G195" s="7">
        <v>2</v>
      </c>
      <c r="H195" s="8">
        <v>54.14</v>
      </c>
      <c r="I195" s="13">
        <v>0</v>
      </c>
      <c r="J195" s="8">
        <f>(Table23[[#This Row],[Quantity]]*Table23[[#This Row],[Unit Price]])-(Table23[[#This Row],[Unit Price]]*Table23[[#This Row],[Dscount]])*Table23[[#This Row],[Quantity]]</f>
        <v>108.28</v>
      </c>
      <c r="K195" s="8">
        <v>65.050000000000011</v>
      </c>
      <c r="L195" s="8">
        <f>Table23[[#This Row],[Revenue]]-Table23[[#This Row],[Total Cost]]</f>
        <v>43.22999999999999</v>
      </c>
      <c r="M195" s="16">
        <f>(Table23[[#This Row],[Profit]]/Table23[[#This Row],[Revenue]])</f>
        <v>0.39924270410048013</v>
      </c>
      <c r="N195" t="s">
        <v>33</v>
      </c>
    </row>
    <row r="196" spans="1:14" x14ac:dyDescent="0.25">
      <c r="A196" s="11" t="s">
        <v>391</v>
      </c>
      <c r="B196" s="6">
        <v>45679</v>
      </c>
      <c r="C196" s="11" t="s">
        <v>252</v>
      </c>
      <c r="D196" s="11" t="s">
        <v>36</v>
      </c>
      <c r="E196" s="11" t="s">
        <v>32</v>
      </c>
      <c r="F196" s="11" t="s">
        <v>16</v>
      </c>
      <c r="G196" s="7">
        <v>3</v>
      </c>
      <c r="H196" s="8">
        <v>39</v>
      </c>
      <c r="I196" s="13">
        <v>0.1</v>
      </c>
      <c r="J196" s="8">
        <f>(Table23[[#This Row],[Quantity]]*Table23[[#This Row],[Unit Price]])-(Table23[[#This Row],[Unit Price]]*Table23[[#This Row],[Dscount]])*Table23[[#This Row],[Quantity]]</f>
        <v>105.3</v>
      </c>
      <c r="K196" s="8">
        <v>62.099999999999994</v>
      </c>
      <c r="L196" s="8">
        <f>Table23[[#This Row],[Revenue]]-Table23[[#This Row],[Total Cost]]</f>
        <v>43.2</v>
      </c>
      <c r="M196" s="16">
        <f>(Table23[[#This Row],[Profit]]/Table23[[#This Row],[Revenue]])</f>
        <v>0.4102564102564103</v>
      </c>
      <c r="N196" t="s">
        <v>17</v>
      </c>
    </row>
    <row r="197" spans="1:14" x14ac:dyDescent="0.25">
      <c r="A197" s="11" t="s">
        <v>1371</v>
      </c>
      <c r="B197" s="6">
        <v>45690</v>
      </c>
      <c r="C197" s="11" t="s">
        <v>1372</v>
      </c>
      <c r="D197" s="11" t="s">
        <v>31</v>
      </c>
      <c r="E197" s="11" t="s">
        <v>1117</v>
      </c>
      <c r="F197" s="11" t="s">
        <v>1112</v>
      </c>
      <c r="G197" s="7">
        <v>2</v>
      </c>
      <c r="H197" s="8">
        <v>65.010000000000005</v>
      </c>
      <c r="I197" s="13">
        <v>0.05</v>
      </c>
      <c r="J197" s="8">
        <f>(Table23[[#This Row],[Quantity]]*Table23[[#This Row],[Unit Price]])-(Table23[[#This Row],[Unit Price]]*Table23[[#This Row],[Dscount]])*Table23[[#This Row],[Quantity]]</f>
        <v>123.51900000000001</v>
      </c>
      <c r="K197" s="8">
        <v>80.439000000000007</v>
      </c>
      <c r="L197" s="8">
        <f>Table23[[#This Row],[Revenue]]-Table23[[#This Row],[Total Cost]]</f>
        <v>43.08</v>
      </c>
      <c r="M197" s="16">
        <f>(Table23[[#This Row],[Profit]]/Table23[[#This Row],[Revenue]])</f>
        <v>0.34877225366137998</v>
      </c>
      <c r="N197" t="s">
        <v>33</v>
      </c>
    </row>
    <row r="198" spans="1:14" x14ac:dyDescent="0.25">
      <c r="A198" s="11" t="s">
        <v>1057</v>
      </c>
      <c r="B198" s="6">
        <v>46012</v>
      </c>
      <c r="C198" s="11" t="s">
        <v>1058</v>
      </c>
      <c r="D198" s="11" t="s">
        <v>31</v>
      </c>
      <c r="E198" s="11" t="s">
        <v>858</v>
      </c>
      <c r="F198" s="11" t="s">
        <v>833</v>
      </c>
      <c r="G198" s="7">
        <v>3</v>
      </c>
      <c r="H198" s="8">
        <v>72.19</v>
      </c>
      <c r="I198" s="13">
        <v>0</v>
      </c>
      <c r="J198" s="8">
        <f>(Table23[[#This Row],[Quantity]]*Table23[[#This Row],[Unit Price]])-(Table23[[#This Row],[Unit Price]]*Table23[[#This Row],[Dscount]])*Table23[[#This Row],[Quantity]]</f>
        <v>216.57</v>
      </c>
      <c r="K198" s="8">
        <v>173.78</v>
      </c>
      <c r="L198" s="8">
        <f>Table23[[#This Row],[Revenue]]-Table23[[#This Row],[Total Cost]]</f>
        <v>42.789999999999992</v>
      </c>
      <c r="M198" s="16">
        <f>(Table23[[#This Row],[Profit]]/Table23[[#This Row],[Revenue]])</f>
        <v>0.19758045897400375</v>
      </c>
      <c r="N198" t="s">
        <v>48</v>
      </c>
    </row>
    <row r="199" spans="1:14" x14ac:dyDescent="0.25">
      <c r="A199" s="11" t="s">
        <v>710</v>
      </c>
      <c r="B199" s="6">
        <v>45604</v>
      </c>
      <c r="C199" s="11" t="s">
        <v>196</v>
      </c>
      <c r="D199" s="11" t="s">
        <v>14</v>
      </c>
      <c r="E199" s="11" t="s">
        <v>505</v>
      </c>
      <c r="F199" s="11" t="s">
        <v>480</v>
      </c>
      <c r="G199" s="7">
        <v>2</v>
      </c>
      <c r="H199" s="8">
        <v>72.95</v>
      </c>
      <c r="I199" s="13">
        <v>0.1</v>
      </c>
      <c r="J199" s="8">
        <f>(Table23[[#This Row],[Quantity]]*Table23[[#This Row],[Unit Price]])-(Table23[[#This Row],[Unit Price]]*Table23[[#This Row],[Dscount]])*Table23[[#This Row],[Quantity]]</f>
        <v>131.31</v>
      </c>
      <c r="K199" s="8">
        <v>88.86</v>
      </c>
      <c r="L199" s="8">
        <f>Table23[[#This Row],[Revenue]]-Table23[[#This Row],[Total Cost]]</f>
        <v>42.45</v>
      </c>
      <c r="M199" s="16">
        <f>(Table23[[#This Row],[Profit]]/Table23[[#This Row],[Revenue]])</f>
        <v>0.32328078592643367</v>
      </c>
      <c r="N199" t="s">
        <v>33</v>
      </c>
    </row>
    <row r="200" spans="1:14" x14ac:dyDescent="0.25">
      <c r="A200" s="11" t="s">
        <v>389</v>
      </c>
      <c r="B200" s="6">
        <v>45447</v>
      </c>
      <c r="C200" s="11" t="s">
        <v>390</v>
      </c>
      <c r="D200" s="11" t="s">
        <v>24</v>
      </c>
      <c r="E200" s="11" t="s">
        <v>28</v>
      </c>
      <c r="F200" s="11" t="s">
        <v>16</v>
      </c>
      <c r="G200" s="7">
        <v>2</v>
      </c>
      <c r="H200" s="8">
        <v>47</v>
      </c>
      <c r="I200" s="13">
        <v>0.1</v>
      </c>
      <c r="J200" s="8">
        <f>(Table23[[#This Row],[Quantity]]*Table23[[#This Row],[Unit Price]])-(Table23[[#This Row],[Unit Price]]*Table23[[#This Row],[Dscount]])*Table23[[#This Row],[Quantity]]</f>
        <v>84.6</v>
      </c>
      <c r="K200" s="8">
        <v>42.179999999999993</v>
      </c>
      <c r="L200" s="8">
        <f>Table23[[#This Row],[Revenue]]-Table23[[#This Row],[Total Cost]]</f>
        <v>42.42</v>
      </c>
      <c r="M200" s="16">
        <f>(Table23[[#This Row],[Profit]]/Table23[[#This Row],[Revenue]])</f>
        <v>0.50141843971631206</v>
      </c>
      <c r="N200" t="s">
        <v>17</v>
      </c>
    </row>
    <row r="201" spans="1:14" x14ac:dyDescent="0.25">
      <c r="A201" s="11" t="s">
        <v>1724</v>
      </c>
      <c r="B201" s="6">
        <v>45547</v>
      </c>
      <c r="C201" s="11" t="s">
        <v>1725</v>
      </c>
      <c r="D201" s="11" t="s">
        <v>24</v>
      </c>
      <c r="E201" s="11" t="s">
        <v>1439</v>
      </c>
      <c r="F201" s="11" t="s">
        <v>1417</v>
      </c>
      <c r="G201" s="7">
        <v>4</v>
      </c>
      <c r="H201" s="8">
        <v>53.57</v>
      </c>
      <c r="I201" s="13">
        <v>0.15</v>
      </c>
      <c r="J201" s="8">
        <f>(Table23[[#This Row],[Quantity]]*Table23[[#This Row],[Unit Price]])-(Table23[[#This Row],[Unit Price]]*Table23[[#This Row],[Dscount]])*Table23[[#This Row],[Quantity]]</f>
        <v>182.13800000000001</v>
      </c>
      <c r="K201" s="8">
        <v>139.78800000000001</v>
      </c>
      <c r="L201" s="8">
        <f>Table23[[#This Row],[Revenue]]-Table23[[#This Row],[Total Cost]]</f>
        <v>42.349999999999994</v>
      </c>
      <c r="M201" s="16">
        <f>(Table23[[#This Row],[Profit]]/Table23[[#This Row],[Revenue]])</f>
        <v>0.23251600434835121</v>
      </c>
      <c r="N201" t="s">
        <v>17</v>
      </c>
    </row>
    <row r="202" spans="1:14" x14ac:dyDescent="0.25">
      <c r="A202" s="11" t="s">
        <v>1369</v>
      </c>
      <c r="B202" s="6">
        <v>45397</v>
      </c>
      <c r="C202" s="11" t="s">
        <v>1370</v>
      </c>
      <c r="D202" s="11" t="s">
        <v>31</v>
      </c>
      <c r="E202" s="11" t="s">
        <v>1114</v>
      </c>
      <c r="F202" s="11" t="s">
        <v>1112</v>
      </c>
      <c r="G202" s="7">
        <v>4</v>
      </c>
      <c r="H202" s="8">
        <v>42.76</v>
      </c>
      <c r="I202" s="13">
        <v>0</v>
      </c>
      <c r="J202" s="8">
        <f>(Table23[[#This Row],[Quantity]]*Table23[[#This Row],[Unit Price]])-(Table23[[#This Row],[Unit Price]]*Table23[[#This Row],[Dscount]])*Table23[[#This Row],[Quantity]]</f>
        <v>171.04</v>
      </c>
      <c r="K202" s="8">
        <v>128.79</v>
      </c>
      <c r="L202" s="8">
        <f>Table23[[#This Row],[Revenue]]-Table23[[#This Row],[Total Cost]]</f>
        <v>42.25</v>
      </c>
      <c r="M202" s="16">
        <f>(Table23[[#This Row],[Profit]]/Table23[[#This Row],[Revenue]])</f>
        <v>0.24701824134705333</v>
      </c>
      <c r="N202" t="s">
        <v>17</v>
      </c>
    </row>
    <row r="203" spans="1:14" x14ac:dyDescent="0.25">
      <c r="A203" s="11" t="s">
        <v>1368</v>
      </c>
      <c r="B203" s="6">
        <v>45365</v>
      </c>
      <c r="C203" s="11" t="s">
        <v>323</v>
      </c>
      <c r="D203" s="11" t="s">
        <v>31</v>
      </c>
      <c r="E203" s="11" t="s">
        <v>1120</v>
      </c>
      <c r="F203" s="11" t="s">
        <v>1112</v>
      </c>
      <c r="G203" s="7">
        <v>2</v>
      </c>
      <c r="H203" s="8">
        <v>65.34</v>
      </c>
      <c r="I203" s="13">
        <v>0.15</v>
      </c>
      <c r="J203" s="8">
        <f>(Table23[[#This Row],[Quantity]]*Table23[[#This Row],[Unit Price]])-(Table23[[#This Row],[Unit Price]]*Table23[[#This Row],[Dscount]])*Table23[[#This Row],[Quantity]]</f>
        <v>111.078</v>
      </c>
      <c r="K203" s="8">
        <v>68.837999999999994</v>
      </c>
      <c r="L203" s="8">
        <f>Table23[[#This Row],[Revenue]]-Table23[[#This Row],[Total Cost]]</f>
        <v>42.240000000000009</v>
      </c>
      <c r="M203" s="16">
        <f>(Table23[[#This Row],[Profit]]/Table23[[#This Row],[Revenue]])</f>
        <v>0.38027332144979209</v>
      </c>
      <c r="N203" t="s">
        <v>17</v>
      </c>
    </row>
    <row r="204" spans="1:14" x14ac:dyDescent="0.25">
      <c r="A204" s="11" t="s">
        <v>387</v>
      </c>
      <c r="B204" s="6">
        <v>45734</v>
      </c>
      <c r="C204" s="11" t="s">
        <v>388</v>
      </c>
      <c r="D204" s="11" t="s">
        <v>24</v>
      </c>
      <c r="E204" s="11" t="s">
        <v>53</v>
      </c>
      <c r="F204" s="11" t="s">
        <v>16</v>
      </c>
      <c r="G204" s="7">
        <v>3</v>
      </c>
      <c r="H204" s="8">
        <v>32.04</v>
      </c>
      <c r="I204" s="13">
        <v>0.25</v>
      </c>
      <c r="J204" s="8">
        <f>(Table23[[#This Row],[Quantity]]*Table23[[#This Row],[Unit Price]])-(Table23[[#This Row],[Unit Price]]*Table23[[#This Row],[Dscount]])*Table23[[#This Row],[Quantity]]</f>
        <v>72.09</v>
      </c>
      <c r="K204" s="8">
        <v>30.060000000000002</v>
      </c>
      <c r="L204" s="8">
        <f>Table23[[#This Row],[Revenue]]-Table23[[#This Row],[Total Cost]]</f>
        <v>42.03</v>
      </c>
      <c r="M204" s="16">
        <f>(Table23[[#This Row],[Profit]]/Table23[[#This Row],[Revenue]])</f>
        <v>0.58302122347066165</v>
      </c>
      <c r="N204" t="s">
        <v>33</v>
      </c>
    </row>
    <row r="205" spans="1:14" x14ac:dyDescent="0.25">
      <c r="A205" s="11" t="s">
        <v>385</v>
      </c>
      <c r="B205" s="6">
        <v>45626</v>
      </c>
      <c r="C205" s="11" t="s">
        <v>386</v>
      </c>
      <c r="D205" s="11" t="s">
        <v>20</v>
      </c>
      <c r="E205" s="11" t="s">
        <v>68</v>
      </c>
      <c r="F205" s="11" t="s">
        <v>16</v>
      </c>
      <c r="G205" s="7">
        <v>2</v>
      </c>
      <c r="H205" s="8">
        <v>48.7</v>
      </c>
      <c r="I205" s="13">
        <v>0</v>
      </c>
      <c r="J205" s="8">
        <f>(Table23[[#This Row],[Quantity]]*Table23[[#This Row],[Unit Price]])-(Table23[[#This Row],[Unit Price]]*Table23[[#This Row],[Dscount]])*Table23[[#This Row],[Quantity]]</f>
        <v>97.4</v>
      </c>
      <c r="K205" s="8">
        <v>55.570000000000007</v>
      </c>
      <c r="L205" s="8">
        <f>Table23[[#This Row],[Revenue]]-Table23[[#This Row],[Total Cost]]</f>
        <v>41.83</v>
      </c>
      <c r="M205" s="16">
        <f>(Table23[[#This Row],[Profit]]/Table23[[#This Row],[Revenue]])</f>
        <v>0.42946611909650922</v>
      </c>
      <c r="N205" t="s">
        <v>17</v>
      </c>
    </row>
    <row r="206" spans="1:14" x14ac:dyDescent="0.25">
      <c r="A206" s="11" t="s">
        <v>1055</v>
      </c>
      <c r="B206" s="6">
        <v>45628</v>
      </c>
      <c r="C206" s="11" t="s">
        <v>1056</v>
      </c>
      <c r="D206" s="11" t="s">
        <v>36</v>
      </c>
      <c r="E206" s="11" t="s">
        <v>846</v>
      </c>
      <c r="F206" s="11" t="s">
        <v>833</v>
      </c>
      <c r="G206" s="7">
        <v>3</v>
      </c>
      <c r="H206" s="8">
        <v>138.55000000000001</v>
      </c>
      <c r="I206" s="13">
        <v>0.25</v>
      </c>
      <c r="J206" s="8">
        <f>(Table23[[#This Row],[Quantity]]*Table23[[#This Row],[Unit Price]])-(Table23[[#This Row],[Unit Price]]*Table23[[#This Row],[Dscount]])*Table23[[#This Row],[Quantity]]</f>
        <v>311.73750000000001</v>
      </c>
      <c r="K206" s="8">
        <v>269.96750000000003</v>
      </c>
      <c r="L206" s="8">
        <f>Table23[[#This Row],[Revenue]]-Table23[[#This Row],[Total Cost]]</f>
        <v>41.769999999999982</v>
      </c>
      <c r="M206" s="16">
        <f>(Table23[[#This Row],[Profit]]/Table23[[#This Row],[Revenue]])</f>
        <v>0.13399093788844774</v>
      </c>
      <c r="N206" t="s">
        <v>17</v>
      </c>
    </row>
    <row r="207" spans="1:14" x14ac:dyDescent="0.25">
      <c r="A207" s="11" t="s">
        <v>708</v>
      </c>
      <c r="B207" s="6">
        <v>45651</v>
      </c>
      <c r="C207" s="11" t="s">
        <v>709</v>
      </c>
      <c r="D207" s="11" t="s">
        <v>36</v>
      </c>
      <c r="E207" s="11" t="s">
        <v>503</v>
      </c>
      <c r="F207" s="11" t="s">
        <v>480</v>
      </c>
      <c r="G207" s="7">
        <v>2</v>
      </c>
      <c r="H207" s="8">
        <v>52.91</v>
      </c>
      <c r="I207" s="13">
        <v>0.1</v>
      </c>
      <c r="J207" s="8">
        <f>(Table23[[#This Row],[Quantity]]*Table23[[#This Row],[Unit Price]])-(Table23[[#This Row],[Unit Price]]*Table23[[#This Row],[Dscount]])*Table23[[#This Row],[Quantity]]</f>
        <v>95.238</v>
      </c>
      <c r="K207" s="8">
        <v>53.558</v>
      </c>
      <c r="L207" s="8">
        <f>Table23[[#This Row],[Revenue]]-Table23[[#This Row],[Total Cost]]</f>
        <v>41.68</v>
      </c>
      <c r="M207" s="16">
        <f>(Table23[[#This Row],[Profit]]/Table23[[#This Row],[Revenue]])</f>
        <v>0.43764043764043764</v>
      </c>
      <c r="N207" t="s">
        <v>33</v>
      </c>
    </row>
    <row r="208" spans="1:14" x14ac:dyDescent="0.25">
      <c r="A208" s="11" t="s">
        <v>383</v>
      </c>
      <c r="B208" s="6">
        <v>46000</v>
      </c>
      <c r="C208" s="11" t="s">
        <v>384</v>
      </c>
      <c r="D208" s="11" t="s">
        <v>36</v>
      </c>
      <c r="E208" s="11" t="s">
        <v>44</v>
      </c>
      <c r="F208" s="11" t="s">
        <v>16</v>
      </c>
      <c r="G208" s="7">
        <v>3</v>
      </c>
      <c r="H208" s="8">
        <v>23.9</v>
      </c>
      <c r="I208" s="13">
        <v>0.1</v>
      </c>
      <c r="J208" s="8">
        <f>(Table23[[#This Row],[Quantity]]*Table23[[#This Row],[Unit Price]])-(Table23[[#This Row],[Unit Price]]*Table23[[#This Row],[Dscount]])*Table23[[#This Row],[Quantity]]</f>
        <v>64.529999999999987</v>
      </c>
      <c r="K208" s="8">
        <v>22.959999999999987</v>
      </c>
      <c r="L208" s="8">
        <f>Table23[[#This Row],[Revenue]]-Table23[[#This Row],[Total Cost]]</f>
        <v>41.57</v>
      </c>
      <c r="M208" s="16">
        <f>(Table23[[#This Row],[Profit]]/Table23[[#This Row],[Revenue]])</f>
        <v>0.64419649775298327</v>
      </c>
      <c r="N208" t="s">
        <v>33</v>
      </c>
    </row>
    <row r="209" spans="1:14" x14ac:dyDescent="0.25">
      <c r="A209" s="11" t="s">
        <v>706</v>
      </c>
      <c r="B209" s="6">
        <v>45394</v>
      </c>
      <c r="C209" s="11" t="s">
        <v>707</v>
      </c>
      <c r="D209" s="11" t="s">
        <v>20</v>
      </c>
      <c r="E209" s="11" t="s">
        <v>500</v>
      </c>
      <c r="F209" s="11" t="s">
        <v>480</v>
      </c>
      <c r="G209" s="7">
        <v>2</v>
      </c>
      <c r="H209" s="8">
        <v>71.84</v>
      </c>
      <c r="I209" s="13">
        <v>0.05</v>
      </c>
      <c r="J209" s="8">
        <f>(Table23[[#This Row],[Quantity]]*Table23[[#This Row],[Unit Price]])-(Table23[[#This Row],[Unit Price]]*Table23[[#This Row],[Dscount]])*Table23[[#This Row],[Quantity]]</f>
        <v>136.49600000000001</v>
      </c>
      <c r="K209" s="8">
        <v>94.946000000000012</v>
      </c>
      <c r="L209" s="8">
        <f>Table23[[#This Row],[Revenue]]-Table23[[#This Row],[Total Cost]]</f>
        <v>41.55</v>
      </c>
      <c r="M209" s="16">
        <f>(Table23[[#This Row],[Profit]]/Table23[[#This Row],[Revenue]])</f>
        <v>0.30440452467471568</v>
      </c>
      <c r="N209" t="s">
        <v>17</v>
      </c>
    </row>
    <row r="210" spans="1:14" x14ac:dyDescent="0.25">
      <c r="A210" s="11" t="s">
        <v>381</v>
      </c>
      <c r="B210" s="6">
        <v>45413</v>
      </c>
      <c r="C210" s="11" t="s">
        <v>382</v>
      </c>
      <c r="D210" s="11" t="s">
        <v>14</v>
      </c>
      <c r="E210" s="11" t="s">
        <v>53</v>
      </c>
      <c r="F210" s="11" t="s">
        <v>16</v>
      </c>
      <c r="G210" s="7">
        <v>3</v>
      </c>
      <c r="H210" s="8">
        <v>27.12</v>
      </c>
      <c r="I210" s="13">
        <v>0</v>
      </c>
      <c r="J210" s="8">
        <f>(Table23[[#This Row],[Quantity]]*Table23[[#This Row],[Unit Price]])-(Table23[[#This Row],[Unit Price]]*Table23[[#This Row],[Dscount]])*Table23[[#This Row],[Quantity]]</f>
        <v>81.36</v>
      </c>
      <c r="K210" s="8">
        <v>39.99</v>
      </c>
      <c r="L210" s="8">
        <f>Table23[[#This Row],[Revenue]]-Table23[[#This Row],[Total Cost]]</f>
        <v>41.37</v>
      </c>
      <c r="M210" s="16">
        <f>(Table23[[#This Row],[Profit]]/Table23[[#This Row],[Revenue]])</f>
        <v>0.50848082595870203</v>
      </c>
      <c r="N210" t="s">
        <v>33</v>
      </c>
    </row>
    <row r="211" spans="1:14" x14ac:dyDescent="0.25">
      <c r="A211" s="11" t="s">
        <v>1367</v>
      </c>
      <c r="B211" s="6">
        <v>45338</v>
      </c>
      <c r="C211" s="11" t="s">
        <v>628</v>
      </c>
      <c r="D211" s="11" t="s">
        <v>36</v>
      </c>
      <c r="E211" s="11" t="s">
        <v>1128</v>
      </c>
      <c r="F211" s="11" t="s">
        <v>1112</v>
      </c>
      <c r="G211" s="7">
        <v>3</v>
      </c>
      <c r="H211" s="8">
        <v>43.5</v>
      </c>
      <c r="I211" s="13">
        <v>0.05</v>
      </c>
      <c r="J211" s="8">
        <f>(Table23[[#This Row],[Quantity]]*Table23[[#This Row],[Unit Price]])-(Table23[[#This Row],[Unit Price]]*Table23[[#This Row],[Dscount]])*Table23[[#This Row],[Quantity]]</f>
        <v>123.97499999999999</v>
      </c>
      <c r="K211" s="8">
        <v>82.634999999999991</v>
      </c>
      <c r="L211" s="8">
        <f>Table23[[#This Row],[Revenue]]-Table23[[#This Row],[Total Cost]]</f>
        <v>41.34</v>
      </c>
      <c r="M211" s="16">
        <f>(Table23[[#This Row],[Profit]]/Table23[[#This Row],[Revenue]])</f>
        <v>0.33345432546884457</v>
      </c>
      <c r="N211" t="s">
        <v>33</v>
      </c>
    </row>
    <row r="212" spans="1:14" x14ac:dyDescent="0.25">
      <c r="A212" s="11" t="s">
        <v>704</v>
      </c>
      <c r="B212" s="6">
        <v>45950</v>
      </c>
      <c r="C212" s="11" t="s">
        <v>705</v>
      </c>
      <c r="D212" s="11" t="s">
        <v>14</v>
      </c>
      <c r="E212" s="11" t="s">
        <v>486</v>
      </c>
      <c r="F212" s="11" t="s">
        <v>480</v>
      </c>
      <c r="G212" s="7">
        <v>2</v>
      </c>
      <c r="H212" s="8">
        <v>67.459999999999994</v>
      </c>
      <c r="I212" s="13">
        <v>0.25</v>
      </c>
      <c r="J212" s="8">
        <f>(Table23[[#This Row],[Quantity]]*Table23[[#This Row],[Unit Price]])-(Table23[[#This Row],[Unit Price]]*Table23[[#This Row],[Dscount]])*Table23[[#This Row],[Quantity]]</f>
        <v>101.19</v>
      </c>
      <c r="K212" s="8">
        <v>60.099999999999994</v>
      </c>
      <c r="L212" s="8">
        <f>Table23[[#This Row],[Revenue]]-Table23[[#This Row],[Total Cost]]</f>
        <v>41.09</v>
      </c>
      <c r="M212" s="16">
        <f>(Table23[[#This Row],[Profit]]/Table23[[#This Row],[Revenue]])</f>
        <v>0.40606779326020365</v>
      </c>
      <c r="N212" t="s">
        <v>33</v>
      </c>
    </row>
    <row r="213" spans="1:14" x14ac:dyDescent="0.25">
      <c r="A213" s="11" t="s">
        <v>703</v>
      </c>
      <c r="B213" s="6">
        <v>46015</v>
      </c>
      <c r="C213" s="11" t="s">
        <v>656</v>
      </c>
      <c r="D213" s="11" t="s">
        <v>36</v>
      </c>
      <c r="E213" s="11" t="s">
        <v>479</v>
      </c>
      <c r="F213" s="11" t="s">
        <v>480</v>
      </c>
      <c r="G213" s="7">
        <v>1</v>
      </c>
      <c r="H213" s="8">
        <v>86.97</v>
      </c>
      <c r="I213" s="13">
        <v>0</v>
      </c>
      <c r="J213" s="8">
        <f>(Table23[[#This Row],[Quantity]]*Table23[[#This Row],[Unit Price]])-(Table23[[#This Row],[Unit Price]]*Table23[[#This Row],[Dscount]])*Table23[[#This Row],[Quantity]]</f>
        <v>86.97</v>
      </c>
      <c r="K213" s="8">
        <v>45.99</v>
      </c>
      <c r="L213" s="8">
        <f>Table23[[#This Row],[Revenue]]-Table23[[#This Row],[Total Cost]]</f>
        <v>40.98</v>
      </c>
      <c r="M213" s="16">
        <f>(Table23[[#This Row],[Profit]]/Table23[[#This Row],[Revenue]])</f>
        <v>0.47119696447050702</v>
      </c>
      <c r="N213" t="s">
        <v>17</v>
      </c>
    </row>
    <row r="214" spans="1:14" x14ac:dyDescent="0.25">
      <c r="A214" s="11" t="s">
        <v>701</v>
      </c>
      <c r="B214" s="6">
        <v>45396</v>
      </c>
      <c r="C214" s="11" t="s">
        <v>702</v>
      </c>
      <c r="D214" s="11" t="s">
        <v>36</v>
      </c>
      <c r="E214" s="11" t="s">
        <v>500</v>
      </c>
      <c r="F214" s="11" t="s">
        <v>480</v>
      </c>
      <c r="G214" s="7">
        <v>3</v>
      </c>
      <c r="H214" s="8">
        <v>60.2</v>
      </c>
      <c r="I214" s="13">
        <v>0.25</v>
      </c>
      <c r="J214" s="8">
        <f>(Table23[[#This Row],[Quantity]]*Table23[[#This Row],[Unit Price]])-(Table23[[#This Row],[Unit Price]]*Table23[[#This Row],[Dscount]])*Table23[[#This Row],[Quantity]]</f>
        <v>135.45000000000002</v>
      </c>
      <c r="K214" s="8">
        <v>94.54000000000002</v>
      </c>
      <c r="L214" s="8">
        <f>Table23[[#This Row],[Revenue]]-Table23[[#This Row],[Total Cost]]</f>
        <v>40.909999999999997</v>
      </c>
      <c r="M214" s="16">
        <f>(Table23[[#This Row],[Profit]]/Table23[[#This Row],[Revenue]])</f>
        <v>0.30203026947212985</v>
      </c>
      <c r="N214" t="s">
        <v>48</v>
      </c>
    </row>
    <row r="215" spans="1:14" x14ac:dyDescent="0.25">
      <c r="A215" s="11" t="s">
        <v>1365</v>
      </c>
      <c r="B215" s="6">
        <v>45865</v>
      </c>
      <c r="C215" s="11" t="s">
        <v>1366</v>
      </c>
      <c r="D215" s="11" t="s">
        <v>24</v>
      </c>
      <c r="E215" s="11" t="s">
        <v>1117</v>
      </c>
      <c r="F215" s="11" t="s">
        <v>1112</v>
      </c>
      <c r="G215" s="7">
        <v>4</v>
      </c>
      <c r="H215" s="8">
        <v>42.65</v>
      </c>
      <c r="I215" s="13">
        <v>0.1</v>
      </c>
      <c r="J215" s="8">
        <f>(Table23[[#This Row],[Quantity]]*Table23[[#This Row],[Unit Price]])-(Table23[[#This Row],[Unit Price]]*Table23[[#This Row],[Dscount]])*Table23[[#This Row],[Quantity]]</f>
        <v>153.54</v>
      </c>
      <c r="K215" s="8">
        <v>112.71</v>
      </c>
      <c r="L215" s="8">
        <f>Table23[[#This Row],[Revenue]]-Table23[[#This Row],[Total Cost]]</f>
        <v>40.83</v>
      </c>
      <c r="M215" s="16">
        <f>(Table23[[#This Row],[Profit]]/Table23[[#This Row],[Revenue]])</f>
        <v>0.26592418913638138</v>
      </c>
      <c r="N215" t="s">
        <v>33</v>
      </c>
    </row>
    <row r="216" spans="1:14" x14ac:dyDescent="0.25">
      <c r="A216" s="11" t="s">
        <v>379</v>
      </c>
      <c r="B216" s="6">
        <v>45680</v>
      </c>
      <c r="C216" s="11" t="s">
        <v>380</v>
      </c>
      <c r="D216" s="11" t="s">
        <v>24</v>
      </c>
      <c r="E216" s="11" t="s">
        <v>32</v>
      </c>
      <c r="F216" s="11" t="s">
        <v>16</v>
      </c>
      <c r="G216" s="7">
        <v>3</v>
      </c>
      <c r="H216" s="8">
        <v>38.630000000000003</v>
      </c>
      <c r="I216" s="13">
        <v>0.25</v>
      </c>
      <c r="J216" s="8">
        <f>(Table23[[#This Row],[Quantity]]*Table23[[#This Row],[Unit Price]])-(Table23[[#This Row],[Unit Price]]*Table23[[#This Row],[Dscount]])*Table23[[#This Row],[Quantity]]</f>
        <v>86.917500000000018</v>
      </c>
      <c r="K216" s="8">
        <v>46.127500000000019</v>
      </c>
      <c r="L216" s="8">
        <f>Table23[[#This Row],[Revenue]]-Table23[[#This Row],[Total Cost]]</f>
        <v>40.79</v>
      </c>
      <c r="M216" s="16">
        <f>(Table23[[#This Row],[Profit]]/Table23[[#This Row],[Revenue]])</f>
        <v>0.46929559639888391</v>
      </c>
      <c r="N216" t="s">
        <v>17</v>
      </c>
    </row>
    <row r="217" spans="1:14" x14ac:dyDescent="0.25">
      <c r="A217" s="11" t="s">
        <v>700</v>
      </c>
      <c r="B217" s="6">
        <v>45349</v>
      </c>
      <c r="C217" s="11" t="s">
        <v>270</v>
      </c>
      <c r="D217" s="11" t="s">
        <v>20</v>
      </c>
      <c r="E217" s="11" t="s">
        <v>546</v>
      </c>
      <c r="F217" s="11" t="s">
        <v>480</v>
      </c>
      <c r="G217" s="7">
        <v>2</v>
      </c>
      <c r="H217" s="8">
        <v>58.02</v>
      </c>
      <c r="I217" s="13">
        <v>0.25</v>
      </c>
      <c r="J217" s="8">
        <f>(Table23[[#This Row],[Quantity]]*Table23[[#This Row],[Unit Price]])-(Table23[[#This Row],[Unit Price]]*Table23[[#This Row],[Dscount]])*Table23[[#This Row],[Quantity]]</f>
        <v>87.03</v>
      </c>
      <c r="K217" s="8">
        <v>46.31</v>
      </c>
      <c r="L217" s="8">
        <f>Table23[[#This Row],[Revenue]]-Table23[[#This Row],[Total Cost]]</f>
        <v>40.72</v>
      </c>
      <c r="M217" s="16">
        <f>(Table23[[#This Row],[Profit]]/Table23[[#This Row],[Revenue]])</f>
        <v>0.46788463748132825</v>
      </c>
      <c r="N217" t="s">
        <v>33</v>
      </c>
    </row>
    <row r="218" spans="1:14" x14ac:dyDescent="0.25">
      <c r="A218" s="11" t="s">
        <v>377</v>
      </c>
      <c r="B218" s="6">
        <v>45906</v>
      </c>
      <c r="C218" s="11" t="s">
        <v>378</v>
      </c>
      <c r="D218" s="11" t="s">
        <v>20</v>
      </c>
      <c r="E218" s="11" t="s">
        <v>21</v>
      </c>
      <c r="F218" s="11" t="s">
        <v>16</v>
      </c>
      <c r="G218" s="7">
        <v>2</v>
      </c>
      <c r="H218" s="8">
        <v>45.81</v>
      </c>
      <c r="I218" s="13">
        <v>0.15</v>
      </c>
      <c r="J218" s="8">
        <f>(Table23[[#This Row],[Quantity]]*Table23[[#This Row],[Unit Price]])-(Table23[[#This Row],[Unit Price]]*Table23[[#This Row],[Dscount]])*Table23[[#This Row],[Quantity]]</f>
        <v>77.87700000000001</v>
      </c>
      <c r="K218" s="8">
        <v>37.187000000000012</v>
      </c>
      <c r="L218" s="8">
        <f>Table23[[#This Row],[Revenue]]-Table23[[#This Row],[Total Cost]]</f>
        <v>40.69</v>
      </c>
      <c r="M218" s="16">
        <f>(Table23[[#This Row],[Profit]]/Table23[[#This Row],[Revenue]])</f>
        <v>0.52249059414204446</v>
      </c>
      <c r="N218" t="s">
        <v>33</v>
      </c>
    </row>
    <row r="219" spans="1:14" x14ac:dyDescent="0.25">
      <c r="A219" s="11" t="s">
        <v>1054</v>
      </c>
      <c r="B219" s="6">
        <v>45817</v>
      </c>
      <c r="C219" s="11" t="s">
        <v>579</v>
      </c>
      <c r="D219" s="11" t="s">
        <v>31</v>
      </c>
      <c r="E219" s="11" t="s">
        <v>860</v>
      </c>
      <c r="F219" s="11" t="s">
        <v>833</v>
      </c>
      <c r="G219" s="7">
        <v>2</v>
      </c>
      <c r="H219" s="8">
        <v>141.15</v>
      </c>
      <c r="I219" s="13">
        <v>0.2</v>
      </c>
      <c r="J219" s="8">
        <f>(Table23[[#This Row],[Quantity]]*Table23[[#This Row],[Unit Price]])-(Table23[[#This Row],[Unit Price]]*Table23[[#This Row],[Dscount]])*Table23[[#This Row],[Quantity]]</f>
        <v>225.84</v>
      </c>
      <c r="K219" s="8">
        <v>185.17000000000002</v>
      </c>
      <c r="L219" s="8">
        <f>Table23[[#This Row],[Revenue]]-Table23[[#This Row],[Total Cost]]</f>
        <v>40.669999999999987</v>
      </c>
      <c r="M219" s="16">
        <f>(Table23[[#This Row],[Profit]]/Table23[[#This Row],[Revenue]])</f>
        <v>0.18008324477506193</v>
      </c>
      <c r="N219" t="s">
        <v>33</v>
      </c>
    </row>
    <row r="220" spans="1:14" x14ac:dyDescent="0.25">
      <c r="A220" s="11" t="s">
        <v>375</v>
      </c>
      <c r="B220" s="6">
        <v>45540</v>
      </c>
      <c r="C220" s="11" t="s">
        <v>376</v>
      </c>
      <c r="D220" s="11" t="s">
        <v>24</v>
      </c>
      <c r="E220" s="11" t="s">
        <v>44</v>
      </c>
      <c r="F220" s="11" t="s">
        <v>16</v>
      </c>
      <c r="G220" s="7">
        <v>2</v>
      </c>
      <c r="H220" s="8">
        <v>48.98</v>
      </c>
      <c r="I220" s="13">
        <v>0.1</v>
      </c>
      <c r="J220" s="8">
        <f>(Table23[[#This Row],[Quantity]]*Table23[[#This Row],[Unit Price]])-(Table23[[#This Row],[Unit Price]]*Table23[[#This Row],[Dscount]])*Table23[[#This Row],[Quantity]]</f>
        <v>88.163999999999987</v>
      </c>
      <c r="K220" s="8">
        <v>47.893999999999984</v>
      </c>
      <c r="L220" s="8">
        <f>Table23[[#This Row],[Revenue]]-Table23[[#This Row],[Total Cost]]</f>
        <v>40.270000000000003</v>
      </c>
      <c r="M220" s="16">
        <f>(Table23[[#This Row],[Profit]]/Table23[[#This Row],[Revenue]])</f>
        <v>0.45676239735039253</v>
      </c>
      <c r="N220" t="s">
        <v>17</v>
      </c>
    </row>
    <row r="221" spans="1:14" x14ac:dyDescent="0.25">
      <c r="A221" s="11" t="s">
        <v>373</v>
      </c>
      <c r="B221" s="6">
        <v>45848</v>
      </c>
      <c r="C221" s="11" t="s">
        <v>374</v>
      </c>
      <c r="D221" s="11" t="s">
        <v>14</v>
      </c>
      <c r="E221" s="11" t="s">
        <v>53</v>
      </c>
      <c r="F221" s="11" t="s">
        <v>16</v>
      </c>
      <c r="G221" s="7">
        <v>4</v>
      </c>
      <c r="H221" s="8">
        <v>20.8</v>
      </c>
      <c r="I221" s="13">
        <v>0.25</v>
      </c>
      <c r="J221" s="8">
        <f>(Table23[[#This Row],[Quantity]]*Table23[[#This Row],[Unit Price]])-(Table23[[#This Row],[Unit Price]]*Table23[[#This Row],[Dscount]])*Table23[[#This Row],[Quantity]]</f>
        <v>62.400000000000006</v>
      </c>
      <c r="K221" s="8">
        <v>22.150000000000006</v>
      </c>
      <c r="L221" s="8">
        <f>Table23[[#This Row],[Revenue]]-Table23[[#This Row],[Total Cost]]</f>
        <v>40.25</v>
      </c>
      <c r="M221" s="16">
        <f>(Table23[[#This Row],[Profit]]/Table23[[#This Row],[Revenue]])</f>
        <v>0.64503205128205121</v>
      </c>
      <c r="N221" t="s">
        <v>17</v>
      </c>
    </row>
    <row r="222" spans="1:14" x14ac:dyDescent="0.25">
      <c r="A222" s="11" t="s">
        <v>1363</v>
      </c>
      <c r="B222" s="6">
        <v>45366</v>
      </c>
      <c r="C222" s="11" t="s">
        <v>1364</v>
      </c>
      <c r="D222" s="11" t="s">
        <v>24</v>
      </c>
      <c r="E222" s="11" t="s">
        <v>1120</v>
      </c>
      <c r="F222" s="11" t="s">
        <v>1112</v>
      </c>
      <c r="G222" s="7">
        <v>2</v>
      </c>
      <c r="H222" s="8">
        <v>75.25</v>
      </c>
      <c r="I222" s="13">
        <v>0.2</v>
      </c>
      <c r="J222" s="8">
        <f>(Table23[[#This Row],[Quantity]]*Table23[[#This Row],[Unit Price]])-(Table23[[#This Row],[Unit Price]]*Table23[[#This Row],[Dscount]])*Table23[[#This Row],[Quantity]]</f>
        <v>120.4</v>
      </c>
      <c r="K222" s="8">
        <v>80.240000000000009</v>
      </c>
      <c r="L222" s="8">
        <f>Table23[[#This Row],[Revenue]]-Table23[[#This Row],[Total Cost]]</f>
        <v>40.159999999999997</v>
      </c>
      <c r="M222" s="16">
        <f>(Table23[[#This Row],[Profit]]/Table23[[#This Row],[Revenue]])</f>
        <v>0.33355481727574748</v>
      </c>
      <c r="N222" t="s">
        <v>33</v>
      </c>
    </row>
    <row r="223" spans="1:14" x14ac:dyDescent="0.25">
      <c r="A223" s="11" t="s">
        <v>698</v>
      </c>
      <c r="B223" s="6">
        <v>45292</v>
      </c>
      <c r="C223" s="11" t="s">
        <v>699</v>
      </c>
      <c r="D223" s="11" t="s">
        <v>36</v>
      </c>
      <c r="E223" s="11" t="s">
        <v>489</v>
      </c>
      <c r="F223" s="11" t="s">
        <v>480</v>
      </c>
      <c r="G223" s="7">
        <v>2</v>
      </c>
      <c r="H223" s="8">
        <v>64.89</v>
      </c>
      <c r="I223" s="13">
        <v>0.1</v>
      </c>
      <c r="J223" s="8">
        <f>(Table23[[#This Row],[Quantity]]*Table23[[#This Row],[Unit Price]])-(Table23[[#This Row],[Unit Price]]*Table23[[#This Row],[Dscount]])*Table23[[#This Row],[Quantity]]</f>
        <v>116.80199999999999</v>
      </c>
      <c r="K223" s="8">
        <v>77.391999999999996</v>
      </c>
      <c r="L223" s="8">
        <f>Table23[[#This Row],[Revenue]]-Table23[[#This Row],[Total Cost]]</f>
        <v>39.409999999999997</v>
      </c>
      <c r="M223" s="16">
        <f>(Table23[[#This Row],[Profit]]/Table23[[#This Row],[Revenue]])</f>
        <v>0.33740860601702027</v>
      </c>
      <c r="N223" t="s">
        <v>17</v>
      </c>
    </row>
    <row r="224" spans="1:14" x14ac:dyDescent="0.25">
      <c r="A224" s="11" t="s">
        <v>1053</v>
      </c>
      <c r="B224" s="6">
        <v>45932</v>
      </c>
      <c r="C224" s="11" t="s">
        <v>852</v>
      </c>
      <c r="D224" s="11" t="s">
        <v>20</v>
      </c>
      <c r="E224" s="11" t="s">
        <v>860</v>
      </c>
      <c r="F224" s="11" t="s">
        <v>833</v>
      </c>
      <c r="G224" s="7">
        <v>2</v>
      </c>
      <c r="H224" s="8">
        <v>99.93</v>
      </c>
      <c r="I224" s="13">
        <v>0.1</v>
      </c>
      <c r="J224" s="8">
        <f>(Table23[[#This Row],[Quantity]]*Table23[[#This Row],[Unit Price]])-(Table23[[#This Row],[Unit Price]]*Table23[[#This Row],[Dscount]])*Table23[[#This Row],[Quantity]]</f>
        <v>179.87400000000002</v>
      </c>
      <c r="K224" s="8">
        <v>140.53400000000002</v>
      </c>
      <c r="L224" s="8">
        <f>Table23[[#This Row],[Revenue]]-Table23[[#This Row],[Total Cost]]</f>
        <v>39.340000000000003</v>
      </c>
      <c r="M224" s="16">
        <f>(Table23[[#This Row],[Profit]]/Table23[[#This Row],[Revenue]])</f>
        <v>0.21870865161168374</v>
      </c>
      <c r="N224" t="s">
        <v>17</v>
      </c>
    </row>
    <row r="225" spans="1:14" x14ac:dyDescent="0.25">
      <c r="A225" s="11" t="s">
        <v>696</v>
      </c>
      <c r="B225" s="6">
        <v>45298</v>
      </c>
      <c r="C225" s="11" t="s">
        <v>697</v>
      </c>
      <c r="D225" s="11" t="s">
        <v>24</v>
      </c>
      <c r="E225" s="11" t="s">
        <v>514</v>
      </c>
      <c r="F225" s="11" t="s">
        <v>480</v>
      </c>
      <c r="G225" s="7">
        <v>3</v>
      </c>
      <c r="H225" s="8">
        <v>40.79</v>
      </c>
      <c r="I225" s="13">
        <v>0</v>
      </c>
      <c r="J225" s="8">
        <f>(Table23[[#This Row],[Quantity]]*Table23[[#This Row],[Unit Price]])-(Table23[[#This Row],[Unit Price]]*Table23[[#This Row],[Dscount]])*Table23[[#This Row],[Quantity]]</f>
        <v>122.37</v>
      </c>
      <c r="K225" s="8">
        <v>83.22</v>
      </c>
      <c r="L225" s="8">
        <f>Table23[[#This Row],[Revenue]]-Table23[[#This Row],[Total Cost]]</f>
        <v>39.150000000000006</v>
      </c>
      <c r="M225" s="16">
        <f>(Table23[[#This Row],[Profit]]/Table23[[#This Row],[Revenue]])</f>
        <v>0.31993135572444231</v>
      </c>
      <c r="N225" t="s">
        <v>33</v>
      </c>
    </row>
    <row r="226" spans="1:14" x14ac:dyDescent="0.25">
      <c r="A226" s="11" t="s">
        <v>371</v>
      </c>
      <c r="B226" s="6">
        <v>45928</v>
      </c>
      <c r="C226" s="11" t="s">
        <v>372</v>
      </c>
      <c r="D226" s="11" t="s">
        <v>20</v>
      </c>
      <c r="E226" s="11" t="s">
        <v>68</v>
      </c>
      <c r="F226" s="11" t="s">
        <v>16</v>
      </c>
      <c r="G226" s="7">
        <v>3</v>
      </c>
      <c r="H226" s="8">
        <v>22.73</v>
      </c>
      <c r="I226" s="13">
        <v>0.1</v>
      </c>
      <c r="J226" s="8">
        <f>(Table23[[#This Row],[Quantity]]*Table23[[#This Row],[Unit Price]])-(Table23[[#This Row],[Unit Price]]*Table23[[#This Row],[Dscount]])*Table23[[#This Row],[Quantity]]</f>
        <v>61.370999999999995</v>
      </c>
      <c r="K226" s="8">
        <v>22.420999999999992</v>
      </c>
      <c r="L226" s="8">
        <f>Table23[[#This Row],[Revenue]]-Table23[[#This Row],[Total Cost]]</f>
        <v>38.950000000000003</v>
      </c>
      <c r="M226" s="16">
        <f>(Table23[[#This Row],[Profit]]/Table23[[#This Row],[Revenue]])</f>
        <v>0.63466458099102196</v>
      </c>
      <c r="N226" t="s">
        <v>33</v>
      </c>
    </row>
    <row r="227" spans="1:14" x14ac:dyDescent="0.25">
      <c r="A227" s="11" t="s">
        <v>369</v>
      </c>
      <c r="B227" s="6">
        <v>45963</v>
      </c>
      <c r="C227" s="11" t="s">
        <v>370</v>
      </c>
      <c r="D227" s="11" t="s">
        <v>14</v>
      </c>
      <c r="E227" s="11" t="s">
        <v>44</v>
      </c>
      <c r="F227" s="11" t="s">
        <v>16</v>
      </c>
      <c r="G227" s="7">
        <v>2</v>
      </c>
      <c r="H227" s="8">
        <v>32.74</v>
      </c>
      <c r="I227" s="13">
        <v>0</v>
      </c>
      <c r="J227" s="8">
        <f>(Table23[[#This Row],[Quantity]]*Table23[[#This Row],[Unit Price]])-(Table23[[#This Row],[Unit Price]]*Table23[[#This Row],[Dscount]])*Table23[[#This Row],[Quantity]]</f>
        <v>65.48</v>
      </c>
      <c r="K227" s="8">
        <v>26.590000000000003</v>
      </c>
      <c r="L227" s="8">
        <f>Table23[[#This Row],[Revenue]]-Table23[[#This Row],[Total Cost]]</f>
        <v>38.89</v>
      </c>
      <c r="M227" s="16">
        <f>(Table23[[#This Row],[Profit]]/Table23[[#This Row],[Revenue]])</f>
        <v>0.5939218081857055</v>
      </c>
      <c r="N227" t="s">
        <v>17</v>
      </c>
    </row>
    <row r="228" spans="1:14" x14ac:dyDescent="0.25">
      <c r="A228" s="11" t="s">
        <v>694</v>
      </c>
      <c r="B228" s="6">
        <v>45733</v>
      </c>
      <c r="C228" s="11" t="s">
        <v>695</v>
      </c>
      <c r="D228" s="11" t="s">
        <v>14</v>
      </c>
      <c r="E228" s="11" t="s">
        <v>486</v>
      </c>
      <c r="F228" s="11" t="s">
        <v>480</v>
      </c>
      <c r="G228" s="7">
        <v>1</v>
      </c>
      <c r="H228" s="8">
        <v>70.489999999999995</v>
      </c>
      <c r="I228" s="13">
        <v>0</v>
      </c>
      <c r="J228" s="8">
        <f>(Table23[[#This Row],[Quantity]]*Table23[[#This Row],[Unit Price]])-(Table23[[#This Row],[Unit Price]]*Table23[[#This Row],[Dscount]])*Table23[[#This Row],[Quantity]]</f>
        <v>70.489999999999995</v>
      </c>
      <c r="K228" s="8">
        <v>31.749999999999993</v>
      </c>
      <c r="L228" s="8">
        <f>Table23[[#This Row],[Revenue]]-Table23[[#This Row],[Total Cost]]</f>
        <v>38.74</v>
      </c>
      <c r="M228" s="16">
        <f>(Table23[[#This Row],[Profit]]/Table23[[#This Row],[Revenue]])</f>
        <v>0.54958150092211666</v>
      </c>
      <c r="N228" t="s">
        <v>17</v>
      </c>
    </row>
    <row r="229" spans="1:14" x14ac:dyDescent="0.25">
      <c r="A229" s="11" t="s">
        <v>367</v>
      </c>
      <c r="B229" s="6">
        <v>45297</v>
      </c>
      <c r="C229" s="11" t="s">
        <v>368</v>
      </c>
      <c r="D229" s="11" t="s">
        <v>14</v>
      </c>
      <c r="E229" s="11" t="s">
        <v>15</v>
      </c>
      <c r="F229" s="11" t="s">
        <v>16</v>
      </c>
      <c r="G229" s="7">
        <v>2</v>
      </c>
      <c r="H229" s="8">
        <v>44.36</v>
      </c>
      <c r="I229" s="13">
        <v>0</v>
      </c>
      <c r="J229" s="8">
        <f>(Table23[[#This Row],[Quantity]]*Table23[[#This Row],[Unit Price]])-(Table23[[#This Row],[Unit Price]]*Table23[[#This Row],[Dscount]])*Table23[[#This Row],[Quantity]]</f>
        <v>88.72</v>
      </c>
      <c r="K229" s="8">
        <v>50.129999999999995</v>
      </c>
      <c r="L229" s="8">
        <f>Table23[[#This Row],[Revenue]]-Table23[[#This Row],[Total Cost]]</f>
        <v>38.590000000000003</v>
      </c>
      <c r="M229" s="16">
        <f>(Table23[[#This Row],[Profit]]/Table23[[#This Row],[Revenue]])</f>
        <v>0.43496393146979268</v>
      </c>
      <c r="N229" t="s">
        <v>17</v>
      </c>
    </row>
    <row r="230" spans="1:14" x14ac:dyDescent="0.25">
      <c r="A230" s="11" t="s">
        <v>365</v>
      </c>
      <c r="B230" s="6">
        <v>45587</v>
      </c>
      <c r="C230" s="11" t="s">
        <v>366</v>
      </c>
      <c r="D230" s="11" t="s">
        <v>24</v>
      </c>
      <c r="E230" s="11" t="s">
        <v>39</v>
      </c>
      <c r="F230" s="11" t="s">
        <v>16</v>
      </c>
      <c r="G230" s="7">
        <v>2</v>
      </c>
      <c r="H230" s="8">
        <v>46.08</v>
      </c>
      <c r="I230" s="13">
        <v>0</v>
      </c>
      <c r="J230" s="8">
        <f>(Table23[[#This Row],[Quantity]]*Table23[[#This Row],[Unit Price]])-(Table23[[#This Row],[Unit Price]]*Table23[[#This Row],[Dscount]])*Table23[[#This Row],[Quantity]]</f>
        <v>92.16</v>
      </c>
      <c r="K230" s="8">
        <v>53.669999999999995</v>
      </c>
      <c r="L230" s="8">
        <f>Table23[[#This Row],[Revenue]]-Table23[[#This Row],[Total Cost]]</f>
        <v>38.49</v>
      </c>
      <c r="M230" s="16">
        <f>(Table23[[#This Row],[Profit]]/Table23[[#This Row],[Revenue]])</f>
        <v>0.41764322916666669</v>
      </c>
      <c r="N230" t="s">
        <v>33</v>
      </c>
    </row>
    <row r="231" spans="1:14" x14ac:dyDescent="0.25">
      <c r="A231" s="11" t="s">
        <v>692</v>
      </c>
      <c r="B231" s="6">
        <v>45448</v>
      </c>
      <c r="C231" s="11" t="s">
        <v>693</v>
      </c>
      <c r="D231" s="11" t="s">
        <v>20</v>
      </c>
      <c r="E231" s="11" t="s">
        <v>496</v>
      </c>
      <c r="F231" s="11" t="s">
        <v>480</v>
      </c>
      <c r="G231" s="7">
        <v>1</v>
      </c>
      <c r="H231" s="8">
        <v>88.48</v>
      </c>
      <c r="I231" s="13">
        <v>0.2</v>
      </c>
      <c r="J231" s="8">
        <f>(Table23[[#This Row],[Quantity]]*Table23[[#This Row],[Unit Price]])-(Table23[[#This Row],[Unit Price]]*Table23[[#This Row],[Dscount]])*Table23[[#This Row],[Quantity]]</f>
        <v>70.784000000000006</v>
      </c>
      <c r="K231" s="8">
        <v>32.324000000000005</v>
      </c>
      <c r="L231" s="8">
        <f>Table23[[#This Row],[Revenue]]-Table23[[#This Row],[Total Cost]]</f>
        <v>38.46</v>
      </c>
      <c r="M231" s="16">
        <f>(Table23[[#This Row],[Profit]]/Table23[[#This Row],[Revenue]])</f>
        <v>0.54334312839059673</v>
      </c>
      <c r="N231" t="s">
        <v>17</v>
      </c>
    </row>
    <row r="232" spans="1:14" x14ac:dyDescent="0.25">
      <c r="A232" s="11" t="s">
        <v>364</v>
      </c>
      <c r="B232" s="6">
        <v>45836</v>
      </c>
      <c r="C232" s="11" t="s">
        <v>315</v>
      </c>
      <c r="D232" s="11" t="s">
        <v>14</v>
      </c>
      <c r="E232" s="11" t="s">
        <v>21</v>
      </c>
      <c r="F232" s="11" t="s">
        <v>16</v>
      </c>
      <c r="G232" s="7">
        <v>2</v>
      </c>
      <c r="H232" s="8">
        <v>30.45</v>
      </c>
      <c r="I232" s="13">
        <v>0</v>
      </c>
      <c r="J232" s="8">
        <f>(Table23[[#This Row],[Quantity]]*Table23[[#This Row],[Unit Price]])-(Table23[[#This Row],[Unit Price]]*Table23[[#This Row],[Dscount]])*Table23[[#This Row],[Quantity]]</f>
        <v>60.9</v>
      </c>
      <c r="K232" s="8">
        <v>22.47</v>
      </c>
      <c r="L232" s="8">
        <f>Table23[[#This Row],[Revenue]]-Table23[[#This Row],[Total Cost]]</f>
        <v>38.43</v>
      </c>
      <c r="M232" s="16">
        <f>(Table23[[#This Row],[Profit]]/Table23[[#This Row],[Revenue]])</f>
        <v>0.63103448275862073</v>
      </c>
      <c r="N232" t="s">
        <v>17</v>
      </c>
    </row>
    <row r="233" spans="1:14" x14ac:dyDescent="0.25">
      <c r="A233" s="11" t="s">
        <v>1723</v>
      </c>
      <c r="B233" s="6">
        <v>45655</v>
      </c>
      <c r="C233" s="11" t="s">
        <v>307</v>
      </c>
      <c r="D233" s="11" t="s">
        <v>31</v>
      </c>
      <c r="E233" s="11" t="s">
        <v>1416</v>
      </c>
      <c r="F233" s="11" t="s">
        <v>1417</v>
      </c>
      <c r="G233" s="7">
        <v>2</v>
      </c>
      <c r="H233" s="8">
        <v>59.71</v>
      </c>
      <c r="I233" s="13">
        <v>0.05</v>
      </c>
      <c r="J233" s="8">
        <f>(Table23[[#This Row],[Quantity]]*Table23[[#This Row],[Unit Price]])-(Table23[[#This Row],[Unit Price]]*Table23[[#This Row],[Dscount]])*Table23[[#This Row],[Quantity]]</f>
        <v>113.449</v>
      </c>
      <c r="K233" s="8">
        <v>75.09899999999999</v>
      </c>
      <c r="L233" s="8">
        <f>Table23[[#This Row],[Revenue]]-Table23[[#This Row],[Total Cost]]</f>
        <v>38.350000000000009</v>
      </c>
      <c r="M233" s="16">
        <f>(Table23[[#This Row],[Profit]]/Table23[[#This Row],[Revenue]])</f>
        <v>0.33803735599256063</v>
      </c>
      <c r="N233" t="s">
        <v>33</v>
      </c>
    </row>
    <row r="234" spans="1:14" x14ac:dyDescent="0.25">
      <c r="A234" s="11" t="s">
        <v>1721</v>
      </c>
      <c r="B234" s="6">
        <v>45671</v>
      </c>
      <c r="C234" s="11" t="s">
        <v>1722</v>
      </c>
      <c r="D234" s="11" t="s">
        <v>14</v>
      </c>
      <c r="E234" s="11" t="s">
        <v>1439</v>
      </c>
      <c r="F234" s="11" t="s">
        <v>1417</v>
      </c>
      <c r="G234" s="7">
        <v>4</v>
      </c>
      <c r="H234" s="8">
        <v>43.56</v>
      </c>
      <c r="I234" s="13">
        <v>0</v>
      </c>
      <c r="J234" s="8">
        <f>(Table23[[#This Row],[Quantity]]*Table23[[#This Row],[Unit Price]])-(Table23[[#This Row],[Unit Price]]*Table23[[#This Row],[Dscount]])*Table23[[#This Row],[Quantity]]</f>
        <v>174.24</v>
      </c>
      <c r="K234" s="8">
        <v>135.96</v>
      </c>
      <c r="L234" s="8">
        <f>Table23[[#This Row],[Revenue]]-Table23[[#This Row],[Total Cost]]</f>
        <v>38.28</v>
      </c>
      <c r="M234" s="16">
        <f>(Table23[[#This Row],[Profit]]/Table23[[#This Row],[Revenue]])</f>
        <v>0.2196969696969697</v>
      </c>
      <c r="N234" t="s">
        <v>33</v>
      </c>
    </row>
    <row r="235" spans="1:14" x14ac:dyDescent="0.25">
      <c r="A235" s="11" t="s">
        <v>362</v>
      </c>
      <c r="B235" s="6">
        <v>45576</v>
      </c>
      <c r="C235" s="11" t="s">
        <v>363</v>
      </c>
      <c r="D235" s="11" t="s">
        <v>36</v>
      </c>
      <c r="E235" s="11" t="s">
        <v>32</v>
      </c>
      <c r="F235" s="11" t="s">
        <v>16</v>
      </c>
      <c r="G235" s="7">
        <v>2</v>
      </c>
      <c r="H235" s="8">
        <v>44.77</v>
      </c>
      <c r="I235" s="13">
        <v>0.05</v>
      </c>
      <c r="J235" s="8">
        <f>(Table23[[#This Row],[Quantity]]*Table23[[#This Row],[Unit Price]])-(Table23[[#This Row],[Unit Price]]*Table23[[#This Row],[Dscount]])*Table23[[#This Row],[Quantity]]</f>
        <v>85.063000000000002</v>
      </c>
      <c r="K235" s="8">
        <v>46.833000000000006</v>
      </c>
      <c r="L235" s="8">
        <f>Table23[[#This Row],[Revenue]]-Table23[[#This Row],[Total Cost]]</f>
        <v>38.229999999999997</v>
      </c>
      <c r="M235" s="16">
        <f>(Table23[[#This Row],[Profit]]/Table23[[#This Row],[Revenue]])</f>
        <v>0.44943159775695657</v>
      </c>
      <c r="N235" t="s">
        <v>17</v>
      </c>
    </row>
    <row r="236" spans="1:14" x14ac:dyDescent="0.25">
      <c r="A236" s="11" t="s">
        <v>1720</v>
      </c>
      <c r="B236" s="6">
        <v>45621</v>
      </c>
      <c r="C236" s="11" t="s">
        <v>541</v>
      </c>
      <c r="D236" s="11" t="s">
        <v>24</v>
      </c>
      <c r="E236" s="11" t="s">
        <v>1436</v>
      </c>
      <c r="F236" s="11" t="s">
        <v>1417</v>
      </c>
      <c r="G236" s="7">
        <v>4</v>
      </c>
      <c r="H236" s="8">
        <v>35.450000000000003</v>
      </c>
      <c r="I236" s="13">
        <v>0.1</v>
      </c>
      <c r="J236" s="8">
        <f>(Table23[[#This Row],[Quantity]]*Table23[[#This Row],[Unit Price]])-(Table23[[#This Row],[Unit Price]]*Table23[[#This Row],[Dscount]])*Table23[[#This Row],[Quantity]]</f>
        <v>127.62</v>
      </c>
      <c r="K236" s="8">
        <v>89.41</v>
      </c>
      <c r="L236" s="8">
        <f>Table23[[#This Row],[Revenue]]-Table23[[#This Row],[Total Cost]]</f>
        <v>38.210000000000008</v>
      </c>
      <c r="M236" s="16">
        <f>(Table23[[#This Row],[Profit]]/Table23[[#This Row],[Revenue]])</f>
        <v>0.29940448205610409</v>
      </c>
      <c r="N236" t="s">
        <v>48</v>
      </c>
    </row>
    <row r="237" spans="1:14" x14ac:dyDescent="0.25">
      <c r="A237" s="11" t="s">
        <v>1718</v>
      </c>
      <c r="B237" s="6">
        <v>45855</v>
      </c>
      <c r="C237" s="11" t="s">
        <v>1719</v>
      </c>
      <c r="D237" s="11" t="s">
        <v>36</v>
      </c>
      <c r="E237" s="11" t="s">
        <v>1439</v>
      </c>
      <c r="F237" s="11" t="s">
        <v>1417</v>
      </c>
      <c r="G237" s="7">
        <v>2</v>
      </c>
      <c r="H237" s="8">
        <v>58.77</v>
      </c>
      <c r="I237" s="13">
        <v>0</v>
      </c>
      <c r="J237" s="8">
        <f>(Table23[[#This Row],[Quantity]]*Table23[[#This Row],[Unit Price]])-(Table23[[#This Row],[Unit Price]]*Table23[[#This Row],[Dscount]])*Table23[[#This Row],[Quantity]]</f>
        <v>117.54</v>
      </c>
      <c r="K237" s="8">
        <v>79.38000000000001</v>
      </c>
      <c r="L237" s="8">
        <f>Table23[[#This Row],[Revenue]]-Table23[[#This Row],[Total Cost]]</f>
        <v>38.159999999999997</v>
      </c>
      <c r="M237" s="16">
        <f>(Table23[[#This Row],[Profit]]/Table23[[#This Row],[Revenue]])</f>
        <v>0.32465543644716688</v>
      </c>
      <c r="N237" t="s">
        <v>17</v>
      </c>
    </row>
    <row r="238" spans="1:14" x14ac:dyDescent="0.25">
      <c r="A238" s="11" t="s">
        <v>1362</v>
      </c>
      <c r="B238" s="6">
        <v>45322</v>
      </c>
      <c r="C238" s="11" t="s">
        <v>647</v>
      </c>
      <c r="D238" s="11" t="s">
        <v>31</v>
      </c>
      <c r="E238" s="11" t="s">
        <v>1120</v>
      </c>
      <c r="F238" s="11" t="s">
        <v>1112</v>
      </c>
      <c r="G238" s="7">
        <v>3</v>
      </c>
      <c r="H238" s="8">
        <v>62.62</v>
      </c>
      <c r="I238" s="13">
        <v>0.1</v>
      </c>
      <c r="J238" s="8">
        <f>(Table23[[#This Row],[Quantity]]*Table23[[#This Row],[Unit Price]])-(Table23[[#This Row],[Unit Price]]*Table23[[#This Row],[Dscount]])*Table23[[#This Row],[Quantity]]</f>
        <v>169.07399999999998</v>
      </c>
      <c r="K238" s="8">
        <v>130.97399999999999</v>
      </c>
      <c r="L238" s="8">
        <f>Table23[[#This Row],[Revenue]]-Table23[[#This Row],[Total Cost]]</f>
        <v>38.099999999999994</v>
      </c>
      <c r="M238" s="16">
        <f>(Table23[[#This Row],[Profit]]/Table23[[#This Row],[Revenue]])</f>
        <v>0.22534511515667693</v>
      </c>
      <c r="N238" t="s">
        <v>33</v>
      </c>
    </row>
    <row r="239" spans="1:14" x14ac:dyDescent="0.25">
      <c r="A239" s="11" t="s">
        <v>690</v>
      </c>
      <c r="B239" s="6">
        <v>45343</v>
      </c>
      <c r="C239" s="11" t="s">
        <v>691</v>
      </c>
      <c r="D239" s="11" t="s">
        <v>24</v>
      </c>
      <c r="E239" s="11" t="s">
        <v>546</v>
      </c>
      <c r="F239" s="11" t="s">
        <v>480</v>
      </c>
      <c r="G239" s="7">
        <v>1</v>
      </c>
      <c r="H239" s="8">
        <v>84.93</v>
      </c>
      <c r="I239" s="13">
        <v>0.15</v>
      </c>
      <c r="J239" s="8">
        <f>(Table23[[#This Row],[Quantity]]*Table23[[#This Row],[Unit Price]])-(Table23[[#This Row],[Unit Price]]*Table23[[#This Row],[Dscount]])*Table23[[#This Row],[Quantity]]</f>
        <v>72.1905</v>
      </c>
      <c r="K239" s="8">
        <v>34.250500000000002</v>
      </c>
      <c r="L239" s="8">
        <f>Table23[[#This Row],[Revenue]]-Table23[[#This Row],[Total Cost]]</f>
        <v>37.94</v>
      </c>
      <c r="M239" s="16">
        <f>(Table23[[#This Row],[Profit]]/Table23[[#This Row],[Revenue]])</f>
        <v>0.52555391637403814</v>
      </c>
      <c r="N239" t="s">
        <v>17</v>
      </c>
    </row>
    <row r="240" spans="1:14" x14ac:dyDescent="0.25">
      <c r="A240" s="11" t="s">
        <v>688</v>
      </c>
      <c r="B240" s="6">
        <v>45481</v>
      </c>
      <c r="C240" s="11" t="s">
        <v>689</v>
      </c>
      <c r="D240" s="11" t="s">
        <v>14</v>
      </c>
      <c r="E240" s="11" t="s">
        <v>505</v>
      </c>
      <c r="F240" s="11" t="s">
        <v>480</v>
      </c>
      <c r="G240" s="7">
        <v>1</v>
      </c>
      <c r="H240" s="8">
        <v>88.51</v>
      </c>
      <c r="I240" s="13">
        <v>0.05</v>
      </c>
      <c r="J240" s="8">
        <f>(Table23[[#This Row],[Quantity]]*Table23[[#This Row],[Unit Price]])-(Table23[[#This Row],[Unit Price]]*Table23[[#This Row],[Dscount]])*Table23[[#This Row],[Quantity]]</f>
        <v>84.084500000000006</v>
      </c>
      <c r="K240" s="8">
        <v>46.154500000000006</v>
      </c>
      <c r="L240" s="8">
        <f>Table23[[#This Row],[Revenue]]-Table23[[#This Row],[Total Cost]]</f>
        <v>37.93</v>
      </c>
      <c r="M240" s="16">
        <f>(Table23[[#This Row],[Profit]]/Table23[[#This Row],[Revenue]])</f>
        <v>0.45109384012511222</v>
      </c>
      <c r="N240" t="s">
        <v>48</v>
      </c>
    </row>
    <row r="241" spans="1:14" x14ac:dyDescent="0.25">
      <c r="A241" s="11" t="s">
        <v>1052</v>
      </c>
      <c r="B241" s="6">
        <v>45950</v>
      </c>
      <c r="C241" s="11" t="s">
        <v>466</v>
      </c>
      <c r="D241" s="11" t="s">
        <v>20</v>
      </c>
      <c r="E241" s="11" t="s">
        <v>832</v>
      </c>
      <c r="F241" s="11" t="s">
        <v>833</v>
      </c>
      <c r="G241" s="7">
        <v>3</v>
      </c>
      <c r="H241" s="8">
        <v>125.39</v>
      </c>
      <c r="I241" s="13">
        <v>0.2</v>
      </c>
      <c r="J241" s="8">
        <f>(Table23[[#This Row],[Quantity]]*Table23[[#This Row],[Unit Price]])-(Table23[[#This Row],[Unit Price]]*Table23[[#This Row],[Dscount]])*Table23[[#This Row],[Quantity]]</f>
        <v>300.93600000000004</v>
      </c>
      <c r="K241" s="8">
        <v>263.07600000000002</v>
      </c>
      <c r="L241" s="8">
        <f>Table23[[#This Row],[Revenue]]-Table23[[#This Row],[Total Cost]]</f>
        <v>37.860000000000014</v>
      </c>
      <c r="M241" s="16">
        <f>(Table23[[#This Row],[Profit]]/Table23[[#This Row],[Revenue]])</f>
        <v>0.12580748066033978</v>
      </c>
      <c r="N241" t="s">
        <v>33</v>
      </c>
    </row>
    <row r="242" spans="1:14" x14ac:dyDescent="0.25">
      <c r="A242" s="11" t="s">
        <v>687</v>
      </c>
      <c r="B242" s="6">
        <v>45919</v>
      </c>
      <c r="C242" s="11" t="s">
        <v>678</v>
      </c>
      <c r="D242" s="11" t="s">
        <v>36</v>
      </c>
      <c r="E242" s="11" t="s">
        <v>514</v>
      </c>
      <c r="F242" s="11" t="s">
        <v>480</v>
      </c>
      <c r="G242" s="7">
        <v>2</v>
      </c>
      <c r="H242" s="8">
        <v>44.81</v>
      </c>
      <c r="I242" s="13">
        <v>0.05</v>
      </c>
      <c r="J242" s="8">
        <f>(Table23[[#This Row],[Quantity]]*Table23[[#This Row],[Unit Price]])-(Table23[[#This Row],[Unit Price]]*Table23[[#This Row],[Dscount]])*Table23[[#This Row],[Quantity]]</f>
        <v>85.13900000000001</v>
      </c>
      <c r="K242" s="8">
        <v>47.379000000000012</v>
      </c>
      <c r="L242" s="8">
        <f>Table23[[#This Row],[Revenue]]-Table23[[#This Row],[Total Cost]]</f>
        <v>37.76</v>
      </c>
      <c r="M242" s="16">
        <f>(Table23[[#This Row],[Profit]]/Table23[[#This Row],[Revenue]])</f>
        <v>0.44351002478300183</v>
      </c>
      <c r="N242" t="s">
        <v>17</v>
      </c>
    </row>
    <row r="243" spans="1:14" x14ac:dyDescent="0.25">
      <c r="A243" s="11" t="s">
        <v>685</v>
      </c>
      <c r="B243" s="6">
        <v>45395</v>
      </c>
      <c r="C243" s="11" t="s">
        <v>647</v>
      </c>
      <c r="D243" s="11" t="s">
        <v>14</v>
      </c>
      <c r="E243" s="11" t="s">
        <v>479</v>
      </c>
      <c r="F243" s="11" t="s">
        <v>480</v>
      </c>
      <c r="G243" s="7">
        <v>1</v>
      </c>
      <c r="H243" s="8">
        <v>80.02</v>
      </c>
      <c r="I243" s="13">
        <v>0</v>
      </c>
      <c r="J243" s="8">
        <f>(Table23[[#This Row],[Quantity]]*Table23[[#This Row],[Unit Price]])-(Table23[[#This Row],[Unit Price]]*Table23[[#This Row],[Dscount]])*Table23[[#This Row],[Quantity]]</f>
        <v>80.02</v>
      </c>
      <c r="K243" s="8">
        <v>42.389999999999993</v>
      </c>
      <c r="L243" s="8">
        <f>Table23[[#This Row],[Revenue]]-Table23[[#This Row],[Total Cost]]</f>
        <v>37.630000000000003</v>
      </c>
      <c r="M243" s="16">
        <f>(Table23[[#This Row],[Profit]]/Table23[[#This Row],[Revenue]])</f>
        <v>0.47025743564108979</v>
      </c>
      <c r="N243" t="s">
        <v>17</v>
      </c>
    </row>
    <row r="244" spans="1:14" x14ac:dyDescent="0.25">
      <c r="A244" s="11" t="s">
        <v>686</v>
      </c>
      <c r="B244" s="6">
        <v>45791</v>
      </c>
      <c r="C244" s="11" t="s">
        <v>228</v>
      </c>
      <c r="D244" s="11" t="s">
        <v>20</v>
      </c>
      <c r="E244" s="11" t="s">
        <v>546</v>
      </c>
      <c r="F244" s="11" t="s">
        <v>480</v>
      </c>
      <c r="G244" s="7">
        <v>3</v>
      </c>
      <c r="H244" s="8">
        <v>33.76</v>
      </c>
      <c r="I244" s="13">
        <v>0.1</v>
      </c>
      <c r="J244" s="8">
        <f>(Table23[[#This Row],[Quantity]]*Table23[[#This Row],[Unit Price]])-(Table23[[#This Row],[Unit Price]]*Table23[[#This Row],[Dscount]])*Table23[[#This Row],[Quantity]]</f>
        <v>91.152000000000001</v>
      </c>
      <c r="K244" s="8">
        <v>53.521999999999998</v>
      </c>
      <c r="L244" s="8">
        <f>Table23[[#This Row],[Revenue]]-Table23[[#This Row],[Total Cost]]</f>
        <v>37.630000000000003</v>
      </c>
      <c r="M244" s="16">
        <f>(Table23[[#This Row],[Profit]]/Table23[[#This Row],[Revenue]])</f>
        <v>0.41282692645251889</v>
      </c>
      <c r="N244" t="s">
        <v>33</v>
      </c>
    </row>
    <row r="245" spans="1:14" x14ac:dyDescent="0.25">
      <c r="A245" s="11" t="s">
        <v>360</v>
      </c>
      <c r="B245" s="6">
        <v>46006</v>
      </c>
      <c r="C245" s="11" t="s">
        <v>361</v>
      </c>
      <c r="D245" s="11" t="s">
        <v>24</v>
      </c>
      <c r="E245" s="11" t="s">
        <v>21</v>
      </c>
      <c r="F245" s="11" t="s">
        <v>16</v>
      </c>
      <c r="G245" s="7">
        <v>2</v>
      </c>
      <c r="H245" s="8">
        <v>37.29</v>
      </c>
      <c r="I245" s="13">
        <v>0.05</v>
      </c>
      <c r="J245" s="8">
        <f>(Table23[[#This Row],[Quantity]]*Table23[[#This Row],[Unit Price]])-(Table23[[#This Row],[Unit Price]]*Table23[[#This Row],[Dscount]])*Table23[[#This Row],[Quantity]]</f>
        <v>70.850999999999999</v>
      </c>
      <c r="K245" s="8">
        <v>33.241</v>
      </c>
      <c r="L245" s="8">
        <f>Table23[[#This Row],[Revenue]]-Table23[[#This Row],[Total Cost]]</f>
        <v>37.61</v>
      </c>
      <c r="M245" s="16">
        <f>(Table23[[#This Row],[Profit]]/Table23[[#This Row],[Revenue]])</f>
        <v>0.53083231005913822</v>
      </c>
      <c r="N245" t="s">
        <v>33</v>
      </c>
    </row>
    <row r="246" spans="1:14" x14ac:dyDescent="0.25">
      <c r="A246" s="11" t="s">
        <v>1361</v>
      </c>
      <c r="B246" s="6">
        <v>45381</v>
      </c>
      <c r="C246" s="11" t="s">
        <v>268</v>
      </c>
      <c r="D246" s="11" t="s">
        <v>31</v>
      </c>
      <c r="E246" s="11" t="s">
        <v>1155</v>
      </c>
      <c r="F246" s="11" t="s">
        <v>1112</v>
      </c>
      <c r="G246" s="7">
        <v>2</v>
      </c>
      <c r="H246" s="8">
        <v>59.81</v>
      </c>
      <c r="I246" s="13">
        <v>0.2</v>
      </c>
      <c r="J246" s="8">
        <f>(Table23[[#This Row],[Quantity]]*Table23[[#This Row],[Unit Price]])-(Table23[[#This Row],[Unit Price]]*Table23[[#This Row],[Dscount]])*Table23[[#This Row],[Quantity]]</f>
        <v>95.695999999999998</v>
      </c>
      <c r="K246" s="8">
        <v>58.165999999999997</v>
      </c>
      <c r="L246" s="8">
        <f>Table23[[#This Row],[Revenue]]-Table23[[#This Row],[Total Cost]]</f>
        <v>37.53</v>
      </c>
      <c r="M246" s="16">
        <f>(Table23[[#This Row],[Profit]]/Table23[[#This Row],[Revenue]])</f>
        <v>0.39217940143788665</v>
      </c>
      <c r="N246" t="s">
        <v>48</v>
      </c>
    </row>
    <row r="247" spans="1:14" x14ac:dyDescent="0.25">
      <c r="A247" s="11" t="s">
        <v>1050</v>
      </c>
      <c r="B247" s="6">
        <v>45733</v>
      </c>
      <c r="C247" s="11" t="s">
        <v>1051</v>
      </c>
      <c r="D247" s="11" t="s">
        <v>36</v>
      </c>
      <c r="E247" s="11" t="s">
        <v>856</v>
      </c>
      <c r="F247" s="11" t="s">
        <v>833</v>
      </c>
      <c r="G247" s="7">
        <v>3</v>
      </c>
      <c r="H247" s="8">
        <v>145.80000000000001</v>
      </c>
      <c r="I247" s="13">
        <v>0.15</v>
      </c>
      <c r="J247" s="8">
        <f>(Table23[[#This Row],[Quantity]]*Table23[[#This Row],[Unit Price]])-(Table23[[#This Row],[Unit Price]]*Table23[[#This Row],[Dscount]])*Table23[[#This Row],[Quantity]]</f>
        <v>371.79</v>
      </c>
      <c r="K247" s="8">
        <v>334.53000000000003</v>
      </c>
      <c r="L247" s="8">
        <f>Table23[[#This Row],[Revenue]]-Table23[[#This Row],[Total Cost]]</f>
        <v>37.259999999999991</v>
      </c>
      <c r="M247" s="16">
        <f>(Table23[[#This Row],[Profit]]/Table23[[#This Row],[Revenue]])</f>
        <v>0.10021786492374725</v>
      </c>
      <c r="N247" t="s">
        <v>33</v>
      </c>
    </row>
    <row r="248" spans="1:14" x14ac:dyDescent="0.25">
      <c r="A248" s="11" t="s">
        <v>1716</v>
      </c>
      <c r="B248" s="6">
        <v>45596</v>
      </c>
      <c r="C248" s="11" t="s">
        <v>1717</v>
      </c>
      <c r="D248" s="11" t="s">
        <v>36</v>
      </c>
      <c r="E248" s="11" t="s">
        <v>1416</v>
      </c>
      <c r="F248" s="11" t="s">
        <v>1417</v>
      </c>
      <c r="G248" s="7">
        <v>3</v>
      </c>
      <c r="H248" s="8">
        <v>57.41</v>
      </c>
      <c r="I248" s="13">
        <v>0.1</v>
      </c>
      <c r="J248" s="8">
        <f>(Table23[[#This Row],[Quantity]]*Table23[[#This Row],[Unit Price]])-(Table23[[#This Row],[Unit Price]]*Table23[[#This Row],[Dscount]])*Table23[[#This Row],[Quantity]]</f>
        <v>155.00700000000001</v>
      </c>
      <c r="K248" s="8">
        <v>117.75700000000001</v>
      </c>
      <c r="L248" s="8">
        <f>Table23[[#This Row],[Revenue]]-Table23[[#This Row],[Total Cost]]</f>
        <v>37.25</v>
      </c>
      <c r="M248" s="16">
        <f>(Table23[[#This Row],[Profit]]/Table23[[#This Row],[Revenue]])</f>
        <v>0.24031172785745158</v>
      </c>
      <c r="N248" t="s">
        <v>17</v>
      </c>
    </row>
    <row r="249" spans="1:14" x14ac:dyDescent="0.25">
      <c r="A249" s="11" t="s">
        <v>359</v>
      </c>
      <c r="B249" s="6">
        <v>45914</v>
      </c>
      <c r="C249" s="11" t="s">
        <v>82</v>
      </c>
      <c r="D249" s="11" t="s">
        <v>24</v>
      </c>
      <c r="E249" s="11" t="s">
        <v>47</v>
      </c>
      <c r="F249" s="11" t="s">
        <v>16</v>
      </c>
      <c r="G249" s="7">
        <v>3</v>
      </c>
      <c r="H249" s="8">
        <v>23.7</v>
      </c>
      <c r="I249" s="13">
        <v>0</v>
      </c>
      <c r="J249" s="8">
        <f>(Table23[[#This Row],[Quantity]]*Table23[[#This Row],[Unit Price]])-(Table23[[#This Row],[Unit Price]]*Table23[[#This Row],[Dscount]])*Table23[[#This Row],[Quantity]]</f>
        <v>71.099999999999994</v>
      </c>
      <c r="K249" s="8">
        <v>33.859999999999992</v>
      </c>
      <c r="L249" s="8">
        <f>Table23[[#This Row],[Revenue]]-Table23[[#This Row],[Total Cost]]</f>
        <v>37.24</v>
      </c>
      <c r="M249" s="16">
        <f>(Table23[[#This Row],[Profit]]/Table23[[#This Row],[Revenue]])</f>
        <v>0.5237693389592124</v>
      </c>
      <c r="N249" t="s">
        <v>33</v>
      </c>
    </row>
    <row r="250" spans="1:14" x14ac:dyDescent="0.25">
      <c r="A250" s="11" t="s">
        <v>1714</v>
      </c>
      <c r="B250" s="6">
        <v>45629</v>
      </c>
      <c r="C250" s="11" t="s">
        <v>1715</v>
      </c>
      <c r="D250" s="11" t="s">
        <v>20</v>
      </c>
      <c r="E250" s="11" t="s">
        <v>1416</v>
      </c>
      <c r="F250" s="11" t="s">
        <v>1417</v>
      </c>
      <c r="G250" s="7">
        <v>4</v>
      </c>
      <c r="H250" s="8">
        <v>27.41</v>
      </c>
      <c r="I250" s="13">
        <v>0</v>
      </c>
      <c r="J250" s="8">
        <f>(Table23[[#This Row],[Quantity]]*Table23[[#This Row],[Unit Price]])-(Table23[[#This Row],[Unit Price]]*Table23[[#This Row],[Dscount]])*Table23[[#This Row],[Quantity]]</f>
        <v>109.64</v>
      </c>
      <c r="K250" s="8">
        <v>72.41</v>
      </c>
      <c r="L250" s="8">
        <f>Table23[[#This Row],[Revenue]]-Table23[[#This Row],[Total Cost]]</f>
        <v>37.230000000000004</v>
      </c>
      <c r="M250" s="16">
        <f>(Table23[[#This Row],[Profit]]/Table23[[#This Row],[Revenue]])</f>
        <v>0.33956585187887633</v>
      </c>
      <c r="N250" t="s">
        <v>33</v>
      </c>
    </row>
    <row r="251" spans="1:14" x14ac:dyDescent="0.25">
      <c r="A251" s="11" t="s">
        <v>357</v>
      </c>
      <c r="B251" s="6">
        <v>45830</v>
      </c>
      <c r="C251" s="11" t="s">
        <v>358</v>
      </c>
      <c r="D251" s="11" t="s">
        <v>36</v>
      </c>
      <c r="E251" s="11" t="s">
        <v>44</v>
      </c>
      <c r="F251" s="11" t="s">
        <v>16</v>
      </c>
      <c r="G251" s="7">
        <v>2</v>
      </c>
      <c r="H251" s="8">
        <v>31.83</v>
      </c>
      <c r="I251" s="13">
        <v>0</v>
      </c>
      <c r="J251" s="8">
        <f>(Table23[[#This Row],[Quantity]]*Table23[[#This Row],[Unit Price]])-(Table23[[#This Row],[Unit Price]]*Table23[[#This Row],[Dscount]])*Table23[[#This Row],[Quantity]]</f>
        <v>63.66</v>
      </c>
      <c r="K251" s="8">
        <v>26.43</v>
      </c>
      <c r="L251" s="8">
        <f>Table23[[#This Row],[Revenue]]-Table23[[#This Row],[Total Cost]]</f>
        <v>37.229999999999997</v>
      </c>
      <c r="M251" s="16">
        <f>(Table23[[#This Row],[Profit]]/Table23[[#This Row],[Revenue]])</f>
        <v>0.58482563619227146</v>
      </c>
      <c r="N251" t="s">
        <v>33</v>
      </c>
    </row>
    <row r="252" spans="1:14" x14ac:dyDescent="0.25">
      <c r="A252" s="11" t="s">
        <v>683</v>
      </c>
      <c r="B252" s="6">
        <v>45443</v>
      </c>
      <c r="C252" s="11" t="s">
        <v>684</v>
      </c>
      <c r="D252" s="11" t="s">
        <v>31</v>
      </c>
      <c r="E252" s="11" t="s">
        <v>505</v>
      </c>
      <c r="F252" s="11" t="s">
        <v>480</v>
      </c>
      <c r="G252" s="7">
        <v>1</v>
      </c>
      <c r="H252" s="8">
        <v>84.2</v>
      </c>
      <c r="I252" s="13">
        <v>0.1</v>
      </c>
      <c r="J252" s="8">
        <f>(Table23[[#This Row],[Quantity]]*Table23[[#This Row],[Unit Price]])-(Table23[[#This Row],[Unit Price]]*Table23[[#This Row],[Dscount]])*Table23[[#This Row],[Quantity]]</f>
        <v>75.78</v>
      </c>
      <c r="K252" s="8">
        <v>38.770000000000003</v>
      </c>
      <c r="L252" s="8">
        <f>Table23[[#This Row],[Revenue]]-Table23[[#This Row],[Total Cost]]</f>
        <v>37.01</v>
      </c>
      <c r="M252" s="16">
        <f>(Table23[[#This Row],[Profit]]/Table23[[#This Row],[Revenue]])</f>
        <v>0.48838743731855366</v>
      </c>
      <c r="N252" t="s">
        <v>17</v>
      </c>
    </row>
    <row r="253" spans="1:14" x14ac:dyDescent="0.25">
      <c r="A253" s="11" t="s">
        <v>1713</v>
      </c>
      <c r="B253" s="6">
        <v>45524</v>
      </c>
      <c r="C253" s="11" t="s">
        <v>1646</v>
      </c>
      <c r="D253" s="11" t="s">
        <v>31</v>
      </c>
      <c r="E253" s="11" t="s">
        <v>1436</v>
      </c>
      <c r="F253" s="11" t="s">
        <v>1417</v>
      </c>
      <c r="G253" s="7">
        <v>2</v>
      </c>
      <c r="H253" s="8">
        <v>56.93</v>
      </c>
      <c r="I253" s="13">
        <v>0</v>
      </c>
      <c r="J253" s="8">
        <f>(Table23[[#This Row],[Quantity]]*Table23[[#This Row],[Unit Price]])-(Table23[[#This Row],[Unit Price]]*Table23[[#This Row],[Dscount]])*Table23[[#This Row],[Quantity]]</f>
        <v>113.86</v>
      </c>
      <c r="K253" s="8">
        <v>76.930000000000007</v>
      </c>
      <c r="L253" s="8">
        <f>Table23[[#This Row],[Revenue]]-Table23[[#This Row],[Total Cost]]</f>
        <v>36.929999999999993</v>
      </c>
      <c r="M253" s="16">
        <f>(Table23[[#This Row],[Profit]]/Table23[[#This Row],[Revenue]])</f>
        <v>0.32434568768663263</v>
      </c>
      <c r="N253" t="s">
        <v>48</v>
      </c>
    </row>
    <row r="254" spans="1:14" x14ac:dyDescent="0.25">
      <c r="A254" s="11" t="s">
        <v>682</v>
      </c>
      <c r="B254" s="6">
        <v>45941</v>
      </c>
      <c r="C254" s="11" t="s">
        <v>244</v>
      </c>
      <c r="D254" s="11" t="s">
        <v>24</v>
      </c>
      <c r="E254" s="11" t="s">
        <v>489</v>
      </c>
      <c r="F254" s="11" t="s">
        <v>480</v>
      </c>
      <c r="G254" s="7">
        <v>1</v>
      </c>
      <c r="H254" s="8">
        <v>89.58</v>
      </c>
      <c r="I254" s="13">
        <v>0.05</v>
      </c>
      <c r="J254" s="8">
        <f>(Table23[[#This Row],[Quantity]]*Table23[[#This Row],[Unit Price]])-(Table23[[#This Row],[Unit Price]]*Table23[[#This Row],[Dscount]])*Table23[[#This Row],[Quantity]]</f>
        <v>85.100999999999999</v>
      </c>
      <c r="K254" s="8">
        <v>48.420999999999999</v>
      </c>
      <c r="L254" s="8">
        <f>Table23[[#This Row],[Revenue]]-Table23[[#This Row],[Total Cost]]</f>
        <v>36.68</v>
      </c>
      <c r="M254" s="16">
        <f>(Table23[[#This Row],[Profit]]/Table23[[#This Row],[Revenue]])</f>
        <v>0.43101726184181149</v>
      </c>
      <c r="N254" t="s">
        <v>33</v>
      </c>
    </row>
    <row r="255" spans="1:14" x14ac:dyDescent="0.25">
      <c r="A255" s="11" t="s">
        <v>355</v>
      </c>
      <c r="B255" s="6">
        <v>45974</v>
      </c>
      <c r="C255" s="11" t="s">
        <v>356</v>
      </c>
      <c r="D255" s="11" t="s">
        <v>36</v>
      </c>
      <c r="E255" s="11" t="s">
        <v>44</v>
      </c>
      <c r="F255" s="11" t="s">
        <v>16</v>
      </c>
      <c r="G255" s="7">
        <v>2</v>
      </c>
      <c r="H255" s="8">
        <v>42.12</v>
      </c>
      <c r="I255" s="13">
        <v>0</v>
      </c>
      <c r="J255" s="8">
        <f>(Table23[[#This Row],[Quantity]]*Table23[[#This Row],[Unit Price]])-(Table23[[#This Row],[Unit Price]]*Table23[[#This Row],[Dscount]])*Table23[[#This Row],[Quantity]]</f>
        <v>84.24</v>
      </c>
      <c r="K255" s="8">
        <v>47.639999999999993</v>
      </c>
      <c r="L255" s="8">
        <f>Table23[[#This Row],[Revenue]]-Table23[[#This Row],[Total Cost]]</f>
        <v>36.6</v>
      </c>
      <c r="M255" s="16">
        <f>(Table23[[#This Row],[Profit]]/Table23[[#This Row],[Revenue]])</f>
        <v>0.4344729344729345</v>
      </c>
      <c r="N255" t="s">
        <v>33</v>
      </c>
    </row>
    <row r="256" spans="1:14" x14ac:dyDescent="0.25">
      <c r="A256" s="11" t="s">
        <v>1359</v>
      </c>
      <c r="B256" s="6">
        <v>45611</v>
      </c>
      <c r="C256" s="11" t="s">
        <v>1360</v>
      </c>
      <c r="D256" s="11" t="s">
        <v>14</v>
      </c>
      <c r="E256" s="11" t="s">
        <v>1114</v>
      </c>
      <c r="F256" s="11" t="s">
        <v>1112</v>
      </c>
      <c r="G256" s="7">
        <v>2</v>
      </c>
      <c r="H256" s="8">
        <v>51.34</v>
      </c>
      <c r="I256" s="13">
        <v>0.1</v>
      </c>
      <c r="J256" s="8">
        <f>(Table23[[#This Row],[Quantity]]*Table23[[#This Row],[Unit Price]])-(Table23[[#This Row],[Unit Price]]*Table23[[#This Row],[Dscount]])*Table23[[#This Row],[Quantity]]</f>
        <v>92.412000000000006</v>
      </c>
      <c r="K256" s="8">
        <v>55.902000000000008</v>
      </c>
      <c r="L256" s="8">
        <f>Table23[[#This Row],[Revenue]]-Table23[[#This Row],[Total Cost]]</f>
        <v>36.51</v>
      </c>
      <c r="M256" s="16">
        <f>(Table23[[#This Row],[Profit]]/Table23[[#This Row],[Revenue]])</f>
        <v>0.39507856122581481</v>
      </c>
      <c r="N256" t="s">
        <v>33</v>
      </c>
    </row>
    <row r="257" spans="1:14" x14ac:dyDescent="0.25">
      <c r="A257" s="11" t="s">
        <v>1049</v>
      </c>
      <c r="B257" s="6">
        <v>45450</v>
      </c>
      <c r="C257" s="11" t="s">
        <v>513</v>
      </c>
      <c r="D257" s="11" t="s">
        <v>20</v>
      </c>
      <c r="E257" s="11" t="s">
        <v>848</v>
      </c>
      <c r="F257" s="11" t="s">
        <v>833</v>
      </c>
      <c r="G257" s="7">
        <v>2</v>
      </c>
      <c r="H257" s="8">
        <v>86.54</v>
      </c>
      <c r="I257" s="13">
        <v>0</v>
      </c>
      <c r="J257" s="8">
        <f>(Table23[[#This Row],[Quantity]]*Table23[[#This Row],[Unit Price]])-(Table23[[#This Row],[Unit Price]]*Table23[[#This Row],[Dscount]])*Table23[[#This Row],[Quantity]]</f>
        <v>173.08</v>
      </c>
      <c r="K257" s="8">
        <v>136.59</v>
      </c>
      <c r="L257" s="8">
        <f>Table23[[#This Row],[Revenue]]-Table23[[#This Row],[Total Cost]]</f>
        <v>36.490000000000009</v>
      </c>
      <c r="M257" s="16">
        <f>(Table23[[#This Row],[Profit]]/Table23[[#This Row],[Revenue]])</f>
        <v>0.21082736306910102</v>
      </c>
      <c r="N257" t="s">
        <v>33</v>
      </c>
    </row>
    <row r="258" spans="1:14" x14ac:dyDescent="0.25">
      <c r="A258" s="11" t="s">
        <v>1357</v>
      </c>
      <c r="B258" s="6">
        <v>45906</v>
      </c>
      <c r="C258" s="11" t="s">
        <v>1358</v>
      </c>
      <c r="D258" s="11" t="s">
        <v>14</v>
      </c>
      <c r="E258" s="11" t="s">
        <v>1134</v>
      </c>
      <c r="F258" s="11" t="s">
        <v>1112</v>
      </c>
      <c r="G258" s="7">
        <v>3</v>
      </c>
      <c r="H258" s="8">
        <v>44.17</v>
      </c>
      <c r="I258" s="13">
        <v>0.05</v>
      </c>
      <c r="J258" s="8">
        <f>(Table23[[#This Row],[Quantity]]*Table23[[#This Row],[Unit Price]])-(Table23[[#This Row],[Unit Price]]*Table23[[#This Row],[Dscount]])*Table23[[#This Row],[Quantity]]</f>
        <v>125.88449999999999</v>
      </c>
      <c r="K258" s="8">
        <v>89.404499999999985</v>
      </c>
      <c r="L258" s="8">
        <f>Table23[[#This Row],[Revenue]]-Table23[[#This Row],[Total Cost]]</f>
        <v>36.480000000000004</v>
      </c>
      <c r="M258" s="16">
        <f>(Table23[[#This Row],[Profit]]/Table23[[#This Row],[Revenue]])</f>
        <v>0.28978944985284133</v>
      </c>
      <c r="N258" t="s">
        <v>33</v>
      </c>
    </row>
    <row r="259" spans="1:14" x14ac:dyDescent="0.25">
      <c r="A259" s="11" t="s">
        <v>1712</v>
      </c>
      <c r="B259" s="6">
        <v>45804</v>
      </c>
      <c r="C259" s="11" t="s">
        <v>1165</v>
      </c>
      <c r="D259" s="11" t="s">
        <v>14</v>
      </c>
      <c r="E259" s="11" t="s">
        <v>1420</v>
      </c>
      <c r="F259" s="11" t="s">
        <v>1417</v>
      </c>
      <c r="G259" s="7">
        <v>4</v>
      </c>
      <c r="H259" s="8">
        <v>26.28</v>
      </c>
      <c r="I259" s="13">
        <v>0</v>
      </c>
      <c r="J259" s="8">
        <f>(Table23[[#This Row],[Quantity]]*Table23[[#This Row],[Unit Price]])-(Table23[[#This Row],[Unit Price]]*Table23[[#This Row],[Dscount]])*Table23[[#This Row],[Quantity]]</f>
        <v>105.12</v>
      </c>
      <c r="K259" s="8">
        <v>68.680000000000007</v>
      </c>
      <c r="L259" s="8">
        <f>Table23[[#This Row],[Revenue]]-Table23[[#This Row],[Total Cost]]</f>
        <v>36.44</v>
      </c>
      <c r="M259" s="16">
        <f>(Table23[[#This Row],[Profit]]/Table23[[#This Row],[Revenue]])</f>
        <v>0.34665144596651443</v>
      </c>
      <c r="N259" t="s">
        <v>17</v>
      </c>
    </row>
    <row r="260" spans="1:14" x14ac:dyDescent="0.25">
      <c r="A260" s="11" t="s">
        <v>353</v>
      </c>
      <c r="B260" s="6">
        <v>45410</v>
      </c>
      <c r="C260" s="11" t="s">
        <v>354</v>
      </c>
      <c r="D260" s="11" t="s">
        <v>36</v>
      </c>
      <c r="E260" s="11" t="s">
        <v>47</v>
      </c>
      <c r="F260" s="11" t="s">
        <v>16</v>
      </c>
      <c r="G260" s="7">
        <v>2</v>
      </c>
      <c r="H260" s="8">
        <v>40.89</v>
      </c>
      <c r="I260" s="13">
        <v>0.05</v>
      </c>
      <c r="J260" s="8">
        <f>(Table23[[#This Row],[Quantity]]*Table23[[#This Row],[Unit Price]])-(Table23[[#This Row],[Unit Price]]*Table23[[#This Row],[Dscount]])*Table23[[#This Row],[Quantity]]</f>
        <v>77.691000000000003</v>
      </c>
      <c r="K260" s="8">
        <v>41.331000000000003</v>
      </c>
      <c r="L260" s="8">
        <f>Table23[[#This Row],[Revenue]]-Table23[[#This Row],[Total Cost]]</f>
        <v>36.36</v>
      </c>
      <c r="M260" s="16">
        <f>(Table23[[#This Row],[Profit]]/Table23[[#This Row],[Revenue]])</f>
        <v>0.46800787736031196</v>
      </c>
      <c r="N260" t="s">
        <v>33</v>
      </c>
    </row>
    <row r="261" spans="1:14" x14ac:dyDescent="0.25">
      <c r="A261" s="11" t="s">
        <v>681</v>
      </c>
      <c r="B261" s="6">
        <v>45726</v>
      </c>
      <c r="C261" s="11" t="s">
        <v>414</v>
      </c>
      <c r="D261" s="11" t="s">
        <v>24</v>
      </c>
      <c r="E261" s="11" t="s">
        <v>486</v>
      </c>
      <c r="F261" s="11" t="s">
        <v>480</v>
      </c>
      <c r="G261" s="7">
        <v>2</v>
      </c>
      <c r="H261" s="8">
        <v>37.99</v>
      </c>
      <c r="I261" s="13">
        <v>0</v>
      </c>
      <c r="J261" s="8">
        <f>(Table23[[#This Row],[Quantity]]*Table23[[#This Row],[Unit Price]])-(Table23[[#This Row],[Unit Price]]*Table23[[#This Row],[Dscount]])*Table23[[#This Row],[Quantity]]</f>
        <v>75.98</v>
      </c>
      <c r="K261" s="8">
        <v>39.750000000000007</v>
      </c>
      <c r="L261" s="8">
        <f>Table23[[#This Row],[Revenue]]-Table23[[#This Row],[Total Cost]]</f>
        <v>36.229999999999997</v>
      </c>
      <c r="M261" s="16">
        <f>(Table23[[#This Row],[Profit]]/Table23[[#This Row],[Revenue]])</f>
        <v>0.47683600947617788</v>
      </c>
      <c r="N261" t="s">
        <v>33</v>
      </c>
    </row>
    <row r="262" spans="1:14" x14ac:dyDescent="0.25">
      <c r="A262" s="11" t="s">
        <v>1355</v>
      </c>
      <c r="B262" s="6">
        <v>46006</v>
      </c>
      <c r="C262" s="11" t="s">
        <v>1356</v>
      </c>
      <c r="D262" s="11" t="s">
        <v>24</v>
      </c>
      <c r="E262" s="11" t="s">
        <v>1155</v>
      </c>
      <c r="F262" s="11" t="s">
        <v>1112</v>
      </c>
      <c r="G262" s="7">
        <v>2</v>
      </c>
      <c r="H262" s="8">
        <v>58.11</v>
      </c>
      <c r="I262" s="13">
        <v>0.05</v>
      </c>
      <c r="J262" s="8">
        <f>(Table23[[#This Row],[Quantity]]*Table23[[#This Row],[Unit Price]])-(Table23[[#This Row],[Unit Price]]*Table23[[#This Row],[Dscount]])*Table23[[#This Row],[Quantity]]</f>
        <v>110.40899999999999</v>
      </c>
      <c r="K262" s="8">
        <v>74.258999999999986</v>
      </c>
      <c r="L262" s="8">
        <f>Table23[[#This Row],[Revenue]]-Table23[[#This Row],[Total Cost]]</f>
        <v>36.150000000000006</v>
      </c>
      <c r="M262" s="16">
        <f>(Table23[[#This Row],[Profit]]/Table23[[#This Row],[Revenue]])</f>
        <v>0.32741896041083612</v>
      </c>
      <c r="N262" t="s">
        <v>33</v>
      </c>
    </row>
    <row r="263" spans="1:14" x14ac:dyDescent="0.25">
      <c r="A263" s="11" t="s">
        <v>1047</v>
      </c>
      <c r="B263" s="6">
        <v>45539</v>
      </c>
      <c r="C263" s="11" t="s">
        <v>1048</v>
      </c>
      <c r="D263" s="11" t="s">
        <v>24</v>
      </c>
      <c r="E263" s="11" t="s">
        <v>840</v>
      </c>
      <c r="F263" s="11" t="s">
        <v>833</v>
      </c>
      <c r="G263" s="7">
        <v>3</v>
      </c>
      <c r="H263" s="8">
        <v>104.06</v>
      </c>
      <c r="I263" s="13">
        <v>0.05</v>
      </c>
      <c r="J263" s="8">
        <f>(Table23[[#This Row],[Quantity]]*Table23[[#This Row],[Unit Price]])-(Table23[[#This Row],[Unit Price]]*Table23[[#This Row],[Dscount]])*Table23[[#This Row],[Quantity]]</f>
        <v>296.57100000000003</v>
      </c>
      <c r="K263" s="8">
        <v>260.62100000000004</v>
      </c>
      <c r="L263" s="8">
        <f>Table23[[#This Row],[Revenue]]-Table23[[#This Row],[Total Cost]]</f>
        <v>35.949999999999989</v>
      </c>
      <c r="M263" s="16">
        <f>(Table23[[#This Row],[Profit]]/Table23[[#This Row],[Revenue]])</f>
        <v>0.12121886495982408</v>
      </c>
      <c r="N263" t="s">
        <v>33</v>
      </c>
    </row>
    <row r="264" spans="1:14" x14ac:dyDescent="0.25">
      <c r="A264" s="11" t="s">
        <v>351</v>
      </c>
      <c r="B264" s="6">
        <v>45583</v>
      </c>
      <c r="C264" s="11" t="s">
        <v>352</v>
      </c>
      <c r="D264" s="11" t="s">
        <v>20</v>
      </c>
      <c r="E264" s="11" t="s">
        <v>53</v>
      </c>
      <c r="F264" s="11" t="s">
        <v>16</v>
      </c>
      <c r="G264" s="7">
        <v>2</v>
      </c>
      <c r="H264" s="8">
        <v>32.479999999999997</v>
      </c>
      <c r="I264" s="13">
        <v>0.05</v>
      </c>
      <c r="J264" s="8">
        <f>(Table23[[#This Row],[Quantity]]*Table23[[#This Row],[Unit Price]])-(Table23[[#This Row],[Unit Price]]*Table23[[#This Row],[Dscount]])*Table23[[#This Row],[Quantity]]</f>
        <v>61.711999999999996</v>
      </c>
      <c r="K264" s="8">
        <v>25.911999999999999</v>
      </c>
      <c r="L264" s="8">
        <f>Table23[[#This Row],[Revenue]]-Table23[[#This Row],[Total Cost]]</f>
        <v>35.799999999999997</v>
      </c>
      <c r="M264" s="16">
        <f>(Table23[[#This Row],[Profit]]/Table23[[#This Row],[Revenue]])</f>
        <v>0.58011407829919626</v>
      </c>
      <c r="N264" t="s">
        <v>33</v>
      </c>
    </row>
    <row r="265" spans="1:14" x14ac:dyDescent="0.25">
      <c r="A265" s="11" t="s">
        <v>349</v>
      </c>
      <c r="B265" s="6">
        <v>45630</v>
      </c>
      <c r="C265" s="11" t="s">
        <v>350</v>
      </c>
      <c r="D265" s="11" t="s">
        <v>20</v>
      </c>
      <c r="E265" s="11" t="s">
        <v>32</v>
      </c>
      <c r="F265" s="11" t="s">
        <v>16</v>
      </c>
      <c r="G265" s="7">
        <v>2</v>
      </c>
      <c r="H265" s="8">
        <v>39.520000000000003</v>
      </c>
      <c r="I265" s="13">
        <v>0.1</v>
      </c>
      <c r="J265" s="8">
        <f>(Table23[[#This Row],[Quantity]]*Table23[[#This Row],[Unit Price]])-(Table23[[#This Row],[Unit Price]]*Table23[[#This Row],[Dscount]])*Table23[[#This Row],[Quantity]]</f>
        <v>71.13600000000001</v>
      </c>
      <c r="K265" s="8">
        <v>35.396000000000008</v>
      </c>
      <c r="L265" s="8">
        <f>Table23[[#This Row],[Revenue]]-Table23[[#This Row],[Total Cost]]</f>
        <v>35.74</v>
      </c>
      <c r="M265" s="16">
        <f>(Table23[[#This Row],[Profit]]/Table23[[#This Row],[Revenue]])</f>
        <v>0.50241790373369322</v>
      </c>
      <c r="N265" t="s">
        <v>17</v>
      </c>
    </row>
    <row r="266" spans="1:14" x14ac:dyDescent="0.25">
      <c r="A266" s="11" t="s">
        <v>1353</v>
      </c>
      <c r="B266" s="6">
        <v>45751</v>
      </c>
      <c r="C266" s="11" t="s">
        <v>1354</v>
      </c>
      <c r="D266" s="11" t="s">
        <v>36</v>
      </c>
      <c r="E266" s="11" t="s">
        <v>1132</v>
      </c>
      <c r="F266" s="11" t="s">
        <v>1112</v>
      </c>
      <c r="G266" s="7">
        <v>3</v>
      </c>
      <c r="H266" s="8">
        <v>62.6</v>
      </c>
      <c r="I266" s="13">
        <v>0.15</v>
      </c>
      <c r="J266" s="8">
        <f>(Table23[[#This Row],[Quantity]]*Table23[[#This Row],[Unit Price]])-(Table23[[#This Row],[Unit Price]]*Table23[[#This Row],[Dscount]])*Table23[[#This Row],[Quantity]]</f>
        <v>159.63</v>
      </c>
      <c r="K266" s="8">
        <v>124.06</v>
      </c>
      <c r="L266" s="8">
        <f>Table23[[#This Row],[Revenue]]-Table23[[#This Row],[Total Cost]]</f>
        <v>35.569999999999993</v>
      </c>
      <c r="M266" s="16">
        <f>(Table23[[#This Row],[Profit]]/Table23[[#This Row],[Revenue]])</f>
        <v>0.22282778926266988</v>
      </c>
      <c r="N266" t="s">
        <v>33</v>
      </c>
    </row>
    <row r="267" spans="1:14" x14ac:dyDescent="0.25">
      <c r="A267" s="11" t="s">
        <v>679</v>
      </c>
      <c r="B267" s="6">
        <v>45384</v>
      </c>
      <c r="C267" s="11" t="s">
        <v>680</v>
      </c>
      <c r="D267" s="11" t="s">
        <v>20</v>
      </c>
      <c r="E267" s="11" t="s">
        <v>503</v>
      </c>
      <c r="F267" s="11" t="s">
        <v>480</v>
      </c>
      <c r="G267" s="7">
        <v>4</v>
      </c>
      <c r="H267" s="8">
        <v>33.92</v>
      </c>
      <c r="I267" s="13">
        <v>0.2</v>
      </c>
      <c r="J267" s="8">
        <f>(Table23[[#This Row],[Quantity]]*Table23[[#This Row],[Unit Price]])-(Table23[[#This Row],[Unit Price]]*Table23[[#This Row],[Dscount]])*Table23[[#This Row],[Quantity]]</f>
        <v>108.54400000000001</v>
      </c>
      <c r="K267" s="8">
        <v>73.134000000000015</v>
      </c>
      <c r="L267" s="8">
        <f>Table23[[#This Row],[Revenue]]-Table23[[#This Row],[Total Cost]]</f>
        <v>35.409999999999997</v>
      </c>
      <c r="M267" s="16">
        <f>(Table23[[#This Row],[Profit]]/Table23[[#This Row],[Revenue]])</f>
        <v>0.32622715212264142</v>
      </c>
      <c r="N267" t="s">
        <v>17</v>
      </c>
    </row>
    <row r="268" spans="1:14" x14ac:dyDescent="0.25">
      <c r="A268" s="11" t="s">
        <v>347</v>
      </c>
      <c r="B268" s="6">
        <v>45499</v>
      </c>
      <c r="C268" s="11" t="s">
        <v>348</v>
      </c>
      <c r="D268" s="11" t="s">
        <v>36</v>
      </c>
      <c r="E268" s="11" t="s">
        <v>53</v>
      </c>
      <c r="F268" s="11" t="s">
        <v>16</v>
      </c>
      <c r="G268" s="7">
        <v>3</v>
      </c>
      <c r="H268" s="8">
        <v>31.47</v>
      </c>
      <c r="I268" s="13">
        <v>0.2</v>
      </c>
      <c r="J268" s="8">
        <f>(Table23[[#This Row],[Quantity]]*Table23[[#This Row],[Unit Price]])-(Table23[[#This Row],[Unit Price]]*Table23[[#This Row],[Dscount]])*Table23[[#This Row],[Quantity]]</f>
        <v>75.527999999999992</v>
      </c>
      <c r="K268" s="8">
        <v>40.127999999999993</v>
      </c>
      <c r="L268" s="8">
        <f>Table23[[#This Row],[Revenue]]-Table23[[#This Row],[Total Cost]]</f>
        <v>35.4</v>
      </c>
      <c r="M268" s="16">
        <f>(Table23[[#This Row],[Profit]]/Table23[[#This Row],[Revenue]])</f>
        <v>0.46870034953924378</v>
      </c>
      <c r="N268" t="s">
        <v>33</v>
      </c>
    </row>
    <row r="269" spans="1:14" x14ac:dyDescent="0.25">
      <c r="A269" s="11" t="s">
        <v>1046</v>
      </c>
      <c r="B269" s="6">
        <v>45968</v>
      </c>
      <c r="C269" s="11" t="s">
        <v>13</v>
      </c>
      <c r="D269" s="11" t="s">
        <v>31</v>
      </c>
      <c r="E269" s="11" t="s">
        <v>837</v>
      </c>
      <c r="F269" s="11" t="s">
        <v>833</v>
      </c>
      <c r="G269" s="7">
        <v>4</v>
      </c>
      <c r="H269" s="8">
        <v>45.17</v>
      </c>
      <c r="I269" s="13">
        <v>0.2</v>
      </c>
      <c r="J269" s="8">
        <f>(Table23[[#This Row],[Quantity]]*Table23[[#This Row],[Unit Price]])-(Table23[[#This Row],[Unit Price]]*Table23[[#This Row],[Dscount]])*Table23[[#This Row],[Quantity]]</f>
        <v>144.54400000000001</v>
      </c>
      <c r="K269" s="8">
        <v>109.26400000000001</v>
      </c>
      <c r="L269" s="8">
        <f>Table23[[#This Row],[Revenue]]-Table23[[#This Row],[Total Cost]]</f>
        <v>35.28</v>
      </c>
      <c r="M269" s="16">
        <f>(Table23[[#This Row],[Profit]]/Table23[[#This Row],[Revenue]])</f>
        <v>0.24407792782820456</v>
      </c>
      <c r="N269" t="s">
        <v>17</v>
      </c>
    </row>
    <row r="270" spans="1:14" x14ac:dyDescent="0.25">
      <c r="A270" s="11" t="s">
        <v>1045</v>
      </c>
      <c r="B270" s="6">
        <v>45327</v>
      </c>
      <c r="C270" s="11" t="s">
        <v>297</v>
      </c>
      <c r="D270" s="11" t="s">
        <v>24</v>
      </c>
      <c r="E270" s="11" t="s">
        <v>837</v>
      </c>
      <c r="F270" s="11" t="s">
        <v>833</v>
      </c>
      <c r="G270" s="7">
        <v>3</v>
      </c>
      <c r="H270" s="8">
        <v>116.21</v>
      </c>
      <c r="I270" s="13">
        <v>0</v>
      </c>
      <c r="J270" s="8">
        <f>(Table23[[#This Row],[Quantity]]*Table23[[#This Row],[Unit Price]])-(Table23[[#This Row],[Unit Price]]*Table23[[#This Row],[Dscount]])*Table23[[#This Row],[Quantity]]</f>
        <v>348.63</v>
      </c>
      <c r="K270" s="8">
        <v>313.37</v>
      </c>
      <c r="L270" s="8">
        <f>Table23[[#This Row],[Revenue]]-Table23[[#This Row],[Total Cost]]</f>
        <v>35.259999999999991</v>
      </c>
      <c r="M270" s="16">
        <f>(Table23[[#This Row],[Profit]]/Table23[[#This Row],[Revenue]])</f>
        <v>0.1011387430800562</v>
      </c>
      <c r="N270" t="s">
        <v>33</v>
      </c>
    </row>
    <row r="271" spans="1:14" x14ac:dyDescent="0.25">
      <c r="A271" s="11" t="s">
        <v>677</v>
      </c>
      <c r="B271" s="6">
        <v>45756</v>
      </c>
      <c r="C271" s="11" t="s">
        <v>678</v>
      </c>
      <c r="D271" s="11" t="s">
        <v>14</v>
      </c>
      <c r="E271" s="11" t="s">
        <v>503</v>
      </c>
      <c r="F271" s="11" t="s">
        <v>480</v>
      </c>
      <c r="G271" s="7">
        <v>4</v>
      </c>
      <c r="H271" s="8">
        <v>20.399999999999999</v>
      </c>
      <c r="I271" s="13">
        <v>0.2</v>
      </c>
      <c r="J271" s="8">
        <f>(Table23[[#This Row],[Quantity]]*Table23[[#This Row],[Unit Price]])-(Table23[[#This Row],[Unit Price]]*Table23[[#This Row],[Dscount]])*Table23[[#This Row],[Quantity]]</f>
        <v>65.28</v>
      </c>
      <c r="K271" s="8">
        <v>30.11</v>
      </c>
      <c r="L271" s="8">
        <f>Table23[[#This Row],[Revenue]]-Table23[[#This Row],[Total Cost]]</f>
        <v>35.17</v>
      </c>
      <c r="M271" s="16">
        <f>(Table23[[#This Row],[Profit]]/Table23[[#This Row],[Revenue]])</f>
        <v>0.53875612745098045</v>
      </c>
      <c r="N271" t="s">
        <v>33</v>
      </c>
    </row>
    <row r="272" spans="1:14" x14ac:dyDescent="0.25">
      <c r="A272" s="11" t="s">
        <v>675</v>
      </c>
      <c r="B272" s="6">
        <v>45626</v>
      </c>
      <c r="C272" s="11" t="s">
        <v>676</v>
      </c>
      <c r="D272" s="11" t="s">
        <v>14</v>
      </c>
      <c r="E272" s="11" t="s">
        <v>479</v>
      </c>
      <c r="F272" s="11" t="s">
        <v>480</v>
      </c>
      <c r="G272" s="7">
        <v>1</v>
      </c>
      <c r="H272" s="8">
        <v>82.02</v>
      </c>
      <c r="I272" s="13">
        <v>0.1</v>
      </c>
      <c r="J272" s="8">
        <f>(Table23[[#This Row],[Quantity]]*Table23[[#This Row],[Unit Price]])-(Table23[[#This Row],[Unit Price]]*Table23[[#This Row],[Dscount]])*Table23[[#This Row],[Quantity]]</f>
        <v>73.817999999999998</v>
      </c>
      <c r="K272" s="8">
        <v>38.717999999999996</v>
      </c>
      <c r="L272" s="8">
        <f>Table23[[#This Row],[Revenue]]-Table23[[#This Row],[Total Cost]]</f>
        <v>35.1</v>
      </c>
      <c r="M272" s="16">
        <f>(Table23[[#This Row],[Profit]]/Table23[[#This Row],[Revenue]])</f>
        <v>0.47549378200438919</v>
      </c>
      <c r="N272" t="s">
        <v>17</v>
      </c>
    </row>
    <row r="273" spans="1:14" x14ac:dyDescent="0.25">
      <c r="A273" s="11" t="s">
        <v>673</v>
      </c>
      <c r="B273" s="6">
        <v>45375</v>
      </c>
      <c r="C273" s="11" t="s">
        <v>674</v>
      </c>
      <c r="D273" s="11" t="s">
        <v>14</v>
      </c>
      <c r="E273" s="11" t="s">
        <v>496</v>
      </c>
      <c r="F273" s="11" t="s">
        <v>480</v>
      </c>
      <c r="G273" s="7">
        <v>2</v>
      </c>
      <c r="H273" s="8">
        <v>63.36</v>
      </c>
      <c r="I273" s="13">
        <v>0.1</v>
      </c>
      <c r="J273" s="8">
        <f>(Table23[[#This Row],[Quantity]]*Table23[[#This Row],[Unit Price]])-(Table23[[#This Row],[Unit Price]]*Table23[[#This Row],[Dscount]])*Table23[[#This Row],[Quantity]]</f>
        <v>114.048</v>
      </c>
      <c r="K273" s="8">
        <v>78.998000000000005</v>
      </c>
      <c r="L273" s="8">
        <f>Table23[[#This Row],[Revenue]]-Table23[[#This Row],[Total Cost]]</f>
        <v>35.049999999999997</v>
      </c>
      <c r="M273" s="16">
        <f>(Table23[[#This Row],[Profit]]/Table23[[#This Row],[Revenue]])</f>
        <v>0.30732673961840623</v>
      </c>
      <c r="N273" t="s">
        <v>33</v>
      </c>
    </row>
    <row r="274" spans="1:14" x14ac:dyDescent="0.25">
      <c r="A274" s="11" t="s">
        <v>1351</v>
      </c>
      <c r="B274" s="6">
        <v>45345</v>
      </c>
      <c r="C274" s="11" t="s">
        <v>1352</v>
      </c>
      <c r="D274" s="11" t="s">
        <v>20</v>
      </c>
      <c r="E274" s="11" t="s">
        <v>1114</v>
      </c>
      <c r="F274" s="11" t="s">
        <v>1112</v>
      </c>
      <c r="G274" s="7">
        <v>3</v>
      </c>
      <c r="H274" s="8">
        <v>33.130000000000003</v>
      </c>
      <c r="I274" s="13">
        <v>0</v>
      </c>
      <c r="J274" s="8">
        <f>(Table23[[#This Row],[Quantity]]*Table23[[#This Row],[Unit Price]])-(Table23[[#This Row],[Unit Price]]*Table23[[#This Row],[Dscount]])*Table23[[#This Row],[Quantity]]</f>
        <v>99.390000000000015</v>
      </c>
      <c r="K274" s="8">
        <v>64.420000000000016</v>
      </c>
      <c r="L274" s="8">
        <f>Table23[[#This Row],[Revenue]]-Table23[[#This Row],[Total Cost]]</f>
        <v>34.97</v>
      </c>
      <c r="M274" s="16">
        <f>(Table23[[#This Row],[Profit]]/Table23[[#This Row],[Revenue]])</f>
        <v>0.35184626219941639</v>
      </c>
      <c r="N274" t="s">
        <v>33</v>
      </c>
    </row>
    <row r="275" spans="1:14" x14ac:dyDescent="0.25">
      <c r="A275" s="11" t="s">
        <v>672</v>
      </c>
      <c r="B275" s="6">
        <v>45348</v>
      </c>
      <c r="C275" s="11" t="s">
        <v>146</v>
      </c>
      <c r="D275" s="11" t="s">
        <v>31</v>
      </c>
      <c r="E275" s="11" t="s">
        <v>514</v>
      </c>
      <c r="F275" s="11" t="s">
        <v>480</v>
      </c>
      <c r="G275" s="7">
        <v>3</v>
      </c>
      <c r="H275" s="8">
        <v>31.02</v>
      </c>
      <c r="I275" s="13">
        <v>0</v>
      </c>
      <c r="J275" s="8">
        <f>(Table23[[#This Row],[Quantity]]*Table23[[#This Row],[Unit Price]])-(Table23[[#This Row],[Unit Price]]*Table23[[#This Row],[Dscount]])*Table23[[#This Row],[Quantity]]</f>
        <v>93.06</v>
      </c>
      <c r="K275" s="8">
        <v>58.24</v>
      </c>
      <c r="L275" s="8">
        <f>Table23[[#This Row],[Revenue]]-Table23[[#This Row],[Total Cost]]</f>
        <v>34.82</v>
      </c>
      <c r="M275" s="16">
        <f>(Table23[[#This Row],[Profit]]/Table23[[#This Row],[Revenue]])</f>
        <v>0.37416720395443798</v>
      </c>
      <c r="N275" t="s">
        <v>33</v>
      </c>
    </row>
    <row r="276" spans="1:14" x14ac:dyDescent="0.25">
      <c r="A276" s="11" t="s">
        <v>346</v>
      </c>
      <c r="B276" s="6">
        <v>45986</v>
      </c>
      <c r="C276" s="11" t="s">
        <v>331</v>
      </c>
      <c r="D276" s="11" t="s">
        <v>14</v>
      </c>
      <c r="E276" s="11" t="s">
        <v>21</v>
      </c>
      <c r="F276" s="11" t="s">
        <v>16</v>
      </c>
      <c r="G276" s="7">
        <v>2</v>
      </c>
      <c r="H276" s="8">
        <v>30.19</v>
      </c>
      <c r="I276" s="13">
        <v>0</v>
      </c>
      <c r="J276" s="8">
        <f>(Table23[[#This Row],[Quantity]]*Table23[[#This Row],[Unit Price]])-(Table23[[#This Row],[Unit Price]]*Table23[[#This Row],[Dscount]])*Table23[[#This Row],[Quantity]]</f>
        <v>60.38</v>
      </c>
      <c r="K276" s="8">
        <v>26.160000000000004</v>
      </c>
      <c r="L276" s="8">
        <f>Table23[[#This Row],[Revenue]]-Table23[[#This Row],[Total Cost]]</f>
        <v>34.22</v>
      </c>
      <c r="M276" s="16">
        <f>(Table23[[#This Row],[Profit]]/Table23[[#This Row],[Revenue]])</f>
        <v>0.56674395495197083</v>
      </c>
      <c r="N276" t="s">
        <v>48</v>
      </c>
    </row>
    <row r="277" spans="1:14" x14ac:dyDescent="0.25">
      <c r="A277" s="11" t="s">
        <v>670</v>
      </c>
      <c r="B277" s="6">
        <v>45636</v>
      </c>
      <c r="C277" s="11" t="s">
        <v>671</v>
      </c>
      <c r="D277" s="11" t="s">
        <v>36</v>
      </c>
      <c r="E277" s="11" t="s">
        <v>546</v>
      </c>
      <c r="F277" s="11" t="s">
        <v>480</v>
      </c>
      <c r="G277" s="7">
        <v>2</v>
      </c>
      <c r="H277" s="8">
        <v>58.85</v>
      </c>
      <c r="I277" s="13">
        <v>0.05</v>
      </c>
      <c r="J277" s="8">
        <f>(Table23[[#This Row],[Quantity]]*Table23[[#This Row],[Unit Price]])-(Table23[[#This Row],[Unit Price]]*Table23[[#This Row],[Dscount]])*Table23[[#This Row],[Quantity]]</f>
        <v>111.815</v>
      </c>
      <c r="K277" s="8">
        <v>78.025000000000006</v>
      </c>
      <c r="L277" s="8">
        <f>Table23[[#This Row],[Revenue]]-Table23[[#This Row],[Total Cost]]</f>
        <v>33.789999999999992</v>
      </c>
      <c r="M277" s="16">
        <f>(Table23[[#This Row],[Profit]]/Table23[[#This Row],[Revenue]])</f>
        <v>0.30219559093144921</v>
      </c>
      <c r="N277" t="s">
        <v>33</v>
      </c>
    </row>
    <row r="278" spans="1:14" x14ac:dyDescent="0.25">
      <c r="A278" s="11" t="s">
        <v>1710</v>
      </c>
      <c r="B278" s="6">
        <v>45471</v>
      </c>
      <c r="C278" s="11" t="s">
        <v>1711</v>
      </c>
      <c r="D278" s="11" t="s">
        <v>14</v>
      </c>
      <c r="E278" s="11" t="s">
        <v>1436</v>
      </c>
      <c r="F278" s="11" t="s">
        <v>1417</v>
      </c>
      <c r="G278" s="7">
        <v>3</v>
      </c>
      <c r="H278" s="8">
        <v>52.74</v>
      </c>
      <c r="I278" s="13">
        <v>0.05</v>
      </c>
      <c r="J278" s="8">
        <f>(Table23[[#This Row],[Quantity]]*Table23[[#This Row],[Unit Price]])-(Table23[[#This Row],[Unit Price]]*Table23[[#This Row],[Dscount]])*Table23[[#This Row],[Quantity]]</f>
        <v>150.309</v>
      </c>
      <c r="K278" s="8">
        <v>116.749</v>
      </c>
      <c r="L278" s="8">
        <f>Table23[[#This Row],[Revenue]]-Table23[[#This Row],[Total Cost]]</f>
        <v>33.56</v>
      </c>
      <c r="M278" s="16">
        <f>(Table23[[#This Row],[Profit]]/Table23[[#This Row],[Revenue]])</f>
        <v>0.22327339014962513</v>
      </c>
      <c r="N278" t="s">
        <v>33</v>
      </c>
    </row>
    <row r="279" spans="1:14" x14ac:dyDescent="0.25">
      <c r="A279" s="11" t="s">
        <v>1350</v>
      </c>
      <c r="B279" s="6">
        <v>45619</v>
      </c>
      <c r="C279" s="11" t="s">
        <v>1251</v>
      </c>
      <c r="D279" s="11" t="s">
        <v>14</v>
      </c>
      <c r="E279" s="11" t="s">
        <v>1132</v>
      </c>
      <c r="F279" s="11" t="s">
        <v>1112</v>
      </c>
      <c r="G279" s="7">
        <v>3</v>
      </c>
      <c r="H279" s="8">
        <v>51.26</v>
      </c>
      <c r="I279" s="13">
        <v>0.1</v>
      </c>
      <c r="J279" s="8">
        <f>(Table23[[#This Row],[Quantity]]*Table23[[#This Row],[Unit Price]])-(Table23[[#This Row],[Unit Price]]*Table23[[#This Row],[Dscount]])*Table23[[#This Row],[Quantity]]</f>
        <v>138.40199999999999</v>
      </c>
      <c r="K279" s="8">
        <v>104.90199999999999</v>
      </c>
      <c r="L279" s="8">
        <f>Table23[[#This Row],[Revenue]]-Table23[[#This Row],[Total Cost]]</f>
        <v>33.5</v>
      </c>
      <c r="M279" s="16">
        <f>(Table23[[#This Row],[Profit]]/Table23[[#This Row],[Revenue]])</f>
        <v>0.24204852531032792</v>
      </c>
      <c r="N279" t="s">
        <v>17</v>
      </c>
    </row>
    <row r="280" spans="1:14" x14ac:dyDescent="0.25">
      <c r="A280" s="11" t="s">
        <v>344</v>
      </c>
      <c r="B280" s="6">
        <v>45610</v>
      </c>
      <c r="C280" s="11" t="s">
        <v>345</v>
      </c>
      <c r="D280" s="11" t="s">
        <v>31</v>
      </c>
      <c r="E280" s="11" t="s">
        <v>44</v>
      </c>
      <c r="F280" s="11" t="s">
        <v>16</v>
      </c>
      <c r="G280" s="7">
        <v>2</v>
      </c>
      <c r="H280" s="8">
        <v>39.74</v>
      </c>
      <c r="I280" s="13">
        <v>0.1</v>
      </c>
      <c r="J280" s="8">
        <f>(Table23[[#This Row],[Quantity]]*Table23[[#This Row],[Unit Price]])-(Table23[[#This Row],[Unit Price]]*Table23[[#This Row],[Dscount]])*Table23[[#This Row],[Quantity]]</f>
        <v>71.532000000000011</v>
      </c>
      <c r="K280" s="8">
        <v>38.162000000000013</v>
      </c>
      <c r="L280" s="8">
        <f>Table23[[#This Row],[Revenue]]-Table23[[#This Row],[Total Cost]]</f>
        <v>33.369999999999997</v>
      </c>
      <c r="M280" s="16">
        <f>(Table23[[#This Row],[Profit]]/Table23[[#This Row],[Revenue]])</f>
        <v>0.46650450148185418</v>
      </c>
      <c r="N280" t="s">
        <v>33</v>
      </c>
    </row>
    <row r="281" spans="1:14" x14ac:dyDescent="0.25">
      <c r="A281" s="11" t="s">
        <v>666</v>
      </c>
      <c r="B281" s="6">
        <v>45482</v>
      </c>
      <c r="C281" s="11" t="s">
        <v>667</v>
      </c>
      <c r="D281" s="11" t="s">
        <v>20</v>
      </c>
      <c r="E281" s="11" t="s">
        <v>514</v>
      </c>
      <c r="F281" s="11" t="s">
        <v>480</v>
      </c>
      <c r="G281" s="7">
        <v>2</v>
      </c>
      <c r="H281" s="8">
        <v>34.590000000000003</v>
      </c>
      <c r="I281" s="13">
        <v>0</v>
      </c>
      <c r="J281" s="8">
        <f>(Table23[[#This Row],[Quantity]]*Table23[[#This Row],[Unit Price]])-(Table23[[#This Row],[Unit Price]]*Table23[[#This Row],[Dscount]])*Table23[[#This Row],[Quantity]]</f>
        <v>69.180000000000007</v>
      </c>
      <c r="K281" s="8">
        <v>35.840000000000003</v>
      </c>
      <c r="L281" s="8">
        <f>Table23[[#This Row],[Revenue]]-Table23[[#This Row],[Total Cost]]</f>
        <v>33.340000000000003</v>
      </c>
      <c r="M281" s="16">
        <f>(Table23[[#This Row],[Profit]]/Table23[[#This Row],[Revenue]])</f>
        <v>0.48193119398670137</v>
      </c>
      <c r="N281" t="s">
        <v>33</v>
      </c>
    </row>
    <row r="282" spans="1:14" x14ac:dyDescent="0.25">
      <c r="A282" s="11" t="s">
        <v>668</v>
      </c>
      <c r="B282" s="6">
        <v>45603</v>
      </c>
      <c r="C282" s="11" t="s">
        <v>669</v>
      </c>
      <c r="D282" s="11" t="s">
        <v>36</v>
      </c>
      <c r="E282" s="11" t="s">
        <v>546</v>
      </c>
      <c r="F282" s="11" t="s">
        <v>480</v>
      </c>
      <c r="G282" s="7">
        <v>2</v>
      </c>
      <c r="H282" s="8">
        <v>38.06</v>
      </c>
      <c r="I282" s="13">
        <v>0</v>
      </c>
      <c r="J282" s="8">
        <f>(Table23[[#This Row],[Quantity]]*Table23[[#This Row],[Unit Price]])-(Table23[[#This Row],[Unit Price]]*Table23[[#This Row],[Dscount]])*Table23[[#This Row],[Quantity]]</f>
        <v>76.12</v>
      </c>
      <c r="K282" s="8">
        <v>42.78</v>
      </c>
      <c r="L282" s="8">
        <f>Table23[[#This Row],[Revenue]]-Table23[[#This Row],[Total Cost]]</f>
        <v>33.340000000000003</v>
      </c>
      <c r="M282" s="16">
        <f>(Table23[[#This Row],[Profit]]/Table23[[#This Row],[Revenue]])</f>
        <v>0.43799264319495534</v>
      </c>
      <c r="N282" t="s">
        <v>33</v>
      </c>
    </row>
    <row r="283" spans="1:14" x14ac:dyDescent="0.25">
      <c r="A283" s="11" t="s">
        <v>662</v>
      </c>
      <c r="B283" s="6">
        <v>45686</v>
      </c>
      <c r="C283" s="11" t="s">
        <v>663</v>
      </c>
      <c r="D283" s="11" t="s">
        <v>31</v>
      </c>
      <c r="E283" s="11" t="s">
        <v>514</v>
      </c>
      <c r="F283" s="11" t="s">
        <v>480</v>
      </c>
      <c r="G283" s="7">
        <v>2</v>
      </c>
      <c r="H283" s="8">
        <v>45.63</v>
      </c>
      <c r="I283" s="13">
        <v>0</v>
      </c>
      <c r="J283" s="8">
        <f>(Table23[[#This Row],[Quantity]]*Table23[[#This Row],[Unit Price]])-(Table23[[#This Row],[Unit Price]]*Table23[[#This Row],[Dscount]])*Table23[[#This Row],[Quantity]]</f>
        <v>91.26</v>
      </c>
      <c r="K283" s="8">
        <v>57.95</v>
      </c>
      <c r="L283" s="8">
        <f>Table23[[#This Row],[Revenue]]-Table23[[#This Row],[Total Cost]]</f>
        <v>33.31</v>
      </c>
      <c r="M283" s="16">
        <f>(Table23[[#This Row],[Profit]]/Table23[[#This Row],[Revenue]])</f>
        <v>0.36500109577032652</v>
      </c>
      <c r="N283" t="s">
        <v>48</v>
      </c>
    </row>
    <row r="284" spans="1:14" x14ac:dyDescent="0.25">
      <c r="A284" s="11" t="s">
        <v>664</v>
      </c>
      <c r="B284" s="6">
        <v>45454</v>
      </c>
      <c r="C284" s="11" t="s">
        <v>665</v>
      </c>
      <c r="D284" s="11" t="s">
        <v>31</v>
      </c>
      <c r="E284" s="11" t="s">
        <v>496</v>
      </c>
      <c r="F284" s="11" t="s">
        <v>480</v>
      </c>
      <c r="G284" s="7">
        <v>3</v>
      </c>
      <c r="H284" s="8">
        <v>35.24</v>
      </c>
      <c r="I284" s="13">
        <v>0.1</v>
      </c>
      <c r="J284" s="8">
        <f>(Table23[[#This Row],[Quantity]]*Table23[[#This Row],[Unit Price]])-(Table23[[#This Row],[Unit Price]]*Table23[[#This Row],[Dscount]])*Table23[[#This Row],[Quantity]]</f>
        <v>95.147999999999996</v>
      </c>
      <c r="K284" s="8">
        <v>61.837999999999994</v>
      </c>
      <c r="L284" s="8">
        <f>Table23[[#This Row],[Revenue]]-Table23[[#This Row],[Total Cost]]</f>
        <v>33.31</v>
      </c>
      <c r="M284" s="16">
        <f>(Table23[[#This Row],[Profit]]/Table23[[#This Row],[Revenue]])</f>
        <v>0.35008618152772525</v>
      </c>
      <c r="N284" t="s">
        <v>17</v>
      </c>
    </row>
    <row r="285" spans="1:14" x14ac:dyDescent="0.25">
      <c r="A285" s="11" t="s">
        <v>1709</v>
      </c>
      <c r="B285" s="6">
        <v>45621</v>
      </c>
      <c r="C285" s="11" t="s">
        <v>1494</v>
      </c>
      <c r="D285" s="11" t="s">
        <v>31</v>
      </c>
      <c r="E285" s="11" t="s">
        <v>1426</v>
      </c>
      <c r="F285" s="11" t="s">
        <v>1417</v>
      </c>
      <c r="G285" s="7">
        <v>4</v>
      </c>
      <c r="H285" s="8">
        <v>39.340000000000003</v>
      </c>
      <c r="I285" s="13">
        <v>0.2</v>
      </c>
      <c r="J285" s="8">
        <f>(Table23[[#This Row],[Quantity]]*Table23[[#This Row],[Unit Price]])-(Table23[[#This Row],[Unit Price]]*Table23[[#This Row],[Dscount]])*Table23[[#This Row],[Quantity]]</f>
        <v>125.88800000000001</v>
      </c>
      <c r="K285" s="8">
        <v>92.628000000000014</v>
      </c>
      <c r="L285" s="8">
        <f>Table23[[#This Row],[Revenue]]-Table23[[#This Row],[Total Cost]]</f>
        <v>33.259999999999991</v>
      </c>
      <c r="M285" s="16">
        <f>(Table23[[#This Row],[Profit]]/Table23[[#This Row],[Revenue]])</f>
        <v>0.26420310116929324</v>
      </c>
      <c r="N285" t="s">
        <v>33</v>
      </c>
    </row>
    <row r="286" spans="1:14" x14ac:dyDescent="0.25">
      <c r="A286" s="11" t="s">
        <v>1349</v>
      </c>
      <c r="B286" s="6">
        <v>45307</v>
      </c>
      <c r="C286" s="11" t="s">
        <v>299</v>
      </c>
      <c r="D286" s="11" t="s">
        <v>14</v>
      </c>
      <c r="E286" s="11" t="s">
        <v>1124</v>
      </c>
      <c r="F286" s="11" t="s">
        <v>1112</v>
      </c>
      <c r="G286" s="7">
        <v>2</v>
      </c>
      <c r="H286" s="8">
        <v>49.17</v>
      </c>
      <c r="I286" s="13">
        <v>0.05</v>
      </c>
      <c r="J286" s="8">
        <f>(Table23[[#This Row],[Quantity]]*Table23[[#This Row],[Unit Price]])-(Table23[[#This Row],[Unit Price]]*Table23[[#This Row],[Dscount]])*Table23[[#This Row],[Quantity]]</f>
        <v>93.423000000000002</v>
      </c>
      <c r="K286" s="8">
        <v>60.243000000000002</v>
      </c>
      <c r="L286" s="8">
        <f>Table23[[#This Row],[Revenue]]-Table23[[#This Row],[Total Cost]]</f>
        <v>33.18</v>
      </c>
      <c r="M286" s="16">
        <f>(Table23[[#This Row],[Profit]]/Table23[[#This Row],[Revenue]])</f>
        <v>0.35515879387302912</v>
      </c>
      <c r="N286" t="s">
        <v>17</v>
      </c>
    </row>
    <row r="287" spans="1:14" x14ac:dyDescent="0.25">
      <c r="A287" s="11" t="s">
        <v>1707</v>
      </c>
      <c r="B287" s="6">
        <v>46002</v>
      </c>
      <c r="C287" s="11" t="s">
        <v>1708</v>
      </c>
      <c r="D287" s="11" t="s">
        <v>36</v>
      </c>
      <c r="E287" s="11" t="s">
        <v>1439</v>
      </c>
      <c r="F287" s="11" t="s">
        <v>1417</v>
      </c>
      <c r="G287" s="7">
        <v>2</v>
      </c>
      <c r="H287" s="8">
        <v>54.6</v>
      </c>
      <c r="I287" s="13">
        <v>0.1</v>
      </c>
      <c r="J287" s="8">
        <f>(Table23[[#This Row],[Quantity]]*Table23[[#This Row],[Unit Price]])-(Table23[[#This Row],[Unit Price]]*Table23[[#This Row],[Dscount]])*Table23[[#This Row],[Quantity]]</f>
        <v>98.28</v>
      </c>
      <c r="K287" s="8">
        <v>65.19</v>
      </c>
      <c r="L287" s="8">
        <f>Table23[[#This Row],[Revenue]]-Table23[[#This Row],[Total Cost]]</f>
        <v>33.090000000000003</v>
      </c>
      <c r="M287" s="16">
        <f>(Table23[[#This Row],[Profit]]/Table23[[#This Row],[Revenue]])</f>
        <v>0.33669108669108672</v>
      </c>
      <c r="N287" t="s">
        <v>48</v>
      </c>
    </row>
    <row r="288" spans="1:14" x14ac:dyDescent="0.25">
      <c r="A288" s="11" t="s">
        <v>661</v>
      </c>
      <c r="B288" s="6">
        <v>45982</v>
      </c>
      <c r="C288" s="11" t="s">
        <v>543</v>
      </c>
      <c r="D288" s="11" t="s">
        <v>36</v>
      </c>
      <c r="E288" s="11" t="s">
        <v>489</v>
      </c>
      <c r="F288" s="11" t="s">
        <v>480</v>
      </c>
      <c r="G288" s="7">
        <v>1</v>
      </c>
      <c r="H288" s="8">
        <v>64.7</v>
      </c>
      <c r="I288" s="13">
        <v>0.05</v>
      </c>
      <c r="J288" s="8">
        <f>(Table23[[#This Row],[Quantity]]*Table23[[#This Row],[Unit Price]])-(Table23[[#This Row],[Unit Price]]*Table23[[#This Row],[Dscount]])*Table23[[#This Row],[Quantity]]</f>
        <v>61.465000000000003</v>
      </c>
      <c r="K288" s="8">
        <v>28.415000000000006</v>
      </c>
      <c r="L288" s="8">
        <f>Table23[[#This Row],[Revenue]]-Table23[[#This Row],[Total Cost]]</f>
        <v>33.049999999999997</v>
      </c>
      <c r="M288" s="16">
        <f>(Table23[[#This Row],[Profit]]/Table23[[#This Row],[Revenue]])</f>
        <v>0.53770438460912706</v>
      </c>
      <c r="N288" t="s">
        <v>17</v>
      </c>
    </row>
    <row r="289" spans="1:14" x14ac:dyDescent="0.25">
      <c r="A289" s="11" t="s">
        <v>342</v>
      </c>
      <c r="B289" s="6">
        <v>45937</v>
      </c>
      <c r="C289" s="11" t="s">
        <v>343</v>
      </c>
      <c r="D289" s="11" t="s">
        <v>24</v>
      </c>
      <c r="E289" s="11" t="s">
        <v>28</v>
      </c>
      <c r="F289" s="11" t="s">
        <v>16</v>
      </c>
      <c r="G289" s="7">
        <v>2</v>
      </c>
      <c r="H289" s="8">
        <v>34.24</v>
      </c>
      <c r="I289" s="13">
        <v>0.1</v>
      </c>
      <c r="J289" s="8">
        <f>(Table23[[#This Row],[Quantity]]*Table23[[#This Row],[Unit Price]])-(Table23[[#This Row],[Unit Price]]*Table23[[#This Row],[Dscount]])*Table23[[#This Row],[Quantity]]</f>
        <v>61.632000000000005</v>
      </c>
      <c r="K289" s="8">
        <v>28.602000000000004</v>
      </c>
      <c r="L289" s="8">
        <f>Table23[[#This Row],[Revenue]]-Table23[[#This Row],[Total Cost]]</f>
        <v>33.03</v>
      </c>
      <c r="M289" s="16">
        <f>(Table23[[#This Row],[Profit]]/Table23[[#This Row],[Revenue]])</f>
        <v>0.53592289719626163</v>
      </c>
      <c r="N289" t="s">
        <v>17</v>
      </c>
    </row>
    <row r="290" spans="1:14" x14ac:dyDescent="0.25">
      <c r="A290" s="11" t="s">
        <v>340</v>
      </c>
      <c r="B290" s="6">
        <v>45624</v>
      </c>
      <c r="C290" s="11" t="s">
        <v>341</v>
      </c>
      <c r="D290" s="11" t="s">
        <v>24</v>
      </c>
      <c r="E290" s="11" t="s">
        <v>68</v>
      </c>
      <c r="F290" s="11" t="s">
        <v>16</v>
      </c>
      <c r="G290" s="7">
        <v>2</v>
      </c>
      <c r="H290" s="8">
        <v>44.74</v>
      </c>
      <c r="I290" s="13">
        <v>0.1</v>
      </c>
      <c r="J290" s="8">
        <f>(Table23[[#This Row],[Quantity]]*Table23[[#This Row],[Unit Price]])-(Table23[[#This Row],[Unit Price]]*Table23[[#This Row],[Dscount]])*Table23[[#This Row],[Quantity]]</f>
        <v>80.532000000000011</v>
      </c>
      <c r="K290" s="8">
        <v>47.512000000000008</v>
      </c>
      <c r="L290" s="8">
        <f>Table23[[#This Row],[Revenue]]-Table23[[#This Row],[Total Cost]]</f>
        <v>33.020000000000003</v>
      </c>
      <c r="M290" s="16">
        <f>(Table23[[#This Row],[Profit]]/Table23[[#This Row],[Revenue]])</f>
        <v>0.41002334475736352</v>
      </c>
      <c r="N290" t="s">
        <v>33</v>
      </c>
    </row>
    <row r="291" spans="1:14" x14ac:dyDescent="0.25">
      <c r="A291" s="11" t="s">
        <v>1348</v>
      </c>
      <c r="B291" s="6">
        <v>45785</v>
      </c>
      <c r="C291" s="11" t="s">
        <v>1234</v>
      </c>
      <c r="D291" s="11" t="s">
        <v>36</v>
      </c>
      <c r="E291" s="11" t="s">
        <v>1128</v>
      </c>
      <c r="F291" s="11" t="s">
        <v>1112</v>
      </c>
      <c r="G291" s="7">
        <v>2</v>
      </c>
      <c r="H291" s="8">
        <v>58.48</v>
      </c>
      <c r="I291" s="13">
        <v>0</v>
      </c>
      <c r="J291" s="8">
        <f>(Table23[[#This Row],[Quantity]]*Table23[[#This Row],[Unit Price]])-(Table23[[#This Row],[Unit Price]]*Table23[[#This Row],[Dscount]])*Table23[[#This Row],[Quantity]]</f>
        <v>116.96</v>
      </c>
      <c r="K291" s="8">
        <v>83.949999999999989</v>
      </c>
      <c r="L291" s="8">
        <f>Table23[[#This Row],[Revenue]]-Table23[[#This Row],[Total Cost]]</f>
        <v>33.010000000000005</v>
      </c>
      <c r="M291" s="16">
        <f>(Table23[[#This Row],[Profit]]/Table23[[#This Row],[Revenue]])</f>
        <v>0.28223324213406298</v>
      </c>
      <c r="N291" t="s">
        <v>17</v>
      </c>
    </row>
    <row r="292" spans="1:14" x14ac:dyDescent="0.25">
      <c r="A292" s="11" t="s">
        <v>338</v>
      </c>
      <c r="B292" s="6">
        <v>45589</v>
      </c>
      <c r="C292" s="11" t="s">
        <v>339</v>
      </c>
      <c r="D292" s="11" t="s">
        <v>20</v>
      </c>
      <c r="E292" s="11" t="s">
        <v>68</v>
      </c>
      <c r="F292" s="11" t="s">
        <v>16</v>
      </c>
      <c r="G292" s="7">
        <v>3</v>
      </c>
      <c r="H292" s="8">
        <v>22.03</v>
      </c>
      <c r="I292" s="13">
        <v>0.05</v>
      </c>
      <c r="J292" s="8">
        <f>(Table23[[#This Row],[Quantity]]*Table23[[#This Row],[Unit Price]])-(Table23[[#This Row],[Unit Price]]*Table23[[#This Row],[Dscount]])*Table23[[#This Row],[Quantity]]</f>
        <v>62.785500000000006</v>
      </c>
      <c r="K292" s="8">
        <v>29.775500000000008</v>
      </c>
      <c r="L292" s="8">
        <f>Table23[[#This Row],[Revenue]]-Table23[[#This Row],[Total Cost]]</f>
        <v>33.01</v>
      </c>
      <c r="M292" s="16">
        <f>(Table23[[#This Row],[Profit]]/Table23[[#This Row],[Revenue]])</f>
        <v>0.52575833592151044</v>
      </c>
      <c r="N292" t="s">
        <v>33</v>
      </c>
    </row>
    <row r="293" spans="1:14" x14ac:dyDescent="0.25">
      <c r="A293" s="11" t="s">
        <v>659</v>
      </c>
      <c r="B293" s="6">
        <v>45668</v>
      </c>
      <c r="C293" s="11" t="s">
        <v>660</v>
      </c>
      <c r="D293" s="11" t="s">
        <v>14</v>
      </c>
      <c r="E293" s="11" t="s">
        <v>546</v>
      </c>
      <c r="F293" s="11" t="s">
        <v>480</v>
      </c>
      <c r="G293" s="7">
        <v>2</v>
      </c>
      <c r="H293" s="8">
        <v>57.71</v>
      </c>
      <c r="I293" s="13">
        <v>0.15</v>
      </c>
      <c r="J293" s="8">
        <f>(Table23[[#This Row],[Quantity]]*Table23[[#This Row],[Unit Price]])-(Table23[[#This Row],[Unit Price]]*Table23[[#This Row],[Dscount]])*Table23[[#This Row],[Quantity]]</f>
        <v>98.106999999999999</v>
      </c>
      <c r="K293" s="8">
        <v>65.146999999999991</v>
      </c>
      <c r="L293" s="8">
        <f>Table23[[#This Row],[Revenue]]-Table23[[#This Row],[Total Cost]]</f>
        <v>32.960000000000008</v>
      </c>
      <c r="M293" s="16">
        <f>(Table23[[#This Row],[Profit]]/Table23[[#This Row],[Revenue]])</f>
        <v>0.33595971745135422</v>
      </c>
      <c r="N293" t="s">
        <v>33</v>
      </c>
    </row>
    <row r="294" spans="1:14" x14ac:dyDescent="0.25">
      <c r="A294" s="11" t="s">
        <v>1346</v>
      </c>
      <c r="B294" s="6">
        <v>45932</v>
      </c>
      <c r="C294" s="11" t="s">
        <v>1347</v>
      </c>
      <c r="D294" s="11" t="s">
        <v>24</v>
      </c>
      <c r="E294" s="11" t="s">
        <v>1134</v>
      </c>
      <c r="F294" s="11" t="s">
        <v>1112</v>
      </c>
      <c r="G294" s="7">
        <v>2</v>
      </c>
      <c r="H294" s="8">
        <v>51.54</v>
      </c>
      <c r="I294" s="13">
        <v>0</v>
      </c>
      <c r="J294" s="8">
        <f>(Table23[[#This Row],[Quantity]]*Table23[[#This Row],[Unit Price]])-(Table23[[#This Row],[Unit Price]]*Table23[[#This Row],[Dscount]])*Table23[[#This Row],[Quantity]]</f>
        <v>103.08</v>
      </c>
      <c r="K294" s="8">
        <v>70.22</v>
      </c>
      <c r="L294" s="8">
        <f>Table23[[#This Row],[Revenue]]-Table23[[#This Row],[Total Cost]]</f>
        <v>32.86</v>
      </c>
      <c r="M294" s="16">
        <f>(Table23[[#This Row],[Profit]]/Table23[[#This Row],[Revenue]])</f>
        <v>0.31878152890958478</v>
      </c>
      <c r="N294" t="s">
        <v>17</v>
      </c>
    </row>
    <row r="295" spans="1:14" x14ac:dyDescent="0.25">
      <c r="A295" s="11" t="s">
        <v>655</v>
      </c>
      <c r="B295" s="6">
        <v>45532</v>
      </c>
      <c r="C295" s="11" t="s">
        <v>656</v>
      </c>
      <c r="D295" s="11" t="s">
        <v>31</v>
      </c>
      <c r="E295" s="11" t="s">
        <v>486</v>
      </c>
      <c r="F295" s="11" t="s">
        <v>480</v>
      </c>
      <c r="G295" s="7">
        <v>4</v>
      </c>
      <c r="H295" s="8">
        <v>16.68</v>
      </c>
      <c r="I295" s="13">
        <v>0</v>
      </c>
      <c r="J295" s="8">
        <f>(Table23[[#This Row],[Quantity]]*Table23[[#This Row],[Unit Price]])-(Table23[[#This Row],[Unit Price]]*Table23[[#This Row],[Dscount]])*Table23[[#This Row],[Quantity]]</f>
        <v>66.72</v>
      </c>
      <c r="K295" s="8">
        <v>33.879999999999995</v>
      </c>
      <c r="L295" s="8">
        <f>Table23[[#This Row],[Revenue]]-Table23[[#This Row],[Total Cost]]</f>
        <v>32.840000000000003</v>
      </c>
      <c r="M295" s="16">
        <f>(Table23[[#This Row],[Profit]]/Table23[[#This Row],[Revenue]])</f>
        <v>0.49220623501199046</v>
      </c>
      <c r="N295" t="s">
        <v>17</v>
      </c>
    </row>
    <row r="296" spans="1:14" x14ac:dyDescent="0.25">
      <c r="A296" s="11" t="s">
        <v>657</v>
      </c>
      <c r="B296" s="6">
        <v>45968</v>
      </c>
      <c r="C296" s="11" t="s">
        <v>658</v>
      </c>
      <c r="D296" s="11" t="s">
        <v>24</v>
      </c>
      <c r="E296" s="11" t="s">
        <v>546</v>
      </c>
      <c r="F296" s="11" t="s">
        <v>480</v>
      </c>
      <c r="G296" s="7">
        <v>3</v>
      </c>
      <c r="H296" s="8">
        <v>37.869999999999997</v>
      </c>
      <c r="I296" s="13">
        <v>0.05</v>
      </c>
      <c r="J296" s="8">
        <f>(Table23[[#This Row],[Quantity]]*Table23[[#This Row],[Unit Price]])-(Table23[[#This Row],[Unit Price]]*Table23[[#This Row],[Dscount]])*Table23[[#This Row],[Quantity]]</f>
        <v>107.92949999999999</v>
      </c>
      <c r="K296" s="8">
        <v>75.089499999999987</v>
      </c>
      <c r="L296" s="8">
        <f>Table23[[#This Row],[Revenue]]-Table23[[#This Row],[Total Cost]]</f>
        <v>32.840000000000003</v>
      </c>
      <c r="M296" s="16">
        <f>(Table23[[#This Row],[Profit]]/Table23[[#This Row],[Revenue]])</f>
        <v>0.30427269652875261</v>
      </c>
      <c r="N296" t="s">
        <v>33</v>
      </c>
    </row>
    <row r="297" spans="1:14" x14ac:dyDescent="0.25">
      <c r="A297" s="11" t="s">
        <v>336</v>
      </c>
      <c r="B297" s="6">
        <v>45876</v>
      </c>
      <c r="C297" s="11" t="s">
        <v>337</v>
      </c>
      <c r="D297" s="11" t="s">
        <v>36</v>
      </c>
      <c r="E297" s="11" t="s">
        <v>21</v>
      </c>
      <c r="F297" s="11" t="s">
        <v>16</v>
      </c>
      <c r="G297" s="7">
        <v>2</v>
      </c>
      <c r="H297" s="8">
        <v>47.33</v>
      </c>
      <c r="I297" s="13">
        <v>0.15</v>
      </c>
      <c r="J297" s="8">
        <f>(Table23[[#This Row],[Quantity]]*Table23[[#This Row],[Unit Price]])-(Table23[[#This Row],[Unit Price]]*Table23[[#This Row],[Dscount]])*Table23[[#This Row],[Quantity]]</f>
        <v>80.460999999999999</v>
      </c>
      <c r="K297" s="8">
        <v>47.661000000000001</v>
      </c>
      <c r="L297" s="8">
        <f>Table23[[#This Row],[Revenue]]-Table23[[#This Row],[Total Cost]]</f>
        <v>32.799999999999997</v>
      </c>
      <c r="M297" s="16">
        <f>(Table23[[#This Row],[Profit]]/Table23[[#This Row],[Revenue]])</f>
        <v>0.40765091162177947</v>
      </c>
      <c r="N297" t="s">
        <v>48</v>
      </c>
    </row>
    <row r="298" spans="1:14" x14ac:dyDescent="0.25">
      <c r="A298" s="11" t="s">
        <v>1044</v>
      </c>
      <c r="B298" s="6">
        <v>46020</v>
      </c>
      <c r="C298" s="11" t="s">
        <v>368</v>
      </c>
      <c r="D298" s="11" t="s">
        <v>24</v>
      </c>
      <c r="E298" s="11" t="s">
        <v>832</v>
      </c>
      <c r="F298" s="11" t="s">
        <v>833</v>
      </c>
      <c r="G298" s="7">
        <v>2</v>
      </c>
      <c r="H298" s="8">
        <v>102.04</v>
      </c>
      <c r="I298" s="13">
        <v>0</v>
      </c>
      <c r="J298" s="8">
        <f>(Table23[[#This Row],[Quantity]]*Table23[[#This Row],[Unit Price]])-(Table23[[#This Row],[Unit Price]]*Table23[[#This Row],[Dscount]])*Table23[[#This Row],[Quantity]]</f>
        <v>204.08</v>
      </c>
      <c r="K298" s="8">
        <v>171.29000000000002</v>
      </c>
      <c r="L298" s="8">
        <f>Table23[[#This Row],[Revenue]]-Table23[[#This Row],[Total Cost]]</f>
        <v>32.789999999999992</v>
      </c>
      <c r="M298" s="16">
        <f>(Table23[[#This Row],[Profit]]/Table23[[#This Row],[Revenue]])</f>
        <v>0.16067228537828299</v>
      </c>
      <c r="N298" t="s">
        <v>33</v>
      </c>
    </row>
    <row r="299" spans="1:14" x14ac:dyDescent="0.25">
      <c r="A299" s="11" t="s">
        <v>1042</v>
      </c>
      <c r="B299" s="6">
        <v>45937</v>
      </c>
      <c r="C299" s="11" t="s">
        <v>1043</v>
      </c>
      <c r="D299" s="11" t="s">
        <v>14</v>
      </c>
      <c r="E299" s="11" t="s">
        <v>840</v>
      </c>
      <c r="F299" s="11" t="s">
        <v>833</v>
      </c>
      <c r="G299" s="7">
        <v>1</v>
      </c>
      <c r="H299" s="8">
        <v>147.05000000000001</v>
      </c>
      <c r="I299" s="13">
        <v>0.05</v>
      </c>
      <c r="J299" s="8">
        <f>(Table23[[#This Row],[Quantity]]*Table23[[#This Row],[Unit Price]])-(Table23[[#This Row],[Unit Price]]*Table23[[#This Row],[Dscount]])*Table23[[#This Row],[Quantity]]</f>
        <v>139.69750000000002</v>
      </c>
      <c r="K299" s="8">
        <v>106.92750000000001</v>
      </c>
      <c r="L299" s="8">
        <f>Table23[[#This Row],[Revenue]]-Table23[[#This Row],[Total Cost]]</f>
        <v>32.77000000000001</v>
      </c>
      <c r="M299" s="16">
        <f>(Table23[[#This Row],[Profit]]/Table23[[#This Row],[Revenue]])</f>
        <v>0.23457828522342924</v>
      </c>
      <c r="N299" t="s">
        <v>33</v>
      </c>
    </row>
    <row r="300" spans="1:14" x14ac:dyDescent="0.25">
      <c r="A300" s="11" t="s">
        <v>653</v>
      </c>
      <c r="B300" s="6">
        <v>45296</v>
      </c>
      <c r="C300" s="11" t="s">
        <v>654</v>
      </c>
      <c r="D300" s="11" t="s">
        <v>31</v>
      </c>
      <c r="E300" s="11" t="s">
        <v>479</v>
      </c>
      <c r="F300" s="11" t="s">
        <v>480</v>
      </c>
      <c r="G300" s="7">
        <v>3</v>
      </c>
      <c r="H300" s="8">
        <v>34.15</v>
      </c>
      <c r="I300" s="13">
        <v>0</v>
      </c>
      <c r="J300" s="8">
        <f>(Table23[[#This Row],[Quantity]]*Table23[[#This Row],[Unit Price]])-(Table23[[#This Row],[Unit Price]]*Table23[[#This Row],[Dscount]])*Table23[[#This Row],[Quantity]]</f>
        <v>102.44999999999999</v>
      </c>
      <c r="K300" s="8">
        <v>69.769999999999982</v>
      </c>
      <c r="L300" s="8">
        <f>Table23[[#This Row],[Revenue]]-Table23[[#This Row],[Total Cost]]</f>
        <v>32.680000000000007</v>
      </c>
      <c r="M300" s="16">
        <f>(Table23[[#This Row],[Profit]]/Table23[[#This Row],[Revenue]])</f>
        <v>0.31898487066861891</v>
      </c>
      <c r="N300" t="s">
        <v>17</v>
      </c>
    </row>
    <row r="301" spans="1:14" x14ac:dyDescent="0.25">
      <c r="A301" s="11" t="s">
        <v>651</v>
      </c>
      <c r="B301" s="6">
        <v>45396</v>
      </c>
      <c r="C301" s="11" t="s">
        <v>652</v>
      </c>
      <c r="D301" s="11" t="s">
        <v>36</v>
      </c>
      <c r="E301" s="11" t="s">
        <v>496</v>
      </c>
      <c r="F301" s="11" t="s">
        <v>480</v>
      </c>
      <c r="G301" s="7">
        <v>2</v>
      </c>
      <c r="H301" s="8">
        <v>52.04</v>
      </c>
      <c r="I301" s="13">
        <v>0</v>
      </c>
      <c r="J301" s="8">
        <f>(Table23[[#This Row],[Quantity]]*Table23[[#This Row],[Unit Price]])-(Table23[[#This Row],[Unit Price]]*Table23[[#This Row],[Dscount]])*Table23[[#This Row],[Quantity]]</f>
        <v>104.08</v>
      </c>
      <c r="K301" s="8">
        <v>71.42</v>
      </c>
      <c r="L301" s="8">
        <f>Table23[[#This Row],[Revenue]]-Table23[[#This Row],[Total Cost]]</f>
        <v>32.659999999999997</v>
      </c>
      <c r="M301" s="16">
        <f>(Table23[[#This Row],[Profit]]/Table23[[#This Row],[Revenue]])</f>
        <v>0.31379707916986932</v>
      </c>
      <c r="N301" t="s">
        <v>33</v>
      </c>
    </row>
    <row r="302" spans="1:14" x14ac:dyDescent="0.25">
      <c r="A302" s="11" t="s">
        <v>1344</v>
      </c>
      <c r="B302" s="6">
        <v>45516</v>
      </c>
      <c r="C302" s="11" t="s">
        <v>1345</v>
      </c>
      <c r="D302" s="11" t="s">
        <v>31</v>
      </c>
      <c r="E302" s="11" t="s">
        <v>1124</v>
      </c>
      <c r="F302" s="11" t="s">
        <v>1112</v>
      </c>
      <c r="G302" s="7">
        <v>2</v>
      </c>
      <c r="H302" s="8">
        <v>59.63</v>
      </c>
      <c r="I302" s="13">
        <v>0.15</v>
      </c>
      <c r="J302" s="8">
        <f>(Table23[[#This Row],[Quantity]]*Table23[[#This Row],[Unit Price]])-(Table23[[#This Row],[Unit Price]]*Table23[[#This Row],[Dscount]])*Table23[[#This Row],[Quantity]]</f>
        <v>101.37100000000001</v>
      </c>
      <c r="K302" s="8">
        <v>68.791000000000011</v>
      </c>
      <c r="L302" s="8">
        <f>Table23[[#This Row],[Revenue]]-Table23[[#This Row],[Total Cost]]</f>
        <v>32.58</v>
      </c>
      <c r="M302" s="16">
        <f>(Table23[[#This Row],[Profit]]/Table23[[#This Row],[Revenue]])</f>
        <v>0.3213936924761519</v>
      </c>
      <c r="N302" t="s">
        <v>33</v>
      </c>
    </row>
    <row r="303" spans="1:14" x14ac:dyDescent="0.25">
      <c r="A303" s="11" t="s">
        <v>1706</v>
      </c>
      <c r="B303" s="6">
        <v>45298</v>
      </c>
      <c r="C303" s="11" t="s">
        <v>266</v>
      </c>
      <c r="D303" s="11" t="s">
        <v>24</v>
      </c>
      <c r="E303" s="11" t="s">
        <v>1443</v>
      </c>
      <c r="F303" s="11" t="s">
        <v>1417</v>
      </c>
      <c r="G303" s="7">
        <v>2</v>
      </c>
      <c r="H303" s="8">
        <v>59.53</v>
      </c>
      <c r="I303" s="13">
        <v>0.05</v>
      </c>
      <c r="J303" s="8">
        <f>(Table23[[#This Row],[Quantity]]*Table23[[#This Row],[Unit Price]])-(Table23[[#This Row],[Unit Price]]*Table23[[#This Row],[Dscount]])*Table23[[#This Row],[Quantity]]</f>
        <v>113.107</v>
      </c>
      <c r="K303" s="8">
        <v>80.62700000000001</v>
      </c>
      <c r="L303" s="8">
        <f>Table23[[#This Row],[Revenue]]-Table23[[#This Row],[Total Cost]]</f>
        <v>32.47999999999999</v>
      </c>
      <c r="M303" s="16">
        <f>(Table23[[#This Row],[Profit]]/Table23[[#This Row],[Revenue]])</f>
        <v>0.28716171412909891</v>
      </c>
      <c r="N303" t="s">
        <v>33</v>
      </c>
    </row>
    <row r="304" spans="1:14" x14ac:dyDescent="0.25">
      <c r="A304" s="11" t="s">
        <v>1704</v>
      </c>
      <c r="B304" s="6">
        <v>45977</v>
      </c>
      <c r="C304" s="11" t="s">
        <v>1705</v>
      </c>
      <c r="D304" s="11" t="s">
        <v>14</v>
      </c>
      <c r="E304" s="11" t="s">
        <v>1420</v>
      </c>
      <c r="F304" s="11" t="s">
        <v>1417</v>
      </c>
      <c r="G304" s="7">
        <v>4</v>
      </c>
      <c r="H304" s="8">
        <v>49.25</v>
      </c>
      <c r="I304" s="13">
        <v>0</v>
      </c>
      <c r="J304" s="8">
        <f>(Table23[[#This Row],[Quantity]]*Table23[[#This Row],[Unit Price]])-(Table23[[#This Row],[Unit Price]]*Table23[[#This Row],[Dscount]])*Table23[[#This Row],[Quantity]]</f>
        <v>197</v>
      </c>
      <c r="K304" s="8">
        <v>164.57</v>
      </c>
      <c r="L304" s="8">
        <f>Table23[[#This Row],[Revenue]]-Table23[[#This Row],[Total Cost]]</f>
        <v>32.430000000000007</v>
      </c>
      <c r="M304" s="16">
        <f>(Table23[[#This Row],[Profit]]/Table23[[#This Row],[Revenue]])</f>
        <v>0.16461928934010156</v>
      </c>
      <c r="N304" t="s">
        <v>17</v>
      </c>
    </row>
    <row r="305" spans="1:14" x14ac:dyDescent="0.25">
      <c r="A305" s="11" t="s">
        <v>1702</v>
      </c>
      <c r="B305" s="6">
        <v>45959</v>
      </c>
      <c r="C305" s="11" t="s">
        <v>1703</v>
      </c>
      <c r="D305" s="11" t="s">
        <v>20</v>
      </c>
      <c r="E305" s="11" t="s">
        <v>1443</v>
      </c>
      <c r="F305" s="11" t="s">
        <v>1417</v>
      </c>
      <c r="G305" s="7">
        <v>4</v>
      </c>
      <c r="H305" s="8">
        <v>41.59</v>
      </c>
      <c r="I305" s="13">
        <v>0.2</v>
      </c>
      <c r="J305" s="8">
        <f>(Table23[[#This Row],[Quantity]]*Table23[[#This Row],[Unit Price]])-(Table23[[#This Row],[Unit Price]]*Table23[[#This Row],[Dscount]])*Table23[[#This Row],[Quantity]]</f>
        <v>133.08800000000002</v>
      </c>
      <c r="K305" s="8">
        <v>100.70800000000003</v>
      </c>
      <c r="L305" s="8">
        <f>Table23[[#This Row],[Revenue]]-Table23[[#This Row],[Total Cost]]</f>
        <v>32.379999999999995</v>
      </c>
      <c r="M305" s="16">
        <f>(Table23[[#This Row],[Profit]]/Table23[[#This Row],[Revenue]])</f>
        <v>0.24329766770858371</v>
      </c>
      <c r="N305" t="s">
        <v>33</v>
      </c>
    </row>
    <row r="306" spans="1:14" x14ac:dyDescent="0.25">
      <c r="A306" s="11" t="s">
        <v>1343</v>
      </c>
      <c r="B306" s="6">
        <v>45552</v>
      </c>
      <c r="C306" s="11" t="s">
        <v>333</v>
      </c>
      <c r="D306" s="11" t="s">
        <v>36</v>
      </c>
      <c r="E306" s="11" t="s">
        <v>1132</v>
      </c>
      <c r="F306" s="11" t="s">
        <v>1112</v>
      </c>
      <c r="G306" s="7">
        <v>2</v>
      </c>
      <c r="H306" s="8">
        <v>44.58</v>
      </c>
      <c r="I306" s="13">
        <v>0</v>
      </c>
      <c r="J306" s="8">
        <f>(Table23[[#This Row],[Quantity]]*Table23[[#This Row],[Unit Price]])-(Table23[[#This Row],[Unit Price]]*Table23[[#This Row],[Dscount]])*Table23[[#This Row],[Quantity]]</f>
        <v>89.16</v>
      </c>
      <c r="K306" s="8">
        <v>56.8</v>
      </c>
      <c r="L306" s="8">
        <f>Table23[[#This Row],[Revenue]]-Table23[[#This Row],[Total Cost]]</f>
        <v>32.36</v>
      </c>
      <c r="M306" s="16">
        <f>(Table23[[#This Row],[Profit]]/Table23[[#This Row],[Revenue]])</f>
        <v>0.36294302377747872</v>
      </c>
      <c r="N306" t="s">
        <v>48</v>
      </c>
    </row>
    <row r="307" spans="1:14" x14ac:dyDescent="0.25">
      <c r="A307" s="11" t="s">
        <v>334</v>
      </c>
      <c r="B307" s="6">
        <v>45319</v>
      </c>
      <c r="C307" s="11" t="s">
        <v>335</v>
      </c>
      <c r="D307" s="11" t="s">
        <v>20</v>
      </c>
      <c r="E307" s="11" t="s">
        <v>15</v>
      </c>
      <c r="F307" s="11" t="s">
        <v>16</v>
      </c>
      <c r="G307" s="7">
        <v>2</v>
      </c>
      <c r="H307" s="8">
        <v>39.51</v>
      </c>
      <c r="I307" s="13">
        <v>0.25</v>
      </c>
      <c r="J307" s="8">
        <f>(Table23[[#This Row],[Quantity]]*Table23[[#This Row],[Unit Price]])-(Table23[[#This Row],[Unit Price]]*Table23[[#This Row],[Dscount]])*Table23[[#This Row],[Quantity]]</f>
        <v>59.265000000000001</v>
      </c>
      <c r="K307" s="8">
        <v>27.045000000000002</v>
      </c>
      <c r="L307" s="8">
        <f>Table23[[#This Row],[Revenue]]-Table23[[#This Row],[Total Cost]]</f>
        <v>32.22</v>
      </c>
      <c r="M307" s="16">
        <f>(Table23[[#This Row],[Profit]]/Table23[[#This Row],[Revenue]])</f>
        <v>0.54365983295368259</v>
      </c>
      <c r="N307" t="s">
        <v>33</v>
      </c>
    </row>
    <row r="308" spans="1:14" x14ac:dyDescent="0.25">
      <c r="A308" s="11" t="s">
        <v>649</v>
      </c>
      <c r="B308" s="6">
        <v>45783</v>
      </c>
      <c r="C308" s="11" t="s">
        <v>650</v>
      </c>
      <c r="D308" s="11" t="s">
        <v>14</v>
      </c>
      <c r="E308" s="11" t="s">
        <v>496</v>
      </c>
      <c r="F308" s="11" t="s">
        <v>480</v>
      </c>
      <c r="G308" s="7">
        <v>2</v>
      </c>
      <c r="H308" s="8">
        <v>47.59</v>
      </c>
      <c r="I308" s="13">
        <v>0.1</v>
      </c>
      <c r="J308" s="8">
        <f>(Table23[[#This Row],[Quantity]]*Table23[[#This Row],[Unit Price]])-(Table23[[#This Row],[Unit Price]]*Table23[[#This Row],[Dscount]])*Table23[[#This Row],[Quantity]]</f>
        <v>85.662000000000006</v>
      </c>
      <c r="K308" s="8">
        <v>53.482000000000006</v>
      </c>
      <c r="L308" s="8">
        <f>Table23[[#This Row],[Revenue]]-Table23[[#This Row],[Total Cost]]</f>
        <v>32.18</v>
      </c>
      <c r="M308" s="16">
        <f>(Table23[[#This Row],[Profit]]/Table23[[#This Row],[Revenue]])</f>
        <v>0.37566248745067821</v>
      </c>
      <c r="N308" t="s">
        <v>33</v>
      </c>
    </row>
    <row r="309" spans="1:14" x14ac:dyDescent="0.25">
      <c r="A309" s="11" t="s">
        <v>1040</v>
      </c>
      <c r="B309" s="6">
        <v>45475</v>
      </c>
      <c r="C309" s="11" t="s">
        <v>1041</v>
      </c>
      <c r="D309" s="11" t="s">
        <v>31</v>
      </c>
      <c r="E309" s="11" t="s">
        <v>832</v>
      </c>
      <c r="F309" s="11" t="s">
        <v>833</v>
      </c>
      <c r="G309" s="7">
        <v>4</v>
      </c>
      <c r="H309" s="8">
        <v>76.290000000000006</v>
      </c>
      <c r="I309" s="13">
        <v>0</v>
      </c>
      <c r="J309" s="8">
        <f>(Table23[[#This Row],[Quantity]]*Table23[[#This Row],[Unit Price]])-(Table23[[#This Row],[Unit Price]]*Table23[[#This Row],[Dscount]])*Table23[[#This Row],[Quantity]]</f>
        <v>305.16000000000003</v>
      </c>
      <c r="K309" s="8">
        <v>273.13</v>
      </c>
      <c r="L309" s="8">
        <f>Table23[[#This Row],[Revenue]]-Table23[[#This Row],[Total Cost]]</f>
        <v>32.03000000000003</v>
      </c>
      <c r="M309" s="16">
        <f>(Table23[[#This Row],[Profit]]/Table23[[#This Row],[Revenue]])</f>
        <v>0.10496133176038808</v>
      </c>
      <c r="N309" t="s">
        <v>17</v>
      </c>
    </row>
    <row r="310" spans="1:14" x14ac:dyDescent="0.25">
      <c r="A310" s="11" t="s">
        <v>1341</v>
      </c>
      <c r="B310" s="6">
        <v>45481</v>
      </c>
      <c r="C310" s="11" t="s">
        <v>1342</v>
      </c>
      <c r="D310" s="11" t="s">
        <v>31</v>
      </c>
      <c r="E310" s="11" t="s">
        <v>1111</v>
      </c>
      <c r="F310" s="11" t="s">
        <v>1112</v>
      </c>
      <c r="G310" s="7">
        <v>2</v>
      </c>
      <c r="H310" s="8">
        <v>63.32</v>
      </c>
      <c r="I310" s="13">
        <v>0.05</v>
      </c>
      <c r="J310" s="8">
        <f>(Table23[[#This Row],[Quantity]]*Table23[[#This Row],[Unit Price]])-(Table23[[#This Row],[Unit Price]]*Table23[[#This Row],[Dscount]])*Table23[[#This Row],[Quantity]]</f>
        <v>120.30799999999999</v>
      </c>
      <c r="K310" s="8">
        <v>88.49799999999999</v>
      </c>
      <c r="L310" s="8">
        <f>Table23[[#This Row],[Revenue]]-Table23[[#This Row],[Total Cost]]</f>
        <v>31.810000000000002</v>
      </c>
      <c r="M310" s="16">
        <f>(Table23[[#This Row],[Profit]]/Table23[[#This Row],[Revenue]])</f>
        <v>0.26440469461714933</v>
      </c>
      <c r="N310" t="s">
        <v>17</v>
      </c>
    </row>
    <row r="311" spans="1:14" x14ac:dyDescent="0.25">
      <c r="A311" s="11" t="s">
        <v>1700</v>
      </c>
      <c r="B311" s="6">
        <v>45916</v>
      </c>
      <c r="C311" s="11" t="s">
        <v>1701</v>
      </c>
      <c r="D311" s="11" t="s">
        <v>14</v>
      </c>
      <c r="E311" s="11" t="s">
        <v>1422</v>
      </c>
      <c r="F311" s="11" t="s">
        <v>1417</v>
      </c>
      <c r="G311" s="7">
        <v>4</v>
      </c>
      <c r="H311" s="8">
        <v>35.04</v>
      </c>
      <c r="I311" s="13">
        <v>0</v>
      </c>
      <c r="J311" s="8">
        <f>(Table23[[#This Row],[Quantity]]*Table23[[#This Row],[Unit Price]])-(Table23[[#This Row],[Unit Price]]*Table23[[#This Row],[Dscount]])*Table23[[#This Row],[Quantity]]</f>
        <v>140.16</v>
      </c>
      <c r="K311" s="8">
        <v>108.35</v>
      </c>
      <c r="L311" s="8">
        <f>Table23[[#This Row],[Revenue]]-Table23[[#This Row],[Total Cost]]</f>
        <v>31.810000000000002</v>
      </c>
      <c r="M311" s="16">
        <f>(Table23[[#This Row],[Profit]]/Table23[[#This Row],[Revenue]])</f>
        <v>0.22695490867579912</v>
      </c>
      <c r="N311" t="s">
        <v>33</v>
      </c>
    </row>
    <row r="312" spans="1:14" x14ac:dyDescent="0.25">
      <c r="A312" s="11" t="s">
        <v>646</v>
      </c>
      <c r="B312" s="6">
        <v>45750</v>
      </c>
      <c r="C312" s="11" t="s">
        <v>647</v>
      </c>
      <c r="D312" s="11" t="s">
        <v>24</v>
      </c>
      <c r="E312" s="11" t="s">
        <v>503</v>
      </c>
      <c r="F312" s="11" t="s">
        <v>480</v>
      </c>
      <c r="G312" s="7">
        <v>1</v>
      </c>
      <c r="H312" s="8">
        <v>74.7</v>
      </c>
      <c r="I312" s="13">
        <v>0.05</v>
      </c>
      <c r="J312" s="8">
        <f>(Table23[[#This Row],[Quantity]]*Table23[[#This Row],[Unit Price]])-(Table23[[#This Row],[Unit Price]]*Table23[[#This Row],[Dscount]])*Table23[[#This Row],[Quantity]]</f>
        <v>70.965000000000003</v>
      </c>
      <c r="K312" s="8">
        <v>39.234999999999999</v>
      </c>
      <c r="L312" s="8">
        <f>Table23[[#This Row],[Revenue]]-Table23[[#This Row],[Total Cost]]</f>
        <v>31.730000000000004</v>
      </c>
      <c r="M312" s="16">
        <f>(Table23[[#This Row],[Profit]]/Table23[[#This Row],[Revenue]])</f>
        <v>0.44712182061579653</v>
      </c>
      <c r="N312" t="s">
        <v>33</v>
      </c>
    </row>
    <row r="313" spans="1:14" x14ac:dyDescent="0.25">
      <c r="A313" s="11" t="s">
        <v>648</v>
      </c>
      <c r="B313" s="6">
        <v>45777</v>
      </c>
      <c r="C313" s="11" t="s">
        <v>270</v>
      </c>
      <c r="D313" s="11" t="s">
        <v>14</v>
      </c>
      <c r="E313" s="11" t="s">
        <v>479</v>
      </c>
      <c r="F313" s="11" t="s">
        <v>480</v>
      </c>
      <c r="G313" s="7">
        <v>1</v>
      </c>
      <c r="H313" s="8">
        <v>76.27</v>
      </c>
      <c r="I313" s="13">
        <v>0</v>
      </c>
      <c r="J313" s="8">
        <f>(Table23[[#This Row],[Quantity]]*Table23[[#This Row],[Unit Price]])-(Table23[[#This Row],[Unit Price]]*Table23[[#This Row],[Dscount]])*Table23[[#This Row],[Quantity]]</f>
        <v>76.27</v>
      </c>
      <c r="K313" s="8">
        <v>44.539999999999992</v>
      </c>
      <c r="L313" s="8">
        <f>Table23[[#This Row],[Revenue]]-Table23[[#This Row],[Total Cost]]</f>
        <v>31.730000000000004</v>
      </c>
      <c r="M313" s="16">
        <f>(Table23[[#This Row],[Profit]]/Table23[[#This Row],[Revenue]])</f>
        <v>0.41602202700930913</v>
      </c>
      <c r="N313" t="s">
        <v>17</v>
      </c>
    </row>
    <row r="314" spans="1:14" x14ac:dyDescent="0.25">
      <c r="A314" s="11" t="s">
        <v>644</v>
      </c>
      <c r="B314" s="6">
        <v>45650</v>
      </c>
      <c r="C314" s="11" t="s">
        <v>645</v>
      </c>
      <c r="D314" s="11" t="s">
        <v>36</v>
      </c>
      <c r="E314" s="11" t="s">
        <v>500</v>
      </c>
      <c r="F314" s="11" t="s">
        <v>480</v>
      </c>
      <c r="G314" s="7">
        <v>1</v>
      </c>
      <c r="H314" s="8">
        <v>68.930000000000007</v>
      </c>
      <c r="I314" s="13">
        <v>0</v>
      </c>
      <c r="J314" s="8">
        <f>(Table23[[#This Row],[Quantity]]*Table23[[#This Row],[Unit Price]])-(Table23[[#This Row],[Unit Price]]*Table23[[#This Row],[Dscount]])*Table23[[#This Row],[Quantity]]</f>
        <v>68.930000000000007</v>
      </c>
      <c r="K314" s="8">
        <v>37.300000000000011</v>
      </c>
      <c r="L314" s="8">
        <f>Table23[[#This Row],[Revenue]]-Table23[[#This Row],[Total Cost]]</f>
        <v>31.629999999999995</v>
      </c>
      <c r="M314" s="16">
        <f>(Table23[[#This Row],[Profit]]/Table23[[#This Row],[Revenue]])</f>
        <v>0.45887131872914538</v>
      </c>
      <c r="N314" t="s">
        <v>48</v>
      </c>
    </row>
    <row r="315" spans="1:14" x14ac:dyDescent="0.25">
      <c r="A315" s="11" t="s">
        <v>1038</v>
      </c>
      <c r="B315" s="6">
        <v>45878</v>
      </c>
      <c r="C315" s="11" t="s">
        <v>1039</v>
      </c>
      <c r="D315" s="11" t="s">
        <v>31</v>
      </c>
      <c r="E315" s="11" t="s">
        <v>860</v>
      </c>
      <c r="F315" s="11" t="s">
        <v>833</v>
      </c>
      <c r="G315" s="7">
        <v>2</v>
      </c>
      <c r="H315" s="8">
        <v>86.94</v>
      </c>
      <c r="I315" s="13">
        <v>0.05</v>
      </c>
      <c r="J315" s="8">
        <f>(Table23[[#This Row],[Quantity]]*Table23[[#This Row],[Unit Price]])-(Table23[[#This Row],[Unit Price]]*Table23[[#This Row],[Dscount]])*Table23[[#This Row],[Quantity]]</f>
        <v>165.18600000000001</v>
      </c>
      <c r="K315" s="8">
        <v>133.61600000000001</v>
      </c>
      <c r="L315" s="8">
        <f>Table23[[#This Row],[Revenue]]-Table23[[#This Row],[Total Cost]]</f>
        <v>31.569999999999993</v>
      </c>
      <c r="M315" s="16">
        <f>(Table23[[#This Row],[Profit]]/Table23[[#This Row],[Revenue]])</f>
        <v>0.19111789134672424</v>
      </c>
      <c r="N315" t="s">
        <v>48</v>
      </c>
    </row>
    <row r="316" spans="1:14" x14ac:dyDescent="0.25">
      <c r="A316" s="11" t="s">
        <v>1698</v>
      </c>
      <c r="B316" s="6">
        <v>45669</v>
      </c>
      <c r="C316" s="11" t="s">
        <v>1699</v>
      </c>
      <c r="D316" s="11" t="s">
        <v>31</v>
      </c>
      <c r="E316" s="11" t="s">
        <v>1457</v>
      </c>
      <c r="F316" s="11" t="s">
        <v>1417</v>
      </c>
      <c r="G316" s="7">
        <v>2</v>
      </c>
      <c r="H316" s="8">
        <v>57.17</v>
      </c>
      <c r="I316" s="13">
        <v>0</v>
      </c>
      <c r="J316" s="8">
        <f>(Table23[[#This Row],[Quantity]]*Table23[[#This Row],[Unit Price]])-(Table23[[#This Row],[Unit Price]]*Table23[[#This Row],[Dscount]])*Table23[[#This Row],[Quantity]]</f>
        <v>114.34</v>
      </c>
      <c r="K316" s="8">
        <v>82.78</v>
      </c>
      <c r="L316" s="8">
        <f>Table23[[#This Row],[Revenue]]-Table23[[#This Row],[Total Cost]]</f>
        <v>31.560000000000002</v>
      </c>
      <c r="M316" s="16">
        <f>(Table23[[#This Row],[Profit]]/Table23[[#This Row],[Revenue]])</f>
        <v>0.2760188910267623</v>
      </c>
      <c r="N316" t="s">
        <v>17</v>
      </c>
    </row>
    <row r="317" spans="1:14" x14ac:dyDescent="0.25">
      <c r="A317" s="11" t="s">
        <v>1036</v>
      </c>
      <c r="B317" s="6">
        <v>45964</v>
      </c>
      <c r="C317" s="11" t="s">
        <v>1037</v>
      </c>
      <c r="D317" s="11" t="s">
        <v>36</v>
      </c>
      <c r="E317" s="11" t="s">
        <v>837</v>
      </c>
      <c r="F317" s="11" t="s">
        <v>833</v>
      </c>
      <c r="G317" s="7">
        <v>2</v>
      </c>
      <c r="H317" s="8">
        <v>85.28</v>
      </c>
      <c r="I317" s="13">
        <v>0.25</v>
      </c>
      <c r="J317" s="8">
        <f>(Table23[[#This Row],[Quantity]]*Table23[[#This Row],[Unit Price]])-(Table23[[#This Row],[Unit Price]]*Table23[[#This Row],[Dscount]])*Table23[[#This Row],[Quantity]]</f>
        <v>127.92</v>
      </c>
      <c r="K317" s="8">
        <v>96.38</v>
      </c>
      <c r="L317" s="8">
        <f>Table23[[#This Row],[Revenue]]-Table23[[#This Row],[Total Cost]]</f>
        <v>31.540000000000006</v>
      </c>
      <c r="M317" s="16">
        <f>(Table23[[#This Row],[Profit]]/Table23[[#This Row],[Revenue]])</f>
        <v>0.24656035021888684</v>
      </c>
      <c r="N317" t="s">
        <v>17</v>
      </c>
    </row>
    <row r="318" spans="1:14" x14ac:dyDescent="0.25">
      <c r="A318" s="11" t="s">
        <v>332</v>
      </c>
      <c r="B318" s="6">
        <v>45859</v>
      </c>
      <c r="C318" s="11" t="s">
        <v>333</v>
      </c>
      <c r="D318" s="11" t="s">
        <v>36</v>
      </c>
      <c r="E318" s="11" t="s">
        <v>44</v>
      </c>
      <c r="F318" s="11" t="s">
        <v>16</v>
      </c>
      <c r="G318" s="7">
        <v>2</v>
      </c>
      <c r="H318" s="8">
        <v>31.66</v>
      </c>
      <c r="I318" s="13">
        <v>0.15</v>
      </c>
      <c r="J318" s="8">
        <f>(Table23[[#This Row],[Quantity]]*Table23[[#This Row],[Unit Price]])-(Table23[[#This Row],[Unit Price]]*Table23[[#This Row],[Dscount]])*Table23[[#This Row],[Quantity]]</f>
        <v>53.822000000000003</v>
      </c>
      <c r="K318" s="8">
        <v>22.292000000000002</v>
      </c>
      <c r="L318" s="8">
        <f>Table23[[#This Row],[Revenue]]-Table23[[#This Row],[Total Cost]]</f>
        <v>31.53</v>
      </c>
      <c r="M318" s="16">
        <f>(Table23[[#This Row],[Profit]]/Table23[[#This Row],[Revenue]])</f>
        <v>0.58581992493775781</v>
      </c>
      <c r="N318" t="s">
        <v>33</v>
      </c>
    </row>
    <row r="319" spans="1:14" x14ac:dyDescent="0.25">
      <c r="A319" s="11" t="s">
        <v>1340</v>
      </c>
      <c r="B319" s="6">
        <v>45766</v>
      </c>
      <c r="C319" s="11" t="s">
        <v>266</v>
      </c>
      <c r="D319" s="11" t="s">
        <v>14</v>
      </c>
      <c r="E319" s="11" t="s">
        <v>1134</v>
      </c>
      <c r="F319" s="11" t="s">
        <v>1112</v>
      </c>
      <c r="G319" s="7">
        <v>2</v>
      </c>
      <c r="H319" s="8">
        <v>62.76</v>
      </c>
      <c r="I319" s="13">
        <v>0</v>
      </c>
      <c r="J319" s="8">
        <f>(Table23[[#This Row],[Quantity]]*Table23[[#This Row],[Unit Price]])-(Table23[[#This Row],[Unit Price]]*Table23[[#This Row],[Dscount]])*Table23[[#This Row],[Quantity]]</f>
        <v>125.52</v>
      </c>
      <c r="K319" s="8">
        <v>94.12</v>
      </c>
      <c r="L319" s="8">
        <f>Table23[[#This Row],[Revenue]]-Table23[[#This Row],[Total Cost]]</f>
        <v>31.399999999999991</v>
      </c>
      <c r="M319" s="16">
        <f>(Table23[[#This Row],[Profit]]/Table23[[#This Row],[Revenue]])</f>
        <v>0.25015933715742505</v>
      </c>
      <c r="N319" t="s">
        <v>33</v>
      </c>
    </row>
    <row r="320" spans="1:14" x14ac:dyDescent="0.25">
      <c r="A320" s="11" t="s">
        <v>330</v>
      </c>
      <c r="B320" s="6">
        <v>45957</v>
      </c>
      <c r="C320" s="11" t="s">
        <v>331</v>
      </c>
      <c r="D320" s="11" t="s">
        <v>20</v>
      </c>
      <c r="E320" s="11" t="s">
        <v>25</v>
      </c>
      <c r="F320" s="11" t="s">
        <v>16</v>
      </c>
      <c r="G320" s="7">
        <v>2</v>
      </c>
      <c r="H320" s="8">
        <v>30.94</v>
      </c>
      <c r="I320" s="13">
        <v>0</v>
      </c>
      <c r="J320" s="8">
        <f>(Table23[[#This Row],[Quantity]]*Table23[[#This Row],[Unit Price]])-(Table23[[#This Row],[Unit Price]]*Table23[[#This Row],[Dscount]])*Table23[[#This Row],[Quantity]]</f>
        <v>61.88</v>
      </c>
      <c r="K320" s="8">
        <v>30.76</v>
      </c>
      <c r="L320" s="8">
        <f>Table23[[#This Row],[Revenue]]-Table23[[#This Row],[Total Cost]]</f>
        <v>31.12</v>
      </c>
      <c r="M320" s="16">
        <f>(Table23[[#This Row],[Profit]]/Table23[[#This Row],[Revenue]])</f>
        <v>0.50290885585003231</v>
      </c>
      <c r="N320" t="s">
        <v>33</v>
      </c>
    </row>
    <row r="321" spans="1:14" x14ac:dyDescent="0.25">
      <c r="A321" s="11" t="s">
        <v>328</v>
      </c>
      <c r="B321" s="6">
        <v>45753</v>
      </c>
      <c r="C321" s="11" t="s">
        <v>329</v>
      </c>
      <c r="D321" s="11" t="s">
        <v>24</v>
      </c>
      <c r="E321" s="11" t="s">
        <v>47</v>
      </c>
      <c r="F321" s="11" t="s">
        <v>16</v>
      </c>
      <c r="G321" s="7">
        <v>2</v>
      </c>
      <c r="H321" s="8">
        <v>42.15</v>
      </c>
      <c r="I321" s="13">
        <v>0.15</v>
      </c>
      <c r="J321" s="8">
        <f>(Table23[[#This Row],[Quantity]]*Table23[[#This Row],[Unit Price]])-(Table23[[#This Row],[Unit Price]]*Table23[[#This Row],[Dscount]])*Table23[[#This Row],[Quantity]]</f>
        <v>71.655000000000001</v>
      </c>
      <c r="K321" s="8">
        <v>40.605000000000004</v>
      </c>
      <c r="L321" s="8">
        <f>Table23[[#This Row],[Revenue]]-Table23[[#This Row],[Total Cost]]</f>
        <v>31.049999999999997</v>
      </c>
      <c r="M321" s="16">
        <f>(Table23[[#This Row],[Profit]]/Table23[[#This Row],[Revenue]])</f>
        <v>0.43332635545321324</v>
      </c>
      <c r="N321" t="s">
        <v>33</v>
      </c>
    </row>
    <row r="322" spans="1:14" x14ac:dyDescent="0.25">
      <c r="A322" s="11" t="s">
        <v>642</v>
      </c>
      <c r="B322" s="6">
        <v>45834</v>
      </c>
      <c r="C322" s="11" t="s">
        <v>643</v>
      </c>
      <c r="D322" s="11" t="s">
        <v>36</v>
      </c>
      <c r="E322" s="11" t="s">
        <v>496</v>
      </c>
      <c r="F322" s="11" t="s">
        <v>480</v>
      </c>
      <c r="G322" s="7">
        <v>2</v>
      </c>
      <c r="H322" s="8">
        <v>36.92</v>
      </c>
      <c r="I322" s="13">
        <v>0.1</v>
      </c>
      <c r="J322" s="8">
        <f>(Table23[[#This Row],[Quantity]]*Table23[[#This Row],[Unit Price]])-(Table23[[#This Row],[Unit Price]]*Table23[[#This Row],[Dscount]])*Table23[[#This Row],[Quantity]]</f>
        <v>66.456000000000003</v>
      </c>
      <c r="K322" s="8">
        <v>35.466000000000008</v>
      </c>
      <c r="L322" s="8">
        <f>Table23[[#This Row],[Revenue]]-Table23[[#This Row],[Total Cost]]</f>
        <v>30.989999999999995</v>
      </c>
      <c r="M322" s="16">
        <f>(Table23[[#This Row],[Profit]]/Table23[[#This Row],[Revenue]])</f>
        <v>0.4663235825207655</v>
      </c>
      <c r="N322" t="s">
        <v>17</v>
      </c>
    </row>
    <row r="323" spans="1:14" x14ac:dyDescent="0.25">
      <c r="A323" s="11" t="s">
        <v>1338</v>
      </c>
      <c r="B323" s="6">
        <v>45919</v>
      </c>
      <c r="C323" s="11" t="s">
        <v>1339</v>
      </c>
      <c r="D323" s="11" t="s">
        <v>31</v>
      </c>
      <c r="E323" s="11" t="s">
        <v>1132</v>
      </c>
      <c r="F323" s="11" t="s">
        <v>1112</v>
      </c>
      <c r="G323" s="7">
        <v>2</v>
      </c>
      <c r="H323" s="8">
        <v>41.05</v>
      </c>
      <c r="I323" s="13">
        <v>0</v>
      </c>
      <c r="J323" s="8">
        <f>(Table23[[#This Row],[Quantity]]*Table23[[#This Row],[Unit Price]])-(Table23[[#This Row],[Unit Price]]*Table23[[#This Row],[Dscount]])*Table23[[#This Row],[Quantity]]</f>
        <v>82.1</v>
      </c>
      <c r="K323" s="8">
        <v>51.139999999999993</v>
      </c>
      <c r="L323" s="8">
        <f>Table23[[#This Row],[Revenue]]-Table23[[#This Row],[Total Cost]]</f>
        <v>30.96</v>
      </c>
      <c r="M323" s="16">
        <f>(Table23[[#This Row],[Profit]]/Table23[[#This Row],[Revenue]])</f>
        <v>0.37710109622411697</v>
      </c>
      <c r="N323" t="s">
        <v>33</v>
      </c>
    </row>
    <row r="324" spans="1:14" x14ac:dyDescent="0.25">
      <c r="A324" s="11" t="s">
        <v>640</v>
      </c>
      <c r="B324" s="6">
        <v>45570</v>
      </c>
      <c r="C324" s="11" t="s">
        <v>641</v>
      </c>
      <c r="D324" s="11" t="s">
        <v>20</v>
      </c>
      <c r="E324" s="11" t="s">
        <v>489</v>
      </c>
      <c r="F324" s="11" t="s">
        <v>480</v>
      </c>
      <c r="G324" s="7">
        <v>4</v>
      </c>
      <c r="H324" s="8">
        <v>21.51</v>
      </c>
      <c r="I324" s="13">
        <v>0.2</v>
      </c>
      <c r="J324" s="8">
        <f>(Table23[[#This Row],[Quantity]]*Table23[[#This Row],[Unit Price]])-(Table23[[#This Row],[Unit Price]]*Table23[[#This Row],[Dscount]])*Table23[[#This Row],[Quantity]]</f>
        <v>68.832000000000008</v>
      </c>
      <c r="K324" s="8">
        <v>37.962000000000003</v>
      </c>
      <c r="L324" s="8">
        <f>Table23[[#This Row],[Revenue]]-Table23[[#This Row],[Total Cost]]</f>
        <v>30.870000000000005</v>
      </c>
      <c r="M324" s="16">
        <f>(Table23[[#This Row],[Profit]]/Table23[[#This Row],[Revenue]])</f>
        <v>0.44848326359832635</v>
      </c>
      <c r="N324" t="s">
        <v>17</v>
      </c>
    </row>
    <row r="325" spans="1:14" x14ac:dyDescent="0.25">
      <c r="A325" s="11" t="s">
        <v>326</v>
      </c>
      <c r="B325" s="6">
        <v>45358</v>
      </c>
      <c r="C325" s="11" t="s">
        <v>327</v>
      </c>
      <c r="D325" s="11" t="s">
        <v>14</v>
      </c>
      <c r="E325" s="11" t="s">
        <v>28</v>
      </c>
      <c r="F325" s="11" t="s">
        <v>16</v>
      </c>
      <c r="G325" s="7">
        <v>3</v>
      </c>
      <c r="H325" s="8">
        <v>26.14</v>
      </c>
      <c r="I325" s="13">
        <v>0.15</v>
      </c>
      <c r="J325" s="8">
        <f>(Table23[[#This Row],[Quantity]]*Table23[[#This Row],[Unit Price]])-(Table23[[#This Row],[Unit Price]]*Table23[[#This Row],[Dscount]])*Table23[[#This Row],[Quantity]]</f>
        <v>66.656999999999996</v>
      </c>
      <c r="K325" s="8">
        <v>36.027000000000001</v>
      </c>
      <c r="L325" s="8">
        <f>Table23[[#This Row],[Revenue]]-Table23[[#This Row],[Total Cost]]</f>
        <v>30.629999999999995</v>
      </c>
      <c r="M325" s="16">
        <f>(Table23[[#This Row],[Profit]]/Table23[[#This Row],[Revenue]])</f>
        <v>0.45951662991133713</v>
      </c>
      <c r="N325" t="s">
        <v>33</v>
      </c>
    </row>
    <row r="326" spans="1:14" x14ac:dyDescent="0.25">
      <c r="A326" s="11" t="s">
        <v>1034</v>
      </c>
      <c r="B326" s="6">
        <v>45898</v>
      </c>
      <c r="C326" s="11" t="s">
        <v>1035</v>
      </c>
      <c r="D326" s="11" t="s">
        <v>24</v>
      </c>
      <c r="E326" s="11" t="s">
        <v>837</v>
      </c>
      <c r="F326" s="11" t="s">
        <v>833</v>
      </c>
      <c r="G326" s="7">
        <v>5</v>
      </c>
      <c r="H326" s="8">
        <v>60.77</v>
      </c>
      <c r="I326" s="13">
        <v>0.1</v>
      </c>
      <c r="J326" s="8">
        <f>(Table23[[#This Row],[Quantity]]*Table23[[#This Row],[Unit Price]])-(Table23[[#This Row],[Unit Price]]*Table23[[#This Row],[Dscount]])*Table23[[#This Row],[Quantity]]</f>
        <v>273.46500000000003</v>
      </c>
      <c r="K326" s="8">
        <v>242.93500000000003</v>
      </c>
      <c r="L326" s="8">
        <f>Table23[[#This Row],[Revenue]]-Table23[[#This Row],[Total Cost]]</f>
        <v>30.53</v>
      </c>
      <c r="M326" s="16">
        <f>(Table23[[#This Row],[Profit]]/Table23[[#This Row],[Revenue]])</f>
        <v>0.11164134349916807</v>
      </c>
      <c r="N326" t="s">
        <v>33</v>
      </c>
    </row>
    <row r="327" spans="1:14" x14ac:dyDescent="0.25">
      <c r="A327" s="11" t="s">
        <v>1337</v>
      </c>
      <c r="B327" s="6">
        <v>45516</v>
      </c>
      <c r="C327" s="11" t="s">
        <v>1085</v>
      </c>
      <c r="D327" s="11" t="s">
        <v>36</v>
      </c>
      <c r="E327" s="11" t="s">
        <v>1184</v>
      </c>
      <c r="F327" s="11" t="s">
        <v>1112</v>
      </c>
      <c r="G327" s="7">
        <v>2</v>
      </c>
      <c r="H327" s="8">
        <v>75.569999999999993</v>
      </c>
      <c r="I327" s="13">
        <v>0.1</v>
      </c>
      <c r="J327" s="8">
        <f>(Table23[[#This Row],[Quantity]]*Table23[[#This Row],[Unit Price]])-(Table23[[#This Row],[Unit Price]]*Table23[[#This Row],[Dscount]])*Table23[[#This Row],[Quantity]]</f>
        <v>136.02599999999998</v>
      </c>
      <c r="K327" s="8">
        <v>105.59599999999998</v>
      </c>
      <c r="L327" s="8">
        <f>Table23[[#This Row],[Revenue]]-Table23[[#This Row],[Total Cost]]</f>
        <v>30.430000000000007</v>
      </c>
      <c r="M327" s="16">
        <f>(Table23[[#This Row],[Profit]]/Table23[[#This Row],[Revenue]])</f>
        <v>0.22370723244085697</v>
      </c>
      <c r="N327" t="s">
        <v>33</v>
      </c>
    </row>
    <row r="328" spans="1:14" x14ac:dyDescent="0.25">
      <c r="A328" s="11" t="s">
        <v>324</v>
      </c>
      <c r="B328" s="6">
        <v>45948</v>
      </c>
      <c r="C328" s="11" t="s">
        <v>325</v>
      </c>
      <c r="D328" s="11" t="s">
        <v>31</v>
      </c>
      <c r="E328" s="11" t="s">
        <v>53</v>
      </c>
      <c r="F328" s="11" t="s">
        <v>16</v>
      </c>
      <c r="G328" s="7">
        <v>4</v>
      </c>
      <c r="H328" s="8">
        <v>16.04</v>
      </c>
      <c r="I328" s="13">
        <v>0.05</v>
      </c>
      <c r="J328" s="8">
        <f>(Table23[[#This Row],[Quantity]]*Table23[[#This Row],[Unit Price]])-(Table23[[#This Row],[Unit Price]]*Table23[[#This Row],[Dscount]])*Table23[[#This Row],[Quantity]]</f>
        <v>60.951999999999998</v>
      </c>
      <c r="K328" s="8">
        <v>30.541999999999998</v>
      </c>
      <c r="L328" s="8">
        <f>Table23[[#This Row],[Revenue]]-Table23[[#This Row],[Total Cost]]</f>
        <v>30.41</v>
      </c>
      <c r="M328" s="16">
        <f>(Table23[[#This Row],[Profit]]/Table23[[#This Row],[Revenue]])</f>
        <v>0.49891718073237962</v>
      </c>
      <c r="N328" t="s">
        <v>17</v>
      </c>
    </row>
    <row r="329" spans="1:14" x14ac:dyDescent="0.25">
      <c r="A329" s="11" t="s">
        <v>1336</v>
      </c>
      <c r="B329" s="6">
        <v>45364</v>
      </c>
      <c r="C329" s="11" t="s">
        <v>128</v>
      </c>
      <c r="D329" s="11" t="s">
        <v>20</v>
      </c>
      <c r="E329" s="11" t="s">
        <v>1184</v>
      </c>
      <c r="F329" s="11" t="s">
        <v>1112</v>
      </c>
      <c r="G329" s="7">
        <v>2</v>
      </c>
      <c r="H329" s="8">
        <v>56.78</v>
      </c>
      <c r="I329" s="13">
        <v>0.1</v>
      </c>
      <c r="J329" s="8">
        <f>(Table23[[#This Row],[Quantity]]*Table23[[#This Row],[Unit Price]])-(Table23[[#This Row],[Unit Price]]*Table23[[#This Row],[Dscount]])*Table23[[#This Row],[Quantity]]</f>
        <v>102.20400000000001</v>
      </c>
      <c r="K329" s="8">
        <v>71.834000000000003</v>
      </c>
      <c r="L329" s="8">
        <f>Table23[[#This Row],[Revenue]]-Table23[[#This Row],[Total Cost]]</f>
        <v>30.370000000000005</v>
      </c>
      <c r="M329" s="16">
        <f>(Table23[[#This Row],[Profit]]/Table23[[#This Row],[Revenue]])</f>
        <v>0.29715079644632308</v>
      </c>
      <c r="N329" t="s">
        <v>17</v>
      </c>
    </row>
    <row r="330" spans="1:14" x14ac:dyDescent="0.25">
      <c r="A330" s="11" t="s">
        <v>1033</v>
      </c>
      <c r="B330" s="6">
        <v>45963</v>
      </c>
      <c r="C330" s="11" t="s">
        <v>776</v>
      </c>
      <c r="D330" s="11" t="s">
        <v>14</v>
      </c>
      <c r="E330" s="11" t="s">
        <v>848</v>
      </c>
      <c r="F330" s="11" t="s">
        <v>833</v>
      </c>
      <c r="G330" s="7">
        <v>2</v>
      </c>
      <c r="H330" s="8">
        <v>82.89</v>
      </c>
      <c r="I330" s="13">
        <v>0.1</v>
      </c>
      <c r="J330" s="8">
        <f>(Table23[[#This Row],[Quantity]]*Table23[[#This Row],[Unit Price]])-(Table23[[#This Row],[Unit Price]]*Table23[[#This Row],[Dscount]])*Table23[[#This Row],[Quantity]]</f>
        <v>149.202</v>
      </c>
      <c r="K330" s="8">
        <v>118.88200000000001</v>
      </c>
      <c r="L330" s="8">
        <f>Table23[[#This Row],[Revenue]]-Table23[[#This Row],[Total Cost]]</f>
        <v>30.319999999999993</v>
      </c>
      <c r="M330" s="16">
        <f>(Table23[[#This Row],[Profit]]/Table23[[#This Row],[Revenue]])</f>
        <v>0.20321443412286694</v>
      </c>
      <c r="N330" t="s">
        <v>17</v>
      </c>
    </row>
    <row r="331" spans="1:14" x14ac:dyDescent="0.25">
      <c r="A331" s="11" t="s">
        <v>1335</v>
      </c>
      <c r="B331" s="6">
        <v>45916</v>
      </c>
      <c r="C331" s="11" t="s">
        <v>441</v>
      </c>
      <c r="D331" s="11" t="s">
        <v>20</v>
      </c>
      <c r="E331" s="11" t="s">
        <v>1120</v>
      </c>
      <c r="F331" s="11" t="s">
        <v>1112</v>
      </c>
      <c r="G331" s="7">
        <v>1</v>
      </c>
      <c r="H331" s="8">
        <v>79.739999999999995</v>
      </c>
      <c r="I331" s="13">
        <v>0</v>
      </c>
      <c r="J331" s="8">
        <f>(Table23[[#This Row],[Quantity]]*Table23[[#This Row],[Unit Price]])-(Table23[[#This Row],[Unit Price]]*Table23[[#This Row],[Dscount]])*Table23[[#This Row],[Quantity]]</f>
        <v>79.739999999999995</v>
      </c>
      <c r="K331" s="8">
        <v>49.539999999999992</v>
      </c>
      <c r="L331" s="8">
        <f>Table23[[#This Row],[Revenue]]-Table23[[#This Row],[Total Cost]]</f>
        <v>30.200000000000003</v>
      </c>
      <c r="M331" s="16">
        <f>(Table23[[#This Row],[Profit]]/Table23[[#This Row],[Revenue]])</f>
        <v>0.37873087534487088</v>
      </c>
      <c r="N331" t="s">
        <v>48</v>
      </c>
    </row>
    <row r="332" spans="1:14" x14ac:dyDescent="0.25">
      <c r="A332" s="11" t="s">
        <v>1032</v>
      </c>
      <c r="B332" s="6">
        <v>45550</v>
      </c>
      <c r="C332" s="11" t="s">
        <v>315</v>
      </c>
      <c r="D332" s="11" t="s">
        <v>24</v>
      </c>
      <c r="E332" s="11" t="s">
        <v>856</v>
      </c>
      <c r="F332" s="11" t="s">
        <v>833</v>
      </c>
      <c r="G332" s="7">
        <v>3</v>
      </c>
      <c r="H332" s="8">
        <v>61.12</v>
      </c>
      <c r="I332" s="13">
        <v>0</v>
      </c>
      <c r="J332" s="8">
        <f>(Table23[[#This Row],[Quantity]]*Table23[[#This Row],[Unit Price]])-(Table23[[#This Row],[Unit Price]]*Table23[[#This Row],[Dscount]])*Table23[[#This Row],[Quantity]]</f>
        <v>183.35999999999999</v>
      </c>
      <c r="K332" s="8">
        <v>153.17999999999998</v>
      </c>
      <c r="L332" s="8">
        <f>Table23[[#This Row],[Revenue]]-Table23[[#This Row],[Total Cost]]</f>
        <v>30.180000000000007</v>
      </c>
      <c r="M332" s="16">
        <f>(Table23[[#This Row],[Profit]]/Table23[[#This Row],[Revenue]])</f>
        <v>0.16459424083769639</v>
      </c>
      <c r="N332" t="s">
        <v>33</v>
      </c>
    </row>
    <row r="333" spans="1:14" x14ac:dyDescent="0.25">
      <c r="A333" s="11" t="s">
        <v>322</v>
      </c>
      <c r="B333" s="6">
        <v>45788</v>
      </c>
      <c r="C333" s="11" t="s">
        <v>323</v>
      </c>
      <c r="D333" s="11" t="s">
        <v>31</v>
      </c>
      <c r="E333" s="11" t="s">
        <v>68</v>
      </c>
      <c r="F333" s="11" t="s">
        <v>16</v>
      </c>
      <c r="G333" s="7">
        <v>2</v>
      </c>
      <c r="H333" s="8">
        <v>29.89</v>
      </c>
      <c r="I333" s="13">
        <v>0</v>
      </c>
      <c r="J333" s="8">
        <f>(Table23[[#This Row],[Quantity]]*Table23[[#This Row],[Unit Price]])-(Table23[[#This Row],[Unit Price]]*Table23[[#This Row],[Dscount]])*Table23[[#This Row],[Quantity]]</f>
        <v>59.78</v>
      </c>
      <c r="K333" s="8">
        <v>29.64</v>
      </c>
      <c r="L333" s="8">
        <f>Table23[[#This Row],[Revenue]]-Table23[[#This Row],[Total Cost]]</f>
        <v>30.14</v>
      </c>
      <c r="M333" s="16">
        <f>(Table23[[#This Row],[Profit]]/Table23[[#This Row],[Revenue]])</f>
        <v>0.50418200066912011</v>
      </c>
      <c r="N333" t="s">
        <v>33</v>
      </c>
    </row>
    <row r="334" spans="1:14" x14ac:dyDescent="0.25">
      <c r="A334" s="11" t="s">
        <v>318</v>
      </c>
      <c r="B334" s="6">
        <v>45547</v>
      </c>
      <c r="C334" s="11" t="s">
        <v>319</v>
      </c>
      <c r="D334" s="11" t="s">
        <v>24</v>
      </c>
      <c r="E334" s="11" t="s">
        <v>47</v>
      </c>
      <c r="F334" s="11" t="s">
        <v>16</v>
      </c>
      <c r="G334" s="7">
        <v>2</v>
      </c>
      <c r="H334" s="8">
        <v>28.5</v>
      </c>
      <c r="I334" s="13">
        <v>0</v>
      </c>
      <c r="J334" s="8">
        <f>(Table23[[#This Row],[Quantity]]*Table23[[#This Row],[Unit Price]])-(Table23[[#This Row],[Unit Price]]*Table23[[#This Row],[Dscount]])*Table23[[#This Row],[Quantity]]</f>
        <v>57</v>
      </c>
      <c r="K334" s="8">
        <v>26.91</v>
      </c>
      <c r="L334" s="8">
        <f>Table23[[#This Row],[Revenue]]-Table23[[#This Row],[Total Cost]]</f>
        <v>30.09</v>
      </c>
      <c r="M334" s="16">
        <f>(Table23[[#This Row],[Profit]]/Table23[[#This Row],[Revenue]])</f>
        <v>0.52789473684210531</v>
      </c>
      <c r="N334" t="s">
        <v>33</v>
      </c>
    </row>
    <row r="335" spans="1:14" x14ac:dyDescent="0.25">
      <c r="A335" s="11" t="s">
        <v>320</v>
      </c>
      <c r="B335" s="6">
        <v>45905</v>
      </c>
      <c r="C335" s="11" t="s">
        <v>321</v>
      </c>
      <c r="D335" s="11" t="s">
        <v>14</v>
      </c>
      <c r="E335" s="11" t="s">
        <v>44</v>
      </c>
      <c r="F335" s="11" t="s">
        <v>16</v>
      </c>
      <c r="G335" s="7">
        <v>2</v>
      </c>
      <c r="H335" s="8">
        <v>30.21</v>
      </c>
      <c r="I335" s="13">
        <v>0</v>
      </c>
      <c r="J335" s="8">
        <f>(Table23[[#This Row],[Quantity]]*Table23[[#This Row],[Unit Price]])-(Table23[[#This Row],[Unit Price]]*Table23[[#This Row],[Dscount]])*Table23[[#This Row],[Quantity]]</f>
        <v>60.42</v>
      </c>
      <c r="K335" s="8">
        <v>30.330000000000002</v>
      </c>
      <c r="L335" s="8">
        <f>Table23[[#This Row],[Revenue]]-Table23[[#This Row],[Total Cost]]</f>
        <v>30.09</v>
      </c>
      <c r="M335" s="16">
        <f>(Table23[[#This Row],[Profit]]/Table23[[#This Row],[Revenue]])</f>
        <v>0.49801390268123136</v>
      </c>
      <c r="N335" t="s">
        <v>33</v>
      </c>
    </row>
    <row r="336" spans="1:14" x14ac:dyDescent="0.25">
      <c r="A336" s="11" t="s">
        <v>1333</v>
      </c>
      <c r="B336" s="6">
        <v>45923</v>
      </c>
      <c r="C336" s="11" t="s">
        <v>1334</v>
      </c>
      <c r="D336" s="11" t="s">
        <v>20</v>
      </c>
      <c r="E336" s="11" t="s">
        <v>1114</v>
      </c>
      <c r="F336" s="11" t="s">
        <v>1112</v>
      </c>
      <c r="G336" s="7">
        <v>5</v>
      </c>
      <c r="H336" s="8">
        <v>17.170000000000002</v>
      </c>
      <c r="I336" s="13">
        <v>0.05</v>
      </c>
      <c r="J336" s="8">
        <f>(Table23[[#This Row],[Quantity]]*Table23[[#This Row],[Unit Price]])-(Table23[[#This Row],[Unit Price]]*Table23[[#This Row],[Dscount]])*Table23[[#This Row],[Quantity]]</f>
        <v>81.557500000000005</v>
      </c>
      <c r="K336" s="8">
        <v>51.56750000000001</v>
      </c>
      <c r="L336" s="8">
        <f>Table23[[#This Row],[Revenue]]-Table23[[#This Row],[Total Cost]]</f>
        <v>29.989999999999995</v>
      </c>
      <c r="M336" s="16">
        <f>(Table23[[#This Row],[Profit]]/Table23[[#This Row],[Revenue]])</f>
        <v>0.36771602856880109</v>
      </c>
      <c r="N336" t="s">
        <v>17</v>
      </c>
    </row>
    <row r="337" spans="1:14" x14ac:dyDescent="0.25">
      <c r="A337" s="11" t="s">
        <v>1696</v>
      </c>
      <c r="B337" s="6">
        <v>45313</v>
      </c>
      <c r="C337" s="11" t="s">
        <v>1697</v>
      </c>
      <c r="D337" s="11" t="s">
        <v>20</v>
      </c>
      <c r="E337" s="11" t="s">
        <v>1478</v>
      </c>
      <c r="F337" s="11" t="s">
        <v>1417</v>
      </c>
      <c r="G337" s="7">
        <v>3</v>
      </c>
      <c r="H337" s="8">
        <v>36.28</v>
      </c>
      <c r="I337" s="13">
        <v>0.1</v>
      </c>
      <c r="J337" s="8">
        <f>(Table23[[#This Row],[Quantity]]*Table23[[#This Row],[Unit Price]])-(Table23[[#This Row],[Unit Price]]*Table23[[#This Row],[Dscount]])*Table23[[#This Row],[Quantity]]</f>
        <v>97.956000000000003</v>
      </c>
      <c r="K337" s="8">
        <v>67.975999999999999</v>
      </c>
      <c r="L337" s="8">
        <f>Table23[[#This Row],[Revenue]]-Table23[[#This Row],[Total Cost]]</f>
        <v>29.980000000000004</v>
      </c>
      <c r="M337" s="16">
        <f>(Table23[[#This Row],[Profit]]/Table23[[#This Row],[Revenue]])</f>
        <v>0.30605578014618812</v>
      </c>
      <c r="N337" t="s">
        <v>33</v>
      </c>
    </row>
    <row r="338" spans="1:14" x14ac:dyDescent="0.25">
      <c r="A338" s="11" t="s">
        <v>316</v>
      </c>
      <c r="B338" s="6">
        <v>45738</v>
      </c>
      <c r="C338" s="11" t="s">
        <v>317</v>
      </c>
      <c r="D338" s="11" t="s">
        <v>14</v>
      </c>
      <c r="E338" s="11" t="s">
        <v>39</v>
      </c>
      <c r="F338" s="11" t="s">
        <v>16</v>
      </c>
      <c r="G338" s="7">
        <v>2</v>
      </c>
      <c r="H338" s="8">
        <v>24.36</v>
      </c>
      <c r="I338" s="13">
        <v>0</v>
      </c>
      <c r="J338" s="8">
        <f>(Table23[[#This Row],[Quantity]]*Table23[[#This Row],[Unit Price]])-(Table23[[#This Row],[Unit Price]]*Table23[[#This Row],[Dscount]])*Table23[[#This Row],[Quantity]]</f>
        <v>48.72</v>
      </c>
      <c r="K338" s="8">
        <v>18.75</v>
      </c>
      <c r="L338" s="8">
        <f>Table23[[#This Row],[Revenue]]-Table23[[#This Row],[Total Cost]]</f>
        <v>29.97</v>
      </c>
      <c r="M338" s="16">
        <f>(Table23[[#This Row],[Profit]]/Table23[[#This Row],[Revenue]])</f>
        <v>0.61514778325123154</v>
      </c>
      <c r="N338" t="s">
        <v>17</v>
      </c>
    </row>
    <row r="339" spans="1:14" x14ac:dyDescent="0.25">
      <c r="A339" s="11" t="s">
        <v>314</v>
      </c>
      <c r="B339" s="6">
        <v>45994</v>
      </c>
      <c r="C339" s="11" t="s">
        <v>315</v>
      </c>
      <c r="D339" s="11" t="s">
        <v>14</v>
      </c>
      <c r="E339" s="11" t="s">
        <v>39</v>
      </c>
      <c r="F339" s="11" t="s">
        <v>16</v>
      </c>
      <c r="G339" s="7">
        <v>2</v>
      </c>
      <c r="H339" s="8">
        <v>28.44</v>
      </c>
      <c r="I339" s="13">
        <v>0.1</v>
      </c>
      <c r="J339" s="8">
        <f>(Table23[[#This Row],[Quantity]]*Table23[[#This Row],[Unit Price]])-(Table23[[#This Row],[Unit Price]]*Table23[[#This Row],[Dscount]])*Table23[[#This Row],[Quantity]]</f>
        <v>51.192</v>
      </c>
      <c r="K339" s="8">
        <v>21.242000000000001</v>
      </c>
      <c r="L339" s="8">
        <f>Table23[[#This Row],[Revenue]]-Table23[[#This Row],[Total Cost]]</f>
        <v>29.95</v>
      </c>
      <c r="M339" s="16">
        <f>(Table23[[#This Row],[Profit]]/Table23[[#This Row],[Revenue]])</f>
        <v>0.58505235192998906</v>
      </c>
      <c r="N339" t="s">
        <v>33</v>
      </c>
    </row>
    <row r="340" spans="1:14" x14ac:dyDescent="0.25">
      <c r="A340" s="11" t="s">
        <v>312</v>
      </c>
      <c r="B340" s="6">
        <v>45579</v>
      </c>
      <c r="C340" s="11" t="s">
        <v>313</v>
      </c>
      <c r="D340" s="11" t="s">
        <v>36</v>
      </c>
      <c r="E340" s="11" t="s">
        <v>68</v>
      </c>
      <c r="F340" s="11" t="s">
        <v>16</v>
      </c>
      <c r="G340" s="7">
        <v>4</v>
      </c>
      <c r="H340" s="8">
        <v>14.98</v>
      </c>
      <c r="I340" s="13">
        <v>0.1</v>
      </c>
      <c r="J340" s="8">
        <f>(Table23[[#This Row],[Quantity]]*Table23[[#This Row],[Unit Price]])-(Table23[[#This Row],[Unit Price]]*Table23[[#This Row],[Dscount]])*Table23[[#This Row],[Quantity]]</f>
        <v>53.927999999999997</v>
      </c>
      <c r="K340" s="8">
        <v>24.067999999999998</v>
      </c>
      <c r="L340" s="8">
        <f>Table23[[#This Row],[Revenue]]-Table23[[#This Row],[Total Cost]]</f>
        <v>29.86</v>
      </c>
      <c r="M340" s="16">
        <f>(Table23[[#This Row],[Profit]]/Table23[[#This Row],[Revenue]])</f>
        <v>0.55370123127132476</v>
      </c>
      <c r="N340" t="s">
        <v>33</v>
      </c>
    </row>
    <row r="341" spans="1:14" x14ac:dyDescent="0.25">
      <c r="A341" s="11" t="s">
        <v>638</v>
      </c>
      <c r="B341" s="6">
        <v>45658</v>
      </c>
      <c r="C341" s="11" t="s">
        <v>639</v>
      </c>
      <c r="D341" s="11" t="s">
        <v>14</v>
      </c>
      <c r="E341" s="11" t="s">
        <v>483</v>
      </c>
      <c r="F341" s="11" t="s">
        <v>480</v>
      </c>
      <c r="G341" s="7">
        <v>1</v>
      </c>
      <c r="H341" s="8">
        <v>74.930000000000007</v>
      </c>
      <c r="I341" s="13">
        <v>0.25</v>
      </c>
      <c r="J341" s="8">
        <f>(Table23[[#This Row],[Quantity]]*Table23[[#This Row],[Unit Price]])-(Table23[[#This Row],[Unit Price]]*Table23[[#This Row],[Dscount]])*Table23[[#This Row],[Quantity]]</f>
        <v>56.197500000000005</v>
      </c>
      <c r="K341" s="8">
        <v>26.457500000000007</v>
      </c>
      <c r="L341" s="8">
        <f>Table23[[#This Row],[Revenue]]-Table23[[#This Row],[Total Cost]]</f>
        <v>29.74</v>
      </c>
      <c r="M341" s="16">
        <f>(Table23[[#This Row],[Profit]]/Table23[[#This Row],[Revenue]])</f>
        <v>0.52920503581120149</v>
      </c>
      <c r="N341" t="s">
        <v>17</v>
      </c>
    </row>
    <row r="342" spans="1:14" x14ac:dyDescent="0.25">
      <c r="A342" s="11" t="s">
        <v>1031</v>
      </c>
      <c r="B342" s="6">
        <v>45584</v>
      </c>
      <c r="C342" s="11" t="s">
        <v>525</v>
      </c>
      <c r="D342" s="11" t="s">
        <v>31</v>
      </c>
      <c r="E342" s="11" t="s">
        <v>832</v>
      </c>
      <c r="F342" s="11" t="s">
        <v>833</v>
      </c>
      <c r="G342" s="7">
        <v>4</v>
      </c>
      <c r="H342" s="8">
        <v>60.24</v>
      </c>
      <c r="I342" s="13">
        <v>0.25</v>
      </c>
      <c r="J342" s="8">
        <f>(Table23[[#This Row],[Quantity]]*Table23[[#This Row],[Unit Price]])-(Table23[[#This Row],[Unit Price]]*Table23[[#This Row],[Dscount]])*Table23[[#This Row],[Quantity]]</f>
        <v>180.72</v>
      </c>
      <c r="K342" s="8">
        <v>151.04</v>
      </c>
      <c r="L342" s="8">
        <f>Table23[[#This Row],[Revenue]]-Table23[[#This Row],[Total Cost]]</f>
        <v>29.680000000000007</v>
      </c>
      <c r="M342" s="16">
        <f>(Table23[[#This Row],[Profit]]/Table23[[#This Row],[Revenue]])</f>
        <v>0.16423196104471008</v>
      </c>
      <c r="N342" t="s">
        <v>17</v>
      </c>
    </row>
    <row r="343" spans="1:14" x14ac:dyDescent="0.25">
      <c r="A343" s="11" t="s">
        <v>1695</v>
      </c>
      <c r="B343" s="6">
        <v>45570</v>
      </c>
      <c r="C343" s="11" t="s">
        <v>660</v>
      </c>
      <c r="D343" s="11" t="s">
        <v>20</v>
      </c>
      <c r="E343" s="11" t="s">
        <v>1422</v>
      </c>
      <c r="F343" s="11" t="s">
        <v>1417</v>
      </c>
      <c r="G343" s="7">
        <v>2</v>
      </c>
      <c r="H343" s="8">
        <v>45.45</v>
      </c>
      <c r="I343" s="13">
        <v>0</v>
      </c>
      <c r="J343" s="8">
        <f>(Table23[[#This Row],[Quantity]]*Table23[[#This Row],[Unit Price]])-(Table23[[#This Row],[Unit Price]]*Table23[[#This Row],[Dscount]])*Table23[[#This Row],[Quantity]]</f>
        <v>90.9</v>
      </c>
      <c r="K343" s="8">
        <v>61.31</v>
      </c>
      <c r="L343" s="8">
        <f>Table23[[#This Row],[Revenue]]-Table23[[#This Row],[Total Cost]]</f>
        <v>29.590000000000003</v>
      </c>
      <c r="M343" s="16">
        <f>(Table23[[#This Row],[Profit]]/Table23[[#This Row],[Revenue]])</f>
        <v>0.32552255225522553</v>
      </c>
      <c r="N343" t="s">
        <v>33</v>
      </c>
    </row>
    <row r="344" spans="1:14" x14ac:dyDescent="0.25">
      <c r="A344" s="11" t="s">
        <v>310</v>
      </c>
      <c r="B344" s="6">
        <v>45830</v>
      </c>
      <c r="C344" s="11" t="s">
        <v>311</v>
      </c>
      <c r="D344" s="11" t="s">
        <v>20</v>
      </c>
      <c r="E344" s="11" t="s">
        <v>28</v>
      </c>
      <c r="F344" s="11" t="s">
        <v>16</v>
      </c>
      <c r="G344" s="7">
        <v>2</v>
      </c>
      <c r="H344" s="8">
        <v>36.299999999999997</v>
      </c>
      <c r="I344" s="13">
        <v>0</v>
      </c>
      <c r="J344" s="8">
        <f>(Table23[[#This Row],[Quantity]]*Table23[[#This Row],[Unit Price]])-(Table23[[#This Row],[Unit Price]]*Table23[[#This Row],[Dscount]])*Table23[[#This Row],[Quantity]]</f>
        <v>72.599999999999994</v>
      </c>
      <c r="K344" s="8">
        <v>43.11999999999999</v>
      </c>
      <c r="L344" s="8">
        <f>Table23[[#This Row],[Revenue]]-Table23[[#This Row],[Total Cost]]</f>
        <v>29.480000000000004</v>
      </c>
      <c r="M344" s="16">
        <f>(Table23[[#This Row],[Profit]]/Table23[[#This Row],[Revenue]])</f>
        <v>0.40606060606060612</v>
      </c>
      <c r="N344" t="s">
        <v>33</v>
      </c>
    </row>
    <row r="345" spans="1:14" x14ac:dyDescent="0.25">
      <c r="A345" s="11" t="s">
        <v>1693</v>
      </c>
      <c r="B345" s="6">
        <v>46000</v>
      </c>
      <c r="C345" s="11" t="s">
        <v>1694</v>
      </c>
      <c r="D345" s="11" t="s">
        <v>20</v>
      </c>
      <c r="E345" s="11" t="s">
        <v>1422</v>
      </c>
      <c r="F345" s="11" t="s">
        <v>1417</v>
      </c>
      <c r="G345" s="7">
        <v>3</v>
      </c>
      <c r="H345" s="8">
        <v>44.99</v>
      </c>
      <c r="I345" s="13">
        <v>0.1</v>
      </c>
      <c r="J345" s="8">
        <f>(Table23[[#This Row],[Quantity]]*Table23[[#This Row],[Unit Price]])-(Table23[[#This Row],[Unit Price]]*Table23[[#This Row],[Dscount]])*Table23[[#This Row],[Quantity]]</f>
        <v>121.473</v>
      </c>
      <c r="K345" s="8">
        <v>92.182999999999993</v>
      </c>
      <c r="L345" s="8">
        <f>Table23[[#This Row],[Revenue]]-Table23[[#This Row],[Total Cost]]</f>
        <v>29.290000000000006</v>
      </c>
      <c r="M345" s="16">
        <f>(Table23[[#This Row],[Profit]]/Table23[[#This Row],[Revenue]])</f>
        <v>0.24112354185703824</v>
      </c>
      <c r="N345" t="s">
        <v>33</v>
      </c>
    </row>
    <row r="346" spans="1:14" x14ac:dyDescent="0.25">
      <c r="A346" s="11" t="s">
        <v>1331</v>
      </c>
      <c r="B346" s="6">
        <v>45410</v>
      </c>
      <c r="C346" s="11" t="s">
        <v>1332</v>
      </c>
      <c r="D346" s="11" t="s">
        <v>20</v>
      </c>
      <c r="E346" s="11" t="s">
        <v>1111</v>
      </c>
      <c r="F346" s="11" t="s">
        <v>1112</v>
      </c>
      <c r="G346" s="7">
        <v>3</v>
      </c>
      <c r="H346" s="8">
        <v>25.92</v>
      </c>
      <c r="I346" s="13">
        <v>0.05</v>
      </c>
      <c r="J346" s="8">
        <f>(Table23[[#This Row],[Quantity]]*Table23[[#This Row],[Unit Price]])-(Table23[[#This Row],[Unit Price]]*Table23[[#This Row],[Dscount]])*Table23[[#This Row],[Quantity]]</f>
        <v>73.872</v>
      </c>
      <c r="K346" s="8">
        <v>44.712000000000003</v>
      </c>
      <c r="L346" s="8">
        <f>Table23[[#This Row],[Revenue]]-Table23[[#This Row],[Total Cost]]</f>
        <v>29.159999999999997</v>
      </c>
      <c r="M346" s="16">
        <f>(Table23[[#This Row],[Profit]]/Table23[[#This Row],[Revenue]])</f>
        <v>0.39473684210526311</v>
      </c>
      <c r="N346" t="s">
        <v>17</v>
      </c>
    </row>
    <row r="347" spans="1:14" x14ac:dyDescent="0.25">
      <c r="A347" s="11" t="s">
        <v>1030</v>
      </c>
      <c r="B347" s="6">
        <v>45518</v>
      </c>
      <c r="C347" s="11" t="s">
        <v>374</v>
      </c>
      <c r="D347" s="11" t="s">
        <v>36</v>
      </c>
      <c r="E347" s="11" t="s">
        <v>835</v>
      </c>
      <c r="F347" s="11" t="s">
        <v>833</v>
      </c>
      <c r="G347" s="7">
        <v>2</v>
      </c>
      <c r="H347" s="8">
        <v>65.34</v>
      </c>
      <c r="I347" s="13">
        <v>0.05</v>
      </c>
      <c r="J347" s="8">
        <f>(Table23[[#This Row],[Quantity]]*Table23[[#This Row],[Unit Price]])-(Table23[[#This Row],[Unit Price]]*Table23[[#This Row],[Dscount]])*Table23[[#This Row],[Quantity]]</f>
        <v>124.146</v>
      </c>
      <c r="K347" s="8">
        <v>95.025999999999996</v>
      </c>
      <c r="L347" s="8">
        <f>Table23[[#This Row],[Revenue]]-Table23[[#This Row],[Total Cost]]</f>
        <v>29.120000000000005</v>
      </c>
      <c r="M347" s="16">
        <f>(Table23[[#This Row],[Profit]]/Table23[[#This Row],[Revenue]])</f>
        <v>0.23456253121324896</v>
      </c>
      <c r="N347" t="s">
        <v>17</v>
      </c>
    </row>
    <row r="348" spans="1:14" x14ac:dyDescent="0.25">
      <c r="A348" s="11" t="s">
        <v>308</v>
      </c>
      <c r="B348" s="6">
        <v>45954</v>
      </c>
      <c r="C348" s="11" t="s">
        <v>309</v>
      </c>
      <c r="D348" s="11" t="s">
        <v>20</v>
      </c>
      <c r="E348" s="11" t="s">
        <v>68</v>
      </c>
      <c r="F348" s="11" t="s">
        <v>16</v>
      </c>
      <c r="G348" s="7">
        <v>2</v>
      </c>
      <c r="H348" s="8">
        <v>27.71</v>
      </c>
      <c r="I348" s="13">
        <v>0</v>
      </c>
      <c r="J348" s="8">
        <f>(Table23[[#This Row],[Quantity]]*Table23[[#This Row],[Unit Price]])-(Table23[[#This Row],[Unit Price]]*Table23[[#This Row],[Dscount]])*Table23[[#This Row],[Quantity]]</f>
        <v>55.42</v>
      </c>
      <c r="K348" s="8">
        <v>26.340000000000003</v>
      </c>
      <c r="L348" s="8">
        <f>Table23[[#This Row],[Revenue]]-Table23[[#This Row],[Total Cost]]</f>
        <v>29.08</v>
      </c>
      <c r="M348" s="16">
        <f>(Table23[[#This Row],[Profit]]/Table23[[#This Row],[Revenue]])</f>
        <v>0.52472031757488269</v>
      </c>
      <c r="N348" t="s">
        <v>17</v>
      </c>
    </row>
    <row r="349" spans="1:14" x14ac:dyDescent="0.25">
      <c r="A349" s="11" t="s">
        <v>636</v>
      </c>
      <c r="B349" s="6">
        <v>45618</v>
      </c>
      <c r="C349" s="11" t="s">
        <v>637</v>
      </c>
      <c r="D349" s="11" t="s">
        <v>31</v>
      </c>
      <c r="E349" s="11" t="s">
        <v>483</v>
      </c>
      <c r="F349" s="11" t="s">
        <v>480</v>
      </c>
      <c r="G349" s="7">
        <v>1</v>
      </c>
      <c r="H349" s="8">
        <v>57.01</v>
      </c>
      <c r="I349" s="13">
        <v>0.05</v>
      </c>
      <c r="J349" s="8">
        <f>(Table23[[#This Row],[Quantity]]*Table23[[#This Row],[Unit Price]])-(Table23[[#This Row],[Unit Price]]*Table23[[#This Row],[Dscount]])*Table23[[#This Row],[Quantity]]</f>
        <v>54.159499999999994</v>
      </c>
      <c r="K349" s="8">
        <v>25.079499999999996</v>
      </c>
      <c r="L349" s="8">
        <f>Table23[[#This Row],[Revenue]]-Table23[[#This Row],[Total Cost]]</f>
        <v>29.08</v>
      </c>
      <c r="M349" s="16">
        <f>(Table23[[#This Row],[Profit]]/Table23[[#This Row],[Revenue]])</f>
        <v>0.53693257877196066</v>
      </c>
      <c r="N349" t="s">
        <v>33</v>
      </c>
    </row>
    <row r="350" spans="1:14" x14ac:dyDescent="0.25">
      <c r="A350" s="11" t="s">
        <v>306</v>
      </c>
      <c r="B350" s="6">
        <v>45863</v>
      </c>
      <c r="C350" s="11" t="s">
        <v>307</v>
      </c>
      <c r="D350" s="11" t="s">
        <v>20</v>
      </c>
      <c r="E350" s="11" t="s">
        <v>15</v>
      </c>
      <c r="F350" s="11" t="s">
        <v>16</v>
      </c>
      <c r="G350" s="7">
        <v>2</v>
      </c>
      <c r="H350" s="8">
        <v>29.3</v>
      </c>
      <c r="I350" s="13">
        <v>0.2</v>
      </c>
      <c r="J350" s="8">
        <f>(Table23[[#This Row],[Quantity]]*Table23[[#This Row],[Unit Price]])-(Table23[[#This Row],[Unit Price]]*Table23[[#This Row],[Dscount]])*Table23[[#This Row],[Quantity]]</f>
        <v>46.88</v>
      </c>
      <c r="K350" s="8">
        <v>17.830000000000002</v>
      </c>
      <c r="L350" s="8">
        <f>Table23[[#This Row],[Revenue]]-Table23[[#This Row],[Total Cost]]</f>
        <v>29.05</v>
      </c>
      <c r="M350" s="16">
        <f>(Table23[[#This Row],[Profit]]/Table23[[#This Row],[Revenue]])</f>
        <v>0.61966723549488056</v>
      </c>
      <c r="N350" t="s">
        <v>33</v>
      </c>
    </row>
    <row r="351" spans="1:14" x14ac:dyDescent="0.25">
      <c r="A351" s="11" t="s">
        <v>634</v>
      </c>
      <c r="B351" s="6">
        <v>45990</v>
      </c>
      <c r="C351" s="11" t="s">
        <v>635</v>
      </c>
      <c r="D351" s="11" t="s">
        <v>14</v>
      </c>
      <c r="E351" s="11" t="s">
        <v>486</v>
      </c>
      <c r="F351" s="11" t="s">
        <v>480</v>
      </c>
      <c r="G351" s="7">
        <v>2</v>
      </c>
      <c r="H351" s="8">
        <v>48.93</v>
      </c>
      <c r="I351" s="13">
        <v>0.25</v>
      </c>
      <c r="J351" s="8">
        <f>(Table23[[#This Row],[Quantity]]*Table23[[#This Row],[Unit Price]])-(Table23[[#This Row],[Unit Price]]*Table23[[#This Row],[Dscount]])*Table23[[#This Row],[Quantity]]</f>
        <v>73.394999999999996</v>
      </c>
      <c r="K351" s="8">
        <v>44.454999999999998</v>
      </c>
      <c r="L351" s="8">
        <f>Table23[[#This Row],[Revenue]]-Table23[[#This Row],[Total Cost]]</f>
        <v>28.939999999999998</v>
      </c>
      <c r="M351" s="16">
        <f>(Table23[[#This Row],[Profit]]/Table23[[#This Row],[Revenue]])</f>
        <v>0.39430478915457456</v>
      </c>
      <c r="N351" t="s">
        <v>17</v>
      </c>
    </row>
    <row r="352" spans="1:14" x14ac:dyDescent="0.25">
      <c r="A352" s="11" t="s">
        <v>304</v>
      </c>
      <c r="B352" s="6">
        <v>45693</v>
      </c>
      <c r="C352" s="11" t="s">
        <v>305</v>
      </c>
      <c r="D352" s="11" t="s">
        <v>24</v>
      </c>
      <c r="E352" s="11" t="s">
        <v>32</v>
      </c>
      <c r="F352" s="11" t="s">
        <v>16</v>
      </c>
      <c r="G352" s="7">
        <v>3</v>
      </c>
      <c r="H352" s="8">
        <v>20.82</v>
      </c>
      <c r="I352" s="13">
        <v>0.1</v>
      </c>
      <c r="J352" s="8">
        <f>(Table23[[#This Row],[Quantity]]*Table23[[#This Row],[Unit Price]])-(Table23[[#This Row],[Unit Price]]*Table23[[#This Row],[Dscount]])*Table23[[#This Row],[Quantity]]</f>
        <v>56.213999999999999</v>
      </c>
      <c r="K352" s="8">
        <v>27.293999999999997</v>
      </c>
      <c r="L352" s="8">
        <f>Table23[[#This Row],[Revenue]]-Table23[[#This Row],[Total Cost]]</f>
        <v>28.92</v>
      </c>
      <c r="M352" s="16">
        <f>(Table23[[#This Row],[Profit]]/Table23[[#This Row],[Revenue]])</f>
        <v>0.51446258939054335</v>
      </c>
      <c r="N352" t="s">
        <v>33</v>
      </c>
    </row>
    <row r="353" spans="1:14" x14ac:dyDescent="0.25">
      <c r="A353" s="11" t="s">
        <v>1028</v>
      </c>
      <c r="B353" s="6">
        <v>45451</v>
      </c>
      <c r="C353" s="11" t="s">
        <v>1029</v>
      </c>
      <c r="D353" s="11" t="s">
        <v>14</v>
      </c>
      <c r="E353" s="11" t="s">
        <v>837</v>
      </c>
      <c r="F353" s="11" t="s">
        <v>833</v>
      </c>
      <c r="G353" s="7">
        <v>2</v>
      </c>
      <c r="H353" s="8">
        <v>100.54</v>
      </c>
      <c r="I353" s="13">
        <v>0.2</v>
      </c>
      <c r="J353" s="8">
        <f>(Table23[[#This Row],[Quantity]]*Table23[[#This Row],[Unit Price]])-(Table23[[#This Row],[Unit Price]]*Table23[[#This Row],[Dscount]])*Table23[[#This Row],[Quantity]]</f>
        <v>160.864</v>
      </c>
      <c r="K353" s="8">
        <v>131.95400000000001</v>
      </c>
      <c r="L353" s="8">
        <f>Table23[[#This Row],[Revenue]]-Table23[[#This Row],[Total Cost]]</f>
        <v>28.909999999999997</v>
      </c>
      <c r="M353" s="16">
        <f>(Table23[[#This Row],[Profit]]/Table23[[#This Row],[Revenue]])</f>
        <v>0.17971702804853787</v>
      </c>
      <c r="N353" t="s">
        <v>33</v>
      </c>
    </row>
    <row r="354" spans="1:14" x14ac:dyDescent="0.25">
      <c r="A354" s="11" t="s">
        <v>633</v>
      </c>
      <c r="B354" s="6">
        <v>45444</v>
      </c>
      <c r="C354" s="11" t="s">
        <v>618</v>
      </c>
      <c r="D354" s="11" t="s">
        <v>36</v>
      </c>
      <c r="E354" s="11" t="s">
        <v>496</v>
      </c>
      <c r="F354" s="11" t="s">
        <v>480</v>
      </c>
      <c r="G354" s="7">
        <v>1</v>
      </c>
      <c r="H354" s="8">
        <v>77.89</v>
      </c>
      <c r="I354" s="13">
        <v>0.1</v>
      </c>
      <c r="J354" s="8">
        <f>(Table23[[#This Row],[Quantity]]*Table23[[#This Row],[Unit Price]])-(Table23[[#This Row],[Unit Price]]*Table23[[#This Row],[Dscount]])*Table23[[#This Row],[Quantity]]</f>
        <v>70.100999999999999</v>
      </c>
      <c r="K354" s="8">
        <v>41.221000000000004</v>
      </c>
      <c r="L354" s="8">
        <f>Table23[[#This Row],[Revenue]]-Table23[[#This Row],[Total Cost]]</f>
        <v>28.879999999999995</v>
      </c>
      <c r="M354" s="16">
        <f>(Table23[[#This Row],[Profit]]/Table23[[#This Row],[Revenue]])</f>
        <v>0.41197700460763748</v>
      </c>
      <c r="N354" t="s">
        <v>17</v>
      </c>
    </row>
    <row r="355" spans="1:14" x14ac:dyDescent="0.25">
      <c r="A355" s="11" t="s">
        <v>1329</v>
      </c>
      <c r="B355" s="6">
        <v>45596</v>
      </c>
      <c r="C355" s="11" t="s">
        <v>1330</v>
      </c>
      <c r="D355" s="11" t="s">
        <v>31</v>
      </c>
      <c r="E355" s="11" t="s">
        <v>1111</v>
      </c>
      <c r="F355" s="11" t="s">
        <v>1112</v>
      </c>
      <c r="G355" s="7">
        <v>5</v>
      </c>
      <c r="H355" s="8">
        <v>16.760000000000002</v>
      </c>
      <c r="I355" s="13">
        <v>0.05</v>
      </c>
      <c r="J355" s="8">
        <f>(Table23[[#This Row],[Quantity]]*Table23[[#This Row],[Unit Price]])-(Table23[[#This Row],[Unit Price]]*Table23[[#This Row],[Dscount]])*Table23[[#This Row],[Quantity]]</f>
        <v>79.610000000000014</v>
      </c>
      <c r="K355" s="8">
        <v>50.750000000000014</v>
      </c>
      <c r="L355" s="8">
        <f>Table23[[#This Row],[Revenue]]-Table23[[#This Row],[Total Cost]]</f>
        <v>28.86</v>
      </c>
      <c r="M355" s="16">
        <f>(Table23[[#This Row],[Profit]]/Table23[[#This Row],[Revenue]])</f>
        <v>0.36251727169953518</v>
      </c>
      <c r="N355" t="s">
        <v>33</v>
      </c>
    </row>
    <row r="356" spans="1:14" x14ac:dyDescent="0.25">
      <c r="A356" s="11" t="s">
        <v>631</v>
      </c>
      <c r="B356" s="6">
        <v>45687</v>
      </c>
      <c r="C356" s="11" t="s">
        <v>632</v>
      </c>
      <c r="D356" s="11" t="s">
        <v>24</v>
      </c>
      <c r="E356" s="11" t="s">
        <v>500</v>
      </c>
      <c r="F356" s="11" t="s">
        <v>480</v>
      </c>
      <c r="G356" s="7">
        <v>1</v>
      </c>
      <c r="H356" s="8">
        <v>80.819999999999993</v>
      </c>
      <c r="I356" s="13">
        <v>0.05</v>
      </c>
      <c r="J356" s="8">
        <f>(Table23[[#This Row],[Quantity]]*Table23[[#This Row],[Unit Price]])-(Table23[[#This Row],[Unit Price]]*Table23[[#This Row],[Dscount]])*Table23[[#This Row],[Quantity]]</f>
        <v>76.778999999999996</v>
      </c>
      <c r="K356" s="8">
        <v>47.928999999999995</v>
      </c>
      <c r="L356" s="8">
        <f>Table23[[#This Row],[Revenue]]-Table23[[#This Row],[Total Cost]]</f>
        <v>28.85</v>
      </c>
      <c r="M356" s="16">
        <f>(Table23[[#This Row],[Profit]]/Table23[[#This Row],[Revenue]])</f>
        <v>0.37575378684275651</v>
      </c>
      <c r="N356" t="s">
        <v>17</v>
      </c>
    </row>
    <row r="357" spans="1:14" x14ac:dyDescent="0.25">
      <c r="A357" s="11" t="s">
        <v>1027</v>
      </c>
      <c r="B357" s="6">
        <v>45308</v>
      </c>
      <c r="C357" s="11" t="s">
        <v>295</v>
      </c>
      <c r="D357" s="11" t="s">
        <v>36</v>
      </c>
      <c r="E357" s="11" t="s">
        <v>860</v>
      </c>
      <c r="F357" s="11" t="s">
        <v>833</v>
      </c>
      <c r="G357" s="7">
        <v>1</v>
      </c>
      <c r="H357" s="8">
        <v>139.68</v>
      </c>
      <c r="I357" s="13">
        <v>0</v>
      </c>
      <c r="J357" s="8">
        <f>(Table23[[#This Row],[Quantity]]*Table23[[#This Row],[Unit Price]])-(Table23[[#This Row],[Unit Price]]*Table23[[#This Row],[Dscount]])*Table23[[#This Row],[Quantity]]</f>
        <v>139.68</v>
      </c>
      <c r="K357" s="8">
        <v>110.89000000000001</v>
      </c>
      <c r="L357" s="8">
        <f>Table23[[#This Row],[Revenue]]-Table23[[#This Row],[Total Cost]]</f>
        <v>28.789999999999992</v>
      </c>
      <c r="M357" s="16">
        <f>(Table23[[#This Row],[Profit]]/Table23[[#This Row],[Revenue]])</f>
        <v>0.20611397479954174</v>
      </c>
      <c r="N357" t="s">
        <v>33</v>
      </c>
    </row>
    <row r="358" spans="1:14" x14ac:dyDescent="0.25">
      <c r="A358" s="11" t="s">
        <v>1691</v>
      </c>
      <c r="B358" s="6">
        <v>45413</v>
      </c>
      <c r="C358" s="11" t="s">
        <v>1692</v>
      </c>
      <c r="D358" s="11" t="s">
        <v>14</v>
      </c>
      <c r="E358" s="11" t="s">
        <v>1478</v>
      </c>
      <c r="F358" s="11" t="s">
        <v>1417</v>
      </c>
      <c r="G358" s="7">
        <v>3</v>
      </c>
      <c r="H358" s="8">
        <v>36</v>
      </c>
      <c r="I358" s="13">
        <v>0</v>
      </c>
      <c r="J358" s="8">
        <f>(Table23[[#This Row],[Quantity]]*Table23[[#This Row],[Unit Price]])-(Table23[[#This Row],[Unit Price]]*Table23[[#This Row],[Dscount]])*Table23[[#This Row],[Quantity]]</f>
        <v>108</v>
      </c>
      <c r="K358" s="8">
        <v>79.210000000000008</v>
      </c>
      <c r="L358" s="8">
        <f>Table23[[#This Row],[Revenue]]-Table23[[#This Row],[Total Cost]]</f>
        <v>28.789999999999992</v>
      </c>
      <c r="M358" s="16">
        <f>(Table23[[#This Row],[Profit]]/Table23[[#This Row],[Revenue]])</f>
        <v>0.26657407407407402</v>
      </c>
      <c r="N358" t="s">
        <v>48</v>
      </c>
    </row>
    <row r="359" spans="1:14" x14ac:dyDescent="0.25">
      <c r="A359" s="11" t="s">
        <v>1327</v>
      </c>
      <c r="B359" s="6">
        <v>45632</v>
      </c>
      <c r="C359" s="11" t="s">
        <v>1328</v>
      </c>
      <c r="D359" s="11" t="s">
        <v>20</v>
      </c>
      <c r="E359" s="11" t="s">
        <v>1114</v>
      </c>
      <c r="F359" s="11" t="s">
        <v>1112</v>
      </c>
      <c r="G359" s="7">
        <v>2</v>
      </c>
      <c r="H359" s="8">
        <v>38.24</v>
      </c>
      <c r="I359" s="13">
        <v>0.05</v>
      </c>
      <c r="J359" s="8">
        <f>(Table23[[#This Row],[Quantity]]*Table23[[#This Row],[Unit Price]])-(Table23[[#This Row],[Unit Price]]*Table23[[#This Row],[Dscount]])*Table23[[#This Row],[Quantity]]</f>
        <v>72.656000000000006</v>
      </c>
      <c r="K359" s="8">
        <v>43.876000000000005</v>
      </c>
      <c r="L359" s="8">
        <f>Table23[[#This Row],[Revenue]]-Table23[[#This Row],[Total Cost]]</f>
        <v>28.78</v>
      </c>
      <c r="M359" s="16">
        <f>(Table23[[#This Row],[Profit]]/Table23[[#This Row],[Revenue]])</f>
        <v>0.39611319092710856</v>
      </c>
      <c r="N359" t="s">
        <v>33</v>
      </c>
    </row>
    <row r="360" spans="1:14" x14ac:dyDescent="0.25">
      <c r="A360" s="11" t="s">
        <v>1690</v>
      </c>
      <c r="B360" s="6">
        <v>45994</v>
      </c>
      <c r="C360" s="11" t="s">
        <v>945</v>
      </c>
      <c r="D360" s="11" t="s">
        <v>14</v>
      </c>
      <c r="E360" s="11" t="s">
        <v>1478</v>
      </c>
      <c r="F360" s="11" t="s">
        <v>1417</v>
      </c>
      <c r="G360" s="7">
        <v>2</v>
      </c>
      <c r="H360" s="8">
        <v>52.33</v>
      </c>
      <c r="I360" s="13">
        <v>0.15</v>
      </c>
      <c r="J360" s="8">
        <f>(Table23[[#This Row],[Quantity]]*Table23[[#This Row],[Unit Price]])-(Table23[[#This Row],[Unit Price]]*Table23[[#This Row],[Dscount]])*Table23[[#This Row],[Quantity]]</f>
        <v>88.960999999999999</v>
      </c>
      <c r="K360" s="8">
        <v>60.430999999999997</v>
      </c>
      <c r="L360" s="8">
        <f>Table23[[#This Row],[Revenue]]-Table23[[#This Row],[Total Cost]]</f>
        <v>28.53</v>
      </c>
      <c r="M360" s="16">
        <f>(Table23[[#This Row],[Profit]]/Table23[[#This Row],[Revenue]])</f>
        <v>0.32070233023459721</v>
      </c>
      <c r="N360" t="s">
        <v>33</v>
      </c>
    </row>
    <row r="361" spans="1:14" x14ac:dyDescent="0.25">
      <c r="A361" s="11" t="s">
        <v>302</v>
      </c>
      <c r="B361" s="6">
        <v>45641</v>
      </c>
      <c r="C361" s="11" t="s">
        <v>303</v>
      </c>
      <c r="D361" s="11" t="s">
        <v>36</v>
      </c>
      <c r="E361" s="11" t="s">
        <v>25</v>
      </c>
      <c r="F361" s="11" t="s">
        <v>16</v>
      </c>
      <c r="G361" s="7">
        <v>3</v>
      </c>
      <c r="H361" s="8">
        <v>15.92</v>
      </c>
      <c r="I361" s="13">
        <v>0.05</v>
      </c>
      <c r="J361" s="8">
        <f>(Table23[[#This Row],[Quantity]]*Table23[[#This Row],[Unit Price]])-(Table23[[#This Row],[Unit Price]]*Table23[[#This Row],[Dscount]])*Table23[[#This Row],[Quantity]]</f>
        <v>45.372</v>
      </c>
      <c r="K361" s="8">
        <v>16.872</v>
      </c>
      <c r="L361" s="8">
        <f>Table23[[#This Row],[Revenue]]-Table23[[#This Row],[Total Cost]]</f>
        <v>28.5</v>
      </c>
      <c r="M361" s="16">
        <f>(Table23[[#This Row],[Profit]]/Table23[[#This Row],[Revenue]])</f>
        <v>0.62814070351758799</v>
      </c>
      <c r="N361" t="s">
        <v>17</v>
      </c>
    </row>
    <row r="362" spans="1:14" x14ac:dyDescent="0.25">
      <c r="A362" s="11" t="s">
        <v>300</v>
      </c>
      <c r="B362" s="6">
        <v>45492</v>
      </c>
      <c r="C362" s="11" t="s">
        <v>301</v>
      </c>
      <c r="D362" s="11" t="s">
        <v>14</v>
      </c>
      <c r="E362" s="11" t="s">
        <v>44</v>
      </c>
      <c r="F362" s="11" t="s">
        <v>16</v>
      </c>
      <c r="G362" s="7">
        <v>2</v>
      </c>
      <c r="H362" s="8">
        <v>31.62</v>
      </c>
      <c r="I362" s="13">
        <v>0.25</v>
      </c>
      <c r="J362" s="8">
        <f>(Table23[[#This Row],[Quantity]]*Table23[[#This Row],[Unit Price]])-(Table23[[#This Row],[Unit Price]]*Table23[[#This Row],[Dscount]])*Table23[[#This Row],[Quantity]]</f>
        <v>47.43</v>
      </c>
      <c r="K362" s="8">
        <v>19.02</v>
      </c>
      <c r="L362" s="8">
        <f>Table23[[#This Row],[Revenue]]-Table23[[#This Row],[Total Cost]]</f>
        <v>28.41</v>
      </c>
      <c r="M362" s="16">
        <f>(Table23[[#This Row],[Profit]]/Table23[[#This Row],[Revenue]])</f>
        <v>0.59898798228969008</v>
      </c>
      <c r="N362" t="s">
        <v>17</v>
      </c>
    </row>
    <row r="363" spans="1:14" x14ac:dyDescent="0.25">
      <c r="A363" s="11" t="s">
        <v>1689</v>
      </c>
      <c r="B363" s="6">
        <v>45947</v>
      </c>
      <c r="C363" s="11" t="s">
        <v>116</v>
      </c>
      <c r="D363" s="11" t="s">
        <v>31</v>
      </c>
      <c r="E363" s="11" t="s">
        <v>1478</v>
      </c>
      <c r="F363" s="11" t="s">
        <v>1417</v>
      </c>
      <c r="G363" s="7">
        <v>2</v>
      </c>
      <c r="H363" s="8">
        <v>48.08</v>
      </c>
      <c r="I363" s="13">
        <v>0.15</v>
      </c>
      <c r="J363" s="8">
        <f>(Table23[[#This Row],[Quantity]]*Table23[[#This Row],[Unit Price]])-(Table23[[#This Row],[Unit Price]]*Table23[[#This Row],[Dscount]])*Table23[[#This Row],[Quantity]]</f>
        <v>81.73599999999999</v>
      </c>
      <c r="K363" s="8">
        <v>53.375999999999991</v>
      </c>
      <c r="L363" s="8">
        <f>Table23[[#This Row],[Revenue]]-Table23[[#This Row],[Total Cost]]</f>
        <v>28.36</v>
      </c>
      <c r="M363" s="16">
        <f>(Table23[[#This Row],[Profit]]/Table23[[#This Row],[Revenue]])</f>
        <v>0.34697073504942744</v>
      </c>
      <c r="N363" t="s">
        <v>48</v>
      </c>
    </row>
    <row r="364" spans="1:14" x14ac:dyDescent="0.25">
      <c r="A364" s="11" t="s">
        <v>629</v>
      </c>
      <c r="B364" s="6">
        <v>45402</v>
      </c>
      <c r="C364" s="11" t="s">
        <v>630</v>
      </c>
      <c r="D364" s="11" t="s">
        <v>36</v>
      </c>
      <c r="E364" s="11" t="s">
        <v>500</v>
      </c>
      <c r="F364" s="11" t="s">
        <v>480</v>
      </c>
      <c r="G364" s="7">
        <v>1</v>
      </c>
      <c r="H364" s="8">
        <v>75.39</v>
      </c>
      <c r="I364" s="13">
        <v>0.25</v>
      </c>
      <c r="J364" s="8">
        <f>(Table23[[#This Row],[Quantity]]*Table23[[#This Row],[Unit Price]])-(Table23[[#This Row],[Unit Price]]*Table23[[#This Row],[Dscount]])*Table23[[#This Row],[Quantity]]</f>
        <v>56.542500000000004</v>
      </c>
      <c r="K364" s="8">
        <v>28.252500000000005</v>
      </c>
      <c r="L364" s="8">
        <f>Table23[[#This Row],[Revenue]]-Table23[[#This Row],[Total Cost]]</f>
        <v>28.29</v>
      </c>
      <c r="M364" s="16">
        <f>(Table23[[#This Row],[Profit]]/Table23[[#This Row],[Revenue]])</f>
        <v>0.50033160896670636</v>
      </c>
      <c r="N364" t="s">
        <v>33</v>
      </c>
    </row>
    <row r="365" spans="1:14" x14ac:dyDescent="0.25">
      <c r="A365" s="11" t="s">
        <v>1026</v>
      </c>
      <c r="B365" s="6">
        <v>45454</v>
      </c>
      <c r="C365" s="11" t="s">
        <v>176</v>
      </c>
      <c r="D365" s="11" t="s">
        <v>36</v>
      </c>
      <c r="E365" s="11" t="s">
        <v>846</v>
      </c>
      <c r="F365" s="11" t="s">
        <v>833</v>
      </c>
      <c r="G365" s="7">
        <v>3</v>
      </c>
      <c r="H365" s="8">
        <v>59.34</v>
      </c>
      <c r="I365" s="13">
        <v>0.1</v>
      </c>
      <c r="J365" s="8">
        <f>(Table23[[#This Row],[Quantity]]*Table23[[#This Row],[Unit Price]])-(Table23[[#This Row],[Unit Price]]*Table23[[#This Row],[Dscount]])*Table23[[#This Row],[Quantity]]</f>
        <v>160.21800000000002</v>
      </c>
      <c r="K365" s="8">
        <v>131.92800000000003</v>
      </c>
      <c r="L365" s="8">
        <f>Table23[[#This Row],[Revenue]]-Table23[[#This Row],[Total Cost]]</f>
        <v>28.289999999999992</v>
      </c>
      <c r="M365" s="16">
        <f>(Table23[[#This Row],[Profit]]/Table23[[#This Row],[Revenue]])</f>
        <v>0.17657192075796721</v>
      </c>
      <c r="N365" t="s">
        <v>33</v>
      </c>
    </row>
    <row r="366" spans="1:14" x14ac:dyDescent="0.25">
      <c r="A366" s="11" t="s">
        <v>1687</v>
      </c>
      <c r="B366" s="6">
        <v>45480</v>
      </c>
      <c r="C366" s="11" t="s">
        <v>1688</v>
      </c>
      <c r="D366" s="11" t="s">
        <v>24</v>
      </c>
      <c r="E366" s="11" t="s">
        <v>1422</v>
      </c>
      <c r="F366" s="11" t="s">
        <v>1417</v>
      </c>
      <c r="G366" s="7">
        <v>3</v>
      </c>
      <c r="H366" s="8">
        <v>35.979999999999997</v>
      </c>
      <c r="I366" s="13">
        <v>0.2</v>
      </c>
      <c r="J366" s="8">
        <f>(Table23[[#This Row],[Quantity]]*Table23[[#This Row],[Unit Price]])-(Table23[[#This Row],[Unit Price]]*Table23[[#This Row],[Dscount]])*Table23[[#This Row],[Quantity]]</f>
        <v>86.352000000000004</v>
      </c>
      <c r="K366" s="8">
        <v>58.132000000000005</v>
      </c>
      <c r="L366" s="8">
        <f>Table23[[#This Row],[Revenue]]-Table23[[#This Row],[Total Cost]]</f>
        <v>28.22</v>
      </c>
      <c r="M366" s="16">
        <f>(Table23[[#This Row],[Profit]]/Table23[[#This Row],[Revenue]])</f>
        <v>0.32680192699647947</v>
      </c>
      <c r="N366" t="s">
        <v>33</v>
      </c>
    </row>
    <row r="367" spans="1:14" x14ac:dyDescent="0.25">
      <c r="A367" s="11" t="s">
        <v>1326</v>
      </c>
      <c r="B367" s="6">
        <v>45761</v>
      </c>
      <c r="C367" s="11" t="s">
        <v>1239</v>
      </c>
      <c r="D367" s="11" t="s">
        <v>36</v>
      </c>
      <c r="E367" s="11" t="s">
        <v>1155</v>
      </c>
      <c r="F367" s="11" t="s">
        <v>1112</v>
      </c>
      <c r="G367" s="7">
        <v>1</v>
      </c>
      <c r="H367" s="8">
        <v>71.209999999999994</v>
      </c>
      <c r="I367" s="13">
        <v>0</v>
      </c>
      <c r="J367" s="8">
        <f>(Table23[[#This Row],[Quantity]]*Table23[[#This Row],[Unit Price]])-(Table23[[#This Row],[Unit Price]]*Table23[[#This Row],[Dscount]])*Table23[[#This Row],[Quantity]]</f>
        <v>71.209999999999994</v>
      </c>
      <c r="K367" s="8">
        <v>43.109999999999992</v>
      </c>
      <c r="L367" s="8">
        <f>Table23[[#This Row],[Revenue]]-Table23[[#This Row],[Total Cost]]</f>
        <v>28.1</v>
      </c>
      <c r="M367" s="16">
        <f>(Table23[[#This Row],[Profit]]/Table23[[#This Row],[Revenue]])</f>
        <v>0.39460749894677721</v>
      </c>
      <c r="N367" t="s">
        <v>33</v>
      </c>
    </row>
    <row r="368" spans="1:14" x14ac:dyDescent="0.25">
      <c r="A368" s="11" t="s">
        <v>627</v>
      </c>
      <c r="B368" s="6">
        <v>45714</v>
      </c>
      <c r="C368" s="11" t="s">
        <v>628</v>
      </c>
      <c r="D368" s="11" t="s">
        <v>24</v>
      </c>
      <c r="E368" s="11" t="s">
        <v>479</v>
      </c>
      <c r="F368" s="11" t="s">
        <v>480</v>
      </c>
      <c r="G368" s="7">
        <v>1</v>
      </c>
      <c r="H368" s="8">
        <v>83.69</v>
      </c>
      <c r="I368" s="13">
        <v>0.15</v>
      </c>
      <c r="J368" s="8">
        <f>(Table23[[#This Row],[Quantity]]*Table23[[#This Row],[Unit Price]])-(Table23[[#This Row],[Unit Price]]*Table23[[#This Row],[Dscount]])*Table23[[#This Row],[Quantity]]</f>
        <v>71.136499999999998</v>
      </c>
      <c r="K368" s="8">
        <v>43.1965</v>
      </c>
      <c r="L368" s="8">
        <f>Table23[[#This Row],[Revenue]]-Table23[[#This Row],[Total Cost]]</f>
        <v>27.939999999999998</v>
      </c>
      <c r="M368" s="16">
        <f>(Table23[[#This Row],[Profit]]/Table23[[#This Row],[Revenue]])</f>
        <v>0.39276602025683016</v>
      </c>
      <c r="N368" t="s">
        <v>33</v>
      </c>
    </row>
    <row r="369" spans="1:14" x14ac:dyDescent="0.25">
      <c r="A369" s="11" t="s">
        <v>1325</v>
      </c>
      <c r="B369" s="6">
        <v>45607</v>
      </c>
      <c r="C369" s="11" t="s">
        <v>422</v>
      </c>
      <c r="D369" s="11" t="s">
        <v>14</v>
      </c>
      <c r="E369" s="11" t="s">
        <v>1128</v>
      </c>
      <c r="F369" s="11" t="s">
        <v>1112</v>
      </c>
      <c r="G369" s="7">
        <v>1</v>
      </c>
      <c r="H369" s="8">
        <v>70.66</v>
      </c>
      <c r="I369" s="13">
        <v>0</v>
      </c>
      <c r="J369" s="8">
        <f>(Table23[[#This Row],[Quantity]]*Table23[[#This Row],[Unit Price]])-(Table23[[#This Row],[Unit Price]]*Table23[[#This Row],[Dscount]])*Table23[[#This Row],[Quantity]]</f>
        <v>70.66</v>
      </c>
      <c r="K369" s="8">
        <v>42.739999999999995</v>
      </c>
      <c r="L369" s="8">
        <f>Table23[[#This Row],[Revenue]]-Table23[[#This Row],[Total Cost]]</f>
        <v>27.92</v>
      </c>
      <c r="M369" s="16">
        <f>(Table23[[#This Row],[Profit]]/Table23[[#This Row],[Revenue]])</f>
        <v>0.39513161619020665</v>
      </c>
      <c r="N369" t="s">
        <v>17</v>
      </c>
    </row>
    <row r="370" spans="1:14" x14ac:dyDescent="0.25">
      <c r="A370" s="11" t="s">
        <v>1025</v>
      </c>
      <c r="B370" s="6">
        <v>46020</v>
      </c>
      <c r="C370" s="11" t="s">
        <v>493</v>
      </c>
      <c r="D370" s="11" t="s">
        <v>20</v>
      </c>
      <c r="E370" s="11" t="s">
        <v>835</v>
      </c>
      <c r="F370" s="11" t="s">
        <v>833</v>
      </c>
      <c r="G370" s="7">
        <v>2</v>
      </c>
      <c r="H370" s="8">
        <v>74.16</v>
      </c>
      <c r="I370" s="13">
        <v>0.05</v>
      </c>
      <c r="J370" s="8">
        <f>(Table23[[#This Row],[Quantity]]*Table23[[#This Row],[Unit Price]])-(Table23[[#This Row],[Unit Price]]*Table23[[#This Row],[Dscount]])*Table23[[#This Row],[Quantity]]</f>
        <v>140.904</v>
      </c>
      <c r="K370" s="8">
        <v>113.00399999999999</v>
      </c>
      <c r="L370" s="8">
        <f>Table23[[#This Row],[Revenue]]-Table23[[#This Row],[Total Cost]]</f>
        <v>27.900000000000006</v>
      </c>
      <c r="M370" s="16">
        <f>(Table23[[#This Row],[Profit]]/Table23[[#This Row],[Revenue]])</f>
        <v>0.19800715380684725</v>
      </c>
      <c r="N370" t="s">
        <v>48</v>
      </c>
    </row>
    <row r="371" spans="1:14" x14ac:dyDescent="0.25">
      <c r="A371" s="11" t="s">
        <v>298</v>
      </c>
      <c r="B371" s="6">
        <v>45518</v>
      </c>
      <c r="C371" s="11" t="s">
        <v>299</v>
      </c>
      <c r="D371" s="11" t="s">
        <v>14</v>
      </c>
      <c r="E371" s="11" t="s">
        <v>25</v>
      </c>
      <c r="F371" s="11" t="s">
        <v>16</v>
      </c>
      <c r="G371" s="7">
        <v>2</v>
      </c>
      <c r="H371" s="8">
        <v>22.99</v>
      </c>
      <c r="I371" s="13">
        <v>0.05</v>
      </c>
      <c r="J371" s="8">
        <f>(Table23[[#This Row],[Quantity]]*Table23[[#This Row],[Unit Price]])-(Table23[[#This Row],[Unit Price]]*Table23[[#This Row],[Dscount]])*Table23[[#This Row],[Quantity]]</f>
        <v>43.680999999999997</v>
      </c>
      <c r="K371" s="8">
        <v>15.780999999999999</v>
      </c>
      <c r="L371" s="8">
        <f>Table23[[#This Row],[Revenue]]-Table23[[#This Row],[Total Cost]]</f>
        <v>27.9</v>
      </c>
      <c r="M371" s="16">
        <f>(Table23[[#This Row],[Profit]]/Table23[[#This Row],[Revenue]])</f>
        <v>0.6387216409880726</v>
      </c>
      <c r="N371" t="s">
        <v>33</v>
      </c>
    </row>
    <row r="372" spans="1:14" x14ac:dyDescent="0.25">
      <c r="A372" s="11" t="s">
        <v>1323</v>
      </c>
      <c r="B372" s="6">
        <v>45566</v>
      </c>
      <c r="C372" s="11" t="s">
        <v>1324</v>
      </c>
      <c r="D372" s="11" t="s">
        <v>24</v>
      </c>
      <c r="E372" s="11" t="s">
        <v>1111</v>
      </c>
      <c r="F372" s="11" t="s">
        <v>1112</v>
      </c>
      <c r="G372" s="7">
        <v>2</v>
      </c>
      <c r="H372" s="8">
        <v>73.8</v>
      </c>
      <c r="I372" s="13">
        <v>0.15</v>
      </c>
      <c r="J372" s="8">
        <f>(Table23[[#This Row],[Quantity]]*Table23[[#This Row],[Unit Price]])-(Table23[[#This Row],[Unit Price]]*Table23[[#This Row],[Dscount]])*Table23[[#This Row],[Quantity]]</f>
        <v>125.46</v>
      </c>
      <c r="K372" s="8">
        <v>97.609999999999985</v>
      </c>
      <c r="L372" s="8">
        <f>Table23[[#This Row],[Revenue]]-Table23[[#This Row],[Total Cost]]</f>
        <v>27.850000000000009</v>
      </c>
      <c r="M372" s="16">
        <f>(Table23[[#This Row],[Profit]]/Table23[[#This Row],[Revenue]])</f>
        <v>0.22198310218396308</v>
      </c>
      <c r="N372" t="s">
        <v>17</v>
      </c>
    </row>
    <row r="373" spans="1:14" x14ac:dyDescent="0.25">
      <c r="A373" s="11" t="s">
        <v>625</v>
      </c>
      <c r="B373" s="6">
        <v>45812</v>
      </c>
      <c r="C373" s="11" t="s">
        <v>626</v>
      </c>
      <c r="D373" s="11" t="s">
        <v>36</v>
      </c>
      <c r="E373" s="11" t="s">
        <v>479</v>
      </c>
      <c r="F373" s="11" t="s">
        <v>480</v>
      </c>
      <c r="G373" s="7">
        <v>1</v>
      </c>
      <c r="H373" s="8">
        <v>72.98</v>
      </c>
      <c r="I373" s="13">
        <v>0.1</v>
      </c>
      <c r="J373" s="8">
        <f>(Table23[[#This Row],[Quantity]]*Table23[[#This Row],[Unit Price]])-(Table23[[#This Row],[Unit Price]]*Table23[[#This Row],[Dscount]])*Table23[[#This Row],[Quantity]]</f>
        <v>65.682000000000002</v>
      </c>
      <c r="K373" s="8">
        <v>37.932000000000002</v>
      </c>
      <c r="L373" s="8">
        <f>Table23[[#This Row],[Revenue]]-Table23[[#This Row],[Total Cost]]</f>
        <v>27.75</v>
      </c>
      <c r="M373" s="16">
        <f>(Table23[[#This Row],[Profit]]/Table23[[#This Row],[Revenue]])</f>
        <v>0.42249017995797933</v>
      </c>
      <c r="N373" t="s">
        <v>33</v>
      </c>
    </row>
    <row r="374" spans="1:14" x14ac:dyDescent="0.25">
      <c r="A374" s="11" t="s">
        <v>1685</v>
      </c>
      <c r="B374" s="6">
        <v>45610</v>
      </c>
      <c r="C374" s="11" t="s">
        <v>1686</v>
      </c>
      <c r="D374" s="11" t="s">
        <v>14</v>
      </c>
      <c r="E374" s="11" t="s">
        <v>1426</v>
      </c>
      <c r="F374" s="11" t="s">
        <v>1417</v>
      </c>
      <c r="G374" s="7">
        <v>4</v>
      </c>
      <c r="H374" s="8">
        <v>41.88</v>
      </c>
      <c r="I374" s="13">
        <v>0.25</v>
      </c>
      <c r="J374" s="8">
        <f>(Table23[[#This Row],[Quantity]]*Table23[[#This Row],[Unit Price]])-(Table23[[#This Row],[Unit Price]]*Table23[[#This Row],[Dscount]])*Table23[[#This Row],[Quantity]]</f>
        <v>125.64000000000001</v>
      </c>
      <c r="K374" s="8">
        <v>97.910000000000011</v>
      </c>
      <c r="L374" s="8">
        <f>Table23[[#This Row],[Revenue]]-Table23[[#This Row],[Total Cost]]</f>
        <v>27.730000000000004</v>
      </c>
      <c r="M374" s="16">
        <f>(Table23[[#This Row],[Profit]]/Table23[[#This Row],[Revenue]])</f>
        <v>0.22070996497930595</v>
      </c>
      <c r="N374" t="s">
        <v>17</v>
      </c>
    </row>
    <row r="375" spans="1:14" x14ac:dyDescent="0.25">
      <c r="A375" s="11" t="s">
        <v>623</v>
      </c>
      <c r="B375" s="6">
        <v>45694</v>
      </c>
      <c r="C375" s="11" t="s">
        <v>624</v>
      </c>
      <c r="D375" s="11" t="s">
        <v>24</v>
      </c>
      <c r="E375" s="11" t="s">
        <v>505</v>
      </c>
      <c r="F375" s="11" t="s">
        <v>480</v>
      </c>
      <c r="G375" s="7">
        <v>1</v>
      </c>
      <c r="H375" s="8">
        <v>86.73</v>
      </c>
      <c r="I375" s="13">
        <v>0.15</v>
      </c>
      <c r="J375" s="8">
        <f>(Table23[[#This Row],[Quantity]]*Table23[[#This Row],[Unit Price]])-(Table23[[#This Row],[Unit Price]]*Table23[[#This Row],[Dscount]])*Table23[[#This Row],[Quantity]]</f>
        <v>73.720500000000001</v>
      </c>
      <c r="K375" s="8">
        <v>46.040500000000002</v>
      </c>
      <c r="L375" s="8">
        <f>Table23[[#This Row],[Revenue]]-Table23[[#This Row],[Total Cost]]</f>
        <v>27.68</v>
      </c>
      <c r="M375" s="16">
        <f>(Table23[[#This Row],[Profit]]/Table23[[#This Row],[Revenue]])</f>
        <v>0.37547222278742004</v>
      </c>
      <c r="N375" t="s">
        <v>17</v>
      </c>
    </row>
    <row r="376" spans="1:14" x14ac:dyDescent="0.25">
      <c r="A376" s="11" t="s">
        <v>621</v>
      </c>
      <c r="B376" s="6">
        <v>45316</v>
      </c>
      <c r="C376" s="11" t="s">
        <v>622</v>
      </c>
      <c r="D376" s="11" t="s">
        <v>14</v>
      </c>
      <c r="E376" s="11" t="s">
        <v>514</v>
      </c>
      <c r="F376" s="11" t="s">
        <v>480</v>
      </c>
      <c r="G376" s="7">
        <v>1</v>
      </c>
      <c r="H376" s="8">
        <v>76.22</v>
      </c>
      <c r="I376" s="13">
        <v>0</v>
      </c>
      <c r="J376" s="8">
        <f>(Table23[[#This Row],[Quantity]]*Table23[[#This Row],[Unit Price]])-(Table23[[#This Row],[Unit Price]]*Table23[[#This Row],[Dscount]])*Table23[[#This Row],[Quantity]]</f>
        <v>76.22</v>
      </c>
      <c r="K376" s="8">
        <v>48.599999999999994</v>
      </c>
      <c r="L376" s="8">
        <f>Table23[[#This Row],[Revenue]]-Table23[[#This Row],[Total Cost]]</f>
        <v>27.620000000000005</v>
      </c>
      <c r="M376" s="16">
        <f>(Table23[[#This Row],[Profit]]/Table23[[#This Row],[Revenue]])</f>
        <v>0.36237208081868283</v>
      </c>
      <c r="N376" t="s">
        <v>17</v>
      </c>
    </row>
    <row r="377" spans="1:14" x14ac:dyDescent="0.25">
      <c r="A377" s="11" t="s">
        <v>1024</v>
      </c>
      <c r="B377" s="6">
        <v>45620</v>
      </c>
      <c r="C377" s="11" t="s">
        <v>1012</v>
      </c>
      <c r="D377" s="11" t="s">
        <v>14</v>
      </c>
      <c r="E377" s="11" t="s">
        <v>860</v>
      </c>
      <c r="F377" s="11" t="s">
        <v>833</v>
      </c>
      <c r="G377" s="7">
        <v>2</v>
      </c>
      <c r="H377" s="8">
        <v>124.59</v>
      </c>
      <c r="I377" s="13">
        <v>0.05</v>
      </c>
      <c r="J377" s="8">
        <f>(Table23[[#This Row],[Quantity]]*Table23[[#This Row],[Unit Price]])-(Table23[[#This Row],[Unit Price]]*Table23[[#This Row],[Dscount]])*Table23[[#This Row],[Quantity]]</f>
        <v>236.721</v>
      </c>
      <c r="K377" s="8">
        <v>209.101</v>
      </c>
      <c r="L377" s="8">
        <f>Table23[[#This Row],[Revenue]]-Table23[[#This Row],[Total Cost]]</f>
        <v>27.620000000000005</v>
      </c>
      <c r="M377" s="16">
        <f>(Table23[[#This Row],[Profit]]/Table23[[#This Row],[Revenue]])</f>
        <v>0.11667743884150542</v>
      </c>
      <c r="N377" t="s">
        <v>33</v>
      </c>
    </row>
    <row r="378" spans="1:14" x14ac:dyDescent="0.25">
      <c r="A378" s="11" t="s">
        <v>296</v>
      </c>
      <c r="B378" s="6">
        <v>45917</v>
      </c>
      <c r="C378" s="11" t="s">
        <v>297</v>
      </c>
      <c r="D378" s="11" t="s">
        <v>31</v>
      </c>
      <c r="E378" s="11" t="s">
        <v>21</v>
      </c>
      <c r="F378" s="11" t="s">
        <v>16</v>
      </c>
      <c r="G378" s="7">
        <v>2</v>
      </c>
      <c r="H378" s="8">
        <v>23.62</v>
      </c>
      <c r="I378" s="13">
        <v>0.1</v>
      </c>
      <c r="J378" s="8">
        <f>(Table23[[#This Row],[Quantity]]*Table23[[#This Row],[Unit Price]])-(Table23[[#This Row],[Unit Price]]*Table23[[#This Row],[Dscount]])*Table23[[#This Row],[Quantity]]</f>
        <v>42.516000000000005</v>
      </c>
      <c r="K378" s="8">
        <v>14.906000000000006</v>
      </c>
      <c r="L378" s="8">
        <f>Table23[[#This Row],[Revenue]]-Table23[[#This Row],[Total Cost]]</f>
        <v>27.61</v>
      </c>
      <c r="M378" s="16">
        <f>(Table23[[#This Row],[Profit]]/Table23[[#This Row],[Revenue]])</f>
        <v>0.64940257785304345</v>
      </c>
      <c r="N378" t="s">
        <v>33</v>
      </c>
    </row>
    <row r="379" spans="1:14" x14ac:dyDescent="0.25">
      <c r="A379" s="11" t="s">
        <v>1321</v>
      </c>
      <c r="B379" s="6">
        <v>45329</v>
      </c>
      <c r="C379" s="11" t="s">
        <v>1322</v>
      </c>
      <c r="D379" s="11" t="s">
        <v>36</v>
      </c>
      <c r="E379" s="11" t="s">
        <v>1120</v>
      </c>
      <c r="F379" s="11" t="s">
        <v>1112</v>
      </c>
      <c r="G379" s="7">
        <v>4</v>
      </c>
      <c r="H379" s="8">
        <v>26.02</v>
      </c>
      <c r="I379" s="13">
        <v>0.25</v>
      </c>
      <c r="J379" s="8">
        <f>(Table23[[#This Row],[Quantity]]*Table23[[#This Row],[Unit Price]])-(Table23[[#This Row],[Unit Price]]*Table23[[#This Row],[Dscount]])*Table23[[#This Row],[Quantity]]</f>
        <v>78.06</v>
      </c>
      <c r="K379" s="8">
        <v>50.5</v>
      </c>
      <c r="L379" s="8">
        <f>Table23[[#This Row],[Revenue]]-Table23[[#This Row],[Total Cost]]</f>
        <v>27.560000000000002</v>
      </c>
      <c r="M379" s="16">
        <f>(Table23[[#This Row],[Profit]]/Table23[[#This Row],[Revenue]])</f>
        <v>0.35306174737381502</v>
      </c>
      <c r="N379" t="s">
        <v>33</v>
      </c>
    </row>
    <row r="380" spans="1:14" x14ac:dyDescent="0.25">
      <c r="A380" s="11" t="s">
        <v>1023</v>
      </c>
      <c r="B380" s="6">
        <v>45345</v>
      </c>
      <c r="C380" s="11" t="s">
        <v>86</v>
      </c>
      <c r="D380" s="11" t="s">
        <v>36</v>
      </c>
      <c r="E380" s="11" t="s">
        <v>846</v>
      </c>
      <c r="F380" s="11" t="s">
        <v>833</v>
      </c>
      <c r="G380" s="7">
        <v>3</v>
      </c>
      <c r="H380" s="8">
        <v>56.27</v>
      </c>
      <c r="I380" s="13">
        <v>0</v>
      </c>
      <c r="J380" s="8">
        <f>(Table23[[#This Row],[Quantity]]*Table23[[#This Row],[Unit Price]])-(Table23[[#This Row],[Unit Price]]*Table23[[#This Row],[Dscount]])*Table23[[#This Row],[Quantity]]</f>
        <v>168.81</v>
      </c>
      <c r="K380" s="8">
        <v>141.34</v>
      </c>
      <c r="L380" s="8">
        <f>Table23[[#This Row],[Revenue]]-Table23[[#This Row],[Total Cost]]</f>
        <v>27.47</v>
      </c>
      <c r="M380" s="16">
        <f>(Table23[[#This Row],[Profit]]/Table23[[#This Row],[Revenue]])</f>
        <v>0.16272732658017888</v>
      </c>
      <c r="N380" t="s">
        <v>48</v>
      </c>
    </row>
    <row r="381" spans="1:14" x14ac:dyDescent="0.25">
      <c r="A381" s="11" t="s">
        <v>619</v>
      </c>
      <c r="B381" s="6">
        <v>45429</v>
      </c>
      <c r="C381" s="11" t="s">
        <v>620</v>
      </c>
      <c r="D381" s="11" t="s">
        <v>36</v>
      </c>
      <c r="E381" s="11" t="s">
        <v>503</v>
      </c>
      <c r="F381" s="11" t="s">
        <v>480</v>
      </c>
      <c r="G381" s="7">
        <v>2</v>
      </c>
      <c r="H381" s="8">
        <v>37.979999999999997</v>
      </c>
      <c r="I381" s="13">
        <v>0.1</v>
      </c>
      <c r="J381" s="8">
        <f>(Table23[[#This Row],[Quantity]]*Table23[[#This Row],[Unit Price]])-(Table23[[#This Row],[Unit Price]]*Table23[[#This Row],[Dscount]])*Table23[[#This Row],[Quantity]]</f>
        <v>68.36399999999999</v>
      </c>
      <c r="K381" s="8">
        <v>40.97399999999999</v>
      </c>
      <c r="L381" s="8">
        <f>Table23[[#This Row],[Revenue]]-Table23[[#This Row],[Total Cost]]</f>
        <v>27.39</v>
      </c>
      <c r="M381" s="16">
        <f>(Table23[[#This Row],[Profit]]/Table23[[#This Row],[Revenue]])</f>
        <v>0.40064946463050732</v>
      </c>
      <c r="N381" t="s">
        <v>17</v>
      </c>
    </row>
    <row r="382" spans="1:14" x14ac:dyDescent="0.25">
      <c r="A382" s="11" t="s">
        <v>617</v>
      </c>
      <c r="B382" s="6">
        <v>45612</v>
      </c>
      <c r="C382" s="11" t="s">
        <v>618</v>
      </c>
      <c r="D382" s="11" t="s">
        <v>36</v>
      </c>
      <c r="E382" s="11" t="s">
        <v>505</v>
      </c>
      <c r="F382" s="11" t="s">
        <v>480</v>
      </c>
      <c r="G382" s="7">
        <v>3</v>
      </c>
      <c r="H382" s="8">
        <v>25.64</v>
      </c>
      <c r="I382" s="13">
        <v>0.1</v>
      </c>
      <c r="J382" s="8">
        <f>(Table23[[#This Row],[Quantity]]*Table23[[#This Row],[Unit Price]])-(Table23[[#This Row],[Unit Price]]*Table23[[#This Row],[Dscount]])*Table23[[#This Row],[Quantity]]</f>
        <v>69.228000000000009</v>
      </c>
      <c r="K382" s="8">
        <v>41.848000000000013</v>
      </c>
      <c r="L382" s="8">
        <f>Table23[[#This Row],[Revenue]]-Table23[[#This Row],[Total Cost]]</f>
        <v>27.379999999999995</v>
      </c>
      <c r="M382" s="16">
        <f>(Table23[[#This Row],[Profit]]/Table23[[#This Row],[Revenue]])</f>
        <v>0.39550470907725188</v>
      </c>
      <c r="N382" t="s">
        <v>33</v>
      </c>
    </row>
    <row r="383" spans="1:14" x14ac:dyDescent="0.25">
      <c r="A383" s="11" t="s">
        <v>1684</v>
      </c>
      <c r="B383" s="6">
        <v>45434</v>
      </c>
      <c r="C383" s="11" t="s">
        <v>1330</v>
      </c>
      <c r="D383" s="11" t="s">
        <v>14</v>
      </c>
      <c r="E383" s="11" t="s">
        <v>1422</v>
      </c>
      <c r="F383" s="11" t="s">
        <v>1417</v>
      </c>
      <c r="G383" s="7">
        <v>3</v>
      </c>
      <c r="H383" s="8">
        <v>39.130000000000003</v>
      </c>
      <c r="I383" s="13">
        <v>0.05</v>
      </c>
      <c r="J383" s="8">
        <f>(Table23[[#This Row],[Quantity]]*Table23[[#This Row],[Unit Price]])-(Table23[[#This Row],[Unit Price]]*Table23[[#This Row],[Dscount]])*Table23[[#This Row],[Quantity]]</f>
        <v>111.52050000000001</v>
      </c>
      <c r="K383" s="8">
        <v>84.140500000000017</v>
      </c>
      <c r="L383" s="8">
        <f>Table23[[#This Row],[Revenue]]-Table23[[#This Row],[Total Cost]]</f>
        <v>27.379999999999995</v>
      </c>
      <c r="M383" s="16">
        <f>(Table23[[#This Row],[Profit]]/Table23[[#This Row],[Revenue]])</f>
        <v>0.24551539851417445</v>
      </c>
      <c r="N383" t="s">
        <v>17</v>
      </c>
    </row>
    <row r="384" spans="1:14" x14ac:dyDescent="0.25">
      <c r="A384" s="11" t="s">
        <v>1022</v>
      </c>
      <c r="B384" s="6">
        <v>45296</v>
      </c>
      <c r="C384" s="11" t="s">
        <v>226</v>
      </c>
      <c r="D384" s="11" t="s">
        <v>14</v>
      </c>
      <c r="E384" s="11" t="s">
        <v>835</v>
      </c>
      <c r="F384" s="11" t="s">
        <v>833</v>
      </c>
      <c r="G384" s="7">
        <v>1</v>
      </c>
      <c r="H384" s="8">
        <v>148.13</v>
      </c>
      <c r="I384" s="13">
        <v>0</v>
      </c>
      <c r="J384" s="8">
        <f>(Table23[[#This Row],[Quantity]]*Table23[[#This Row],[Unit Price]])-(Table23[[#This Row],[Unit Price]]*Table23[[#This Row],[Dscount]])*Table23[[#This Row],[Quantity]]</f>
        <v>148.13</v>
      </c>
      <c r="K384" s="8">
        <v>120.81</v>
      </c>
      <c r="L384" s="8">
        <f>Table23[[#This Row],[Revenue]]-Table23[[#This Row],[Total Cost]]</f>
        <v>27.319999999999993</v>
      </c>
      <c r="M384" s="16">
        <f>(Table23[[#This Row],[Profit]]/Table23[[#This Row],[Revenue]])</f>
        <v>0.18443259299264156</v>
      </c>
      <c r="N384" t="s">
        <v>33</v>
      </c>
    </row>
    <row r="385" spans="1:14" x14ac:dyDescent="0.25">
      <c r="A385" s="11" t="s">
        <v>294</v>
      </c>
      <c r="B385" s="6">
        <v>45788</v>
      </c>
      <c r="C385" s="11" t="s">
        <v>295</v>
      </c>
      <c r="D385" s="11" t="s">
        <v>20</v>
      </c>
      <c r="E385" s="11" t="s">
        <v>68</v>
      </c>
      <c r="F385" s="11" t="s">
        <v>16</v>
      </c>
      <c r="G385" s="7">
        <v>4</v>
      </c>
      <c r="H385" s="8">
        <v>15.95</v>
      </c>
      <c r="I385" s="13">
        <v>0.25</v>
      </c>
      <c r="J385" s="8">
        <f>(Table23[[#This Row],[Quantity]]*Table23[[#This Row],[Unit Price]])-(Table23[[#This Row],[Unit Price]]*Table23[[#This Row],[Dscount]])*Table23[[#This Row],[Quantity]]</f>
        <v>47.849999999999994</v>
      </c>
      <c r="K385" s="8">
        <v>20.569999999999993</v>
      </c>
      <c r="L385" s="8">
        <f>Table23[[#This Row],[Revenue]]-Table23[[#This Row],[Total Cost]]</f>
        <v>27.28</v>
      </c>
      <c r="M385" s="16">
        <f>(Table23[[#This Row],[Profit]]/Table23[[#This Row],[Revenue]])</f>
        <v>0.57011494252873574</v>
      </c>
      <c r="N385" t="s">
        <v>17</v>
      </c>
    </row>
    <row r="386" spans="1:14" x14ac:dyDescent="0.25">
      <c r="A386" s="11" t="s">
        <v>1020</v>
      </c>
      <c r="B386" s="6">
        <v>45980</v>
      </c>
      <c r="C386" s="11" t="s">
        <v>1021</v>
      </c>
      <c r="D386" s="11" t="s">
        <v>20</v>
      </c>
      <c r="E386" s="11" t="s">
        <v>837</v>
      </c>
      <c r="F386" s="11" t="s">
        <v>833</v>
      </c>
      <c r="G386" s="7">
        <v>2</v>
      </c>
      <c r="H386" s="8">
        <v>83.45</v>
      </c>
      <c r="I386" s="13">
        <v>0.15</v>
      </c>
      <c r="J386" s="8">
        <f>(Table23[[#This Row],[Quantity]]*Table23[[#This Row],[Unit Price]])-(Table23[[#This Row],[Unit Price]]*Table23[[#This Row],[Dscount]])*Table23[[#This Row],[Quantity]]</f>
        <v>141.86500000000001</v>
      </c>
      <c r="K386" s="8">
        <v>114.63500000000001</v>
      </c>
      <c r="L386" s="8">
        <f>Table23[[#This Row],[Revenue]]-Table23[[#This Row],[Total Cost]]</f>
        <v>27.230000000000004</v>
      </c>
      <c r="M386" s="16">
        <f>(Table23[[#This Row],[Profit]]/Table23[[#This Row],[Revenue]])</f>
        <v>0.19194304444366125</v>
      </c>
      <c r="N386" t="s">
        <v>17</v>
      </c>
    </row>
    <row r="387" spans="1:14" x14ac:dyDescent="0.25">
      <c r="A387" s="11" t="s">
        <v>1019</v>
      </c>
      <c r="B387" s="6">
        <v>45638</v>
      </c>
      <c r="C387" s="11" t="s">
        <v>65</v>
      </c>
      <c r="D387" s="11" t="s">
        <v>24</v>
      </c>
      <c r="E387" s="11" t="s">
        <v>837</v>
      </c>
      <c r="F387" s="11" t="s">
        <v>833</v>
      </c>
      <c r="G387" s="7">
        <v>2</v>
      </c>
      <c r="H387" s="8">
        <v>77.540000000000006</v>
      </c>
      <c r="I387" s="13">
        <v>0.1</v>
      </c>
      <c r="J387" s="8">
        <f>(Table23[[#This Row],[Quantity]]*Table23[[#This Row],[Unit Price]])-(Table23[[#This Row],[Unit Price]]*Table23[[#This Row],[Dscount]])*Table23[[#This Row],[Quantity]]</f>
        <v>139.572</v>
      </c>
      <c r="K387" s="8">
        <v>112.402</v>
      </c>
      <c r="L387" s="8">
        <f>Table23[[#This Row],[Revenue]]-Table23[[#This Row],[Total Cost]]</f>
        <v>27.17</v>
      </c>
      <c r="M387" s="16">
        <f>(Table23[[#This Row],[Profit]]/Table23[[#This Row],[Revenue]])</f>
        <v>0.19466655203049324</v>
      </c>
      <c r="N387" t="s">
        <v>17</v>
      </c>
    </row>
    <row r="388" spans="1:14" x14ac:dyDescent="0.25">
      <c r="A388" s="11" t="s">
        <v>1320</v>
      </c>
      <c r="B388" s="6">
        <v>45448</v>
      </c>
      <c r="C388" s="11" t="s">
        <v>166</v>
      </c>
      <c r="D388" s="11" t="s">
        <v>20</v>
      </c>
      <c r="E388" s="11" t="s">
        <v>1114</v>
      </c>
      <c r="F388" s="11" t="s">
        <v>1112</v>
      </c>
      <c r="G388" s="7">
        <v>2</v>
      </c>
      <c r="H388" s="8">
        <v>48.41</v>
      </c>
      <c r="I388" s="13">
        <v>0</v>
      </c>
      <c r="J388" s="8">
        <f>(Table23[[#This Row],[Quantity]]*Table23[[#This Row],[Unit Price]])-(Table23[[#This Row],[Unit Price]]*Table23[[#This Row],[Dscount]])*Table23[[#This Row],[Quantity]]</f>
        <v>96.82</v>
      </c>
      <c r="K388" s="8">
        <v>69.83</v>
      </c>
      <c r="L388" s="8">
        <f>Table23[[#This Row],[Revenue]]-Table23[[#This Row],[Total Cost]]</f>
        <v>26.989999999999995</v>
      </c>
      <c r="M388" s="16">
        <f>(Table23[[#This Row],[Profit]]/Table23[[#This Row],[Revenue]])</f>
        <v>0.27876471803346414</v>
      </c>
      <c r="N388" t="s">
        <v>48</v>
      </c>
    </row>
    <row r="389" spans="1:14" x14ac:dyDescent="0.25">
      <c r="A389" s="11" t="s">
        <v>292</v>
      </c>
      <c r="B389" s="6">
        <v>45618</v>
      </c>
      <c r="C389" s="11" t="s">
        <v>293</v>
      </c>
      <c r="D389" s="11" t="s">
        <v>36</v>
      </c>
      <c r="E389" s="11" t="s">
        <v>21</v>
      </c>
      <c r="F389" s="11" t="s">
        <v>16</v>
      </c>
      <c r="G389" s="7">
        <v>2</v>
      </c>
      <c r="H389" s="8">
        <v>34.520000000000003</v>
      </c>
      <c r="I389" s="13">
        <v>0.25</v>
      </c>
      <c r="J389" s="8">
        <f>(Table23[[#This Row],[Quantity]]*Table23[[#This Row],[Unit Price]])-(Table23[[#This Row],[Unit Price]]*Table23[[#This Row],[Dscount]])*Table23[[#This Row],[Quantity]]</f>
        <v>51.78</v>
      </c>
      <c r="K389" s="8">
        <v>24.85</v>
      </c>
      <c r="L389" s="8">
        <f>Table23[[#This Row],[Revenue]]-Table23[[#This Row],[Total Cost]]</f>
        <v>26.93</v>
      </c>
      <c r="M389" s="16">
        <f>(Table23[[#This Row],[Profit]]/Table23[[#This Row],[Revenue]])</f>
        <v>0.52008497489378136</v>
      </c>
      <c r="N389" t="s">
        <v>48</v>
      </c>
    </row>
    <row r="390" spans="1:14" x14ac:dyDescent="0.25">
      <c r="A390" s="11" t="s">
        <v>290</v>
      </c>
      <c r="B390" s="6">
        <v>45527</v>
      </c>
      <c r="C390" s="11" t="s">
        <v>291</v>
      </c>
      <c r="D390" s="11" t="s">
        <v>24</v>
      </c>
      <c r="E390" s="11" t="s">
        <v>32</v>
      </c>
      <c r="F390" s="11" t="s">
        <v>16</v>
      </c>
      <c r="G390" s="7">
        <v>1</v>
      </c>
      <c r="H390" s="8">
        <v>48.1</v>
      </c>
      <c r="I390" s="13">
        <v>0.1</v>
      </c>
      <c r="J390" s="8">
        <f>(Table23[[#This Row],[Quantity]]*Table23[[#This Row],[Unit Price]])-(Table23[[#This Row],[Unit Price]]*Table23[[#This Row],[Dscount]])*Table23[[#This Row],[Quantity]]</f>
        <v>43.29</v>
      </c>
      <c r="K390" s="8">
        <v>16.369999999999997</v>
      </c>
      <c r="L390" s="8">
        <f>Table23[[#This Row],[Revenue]]-Table23[[#This Row],[Total Cost]]</f>
        <v>26.92</v>
      </c>
      <c r="M390" s="16">
        <f>(Table23[[#This Row],[Profit]]/Table23[[#This Row],[Revenue]])</f>
        <v>0.62185262185262191</v>
      </c>
      <c r="N390" t="s">
        <v>33</v>
      </c>
    </row>
    <row r="391" spans="1:14" x14ac:dyDescent="0.25">
      <c r="A391" s="11" t="s">
        <v>1319</v>
      </c>
      <c r="B391" s="6">
        <v>45950</v>
      </c>
      <c r="C391" s="11" t="s">
        <v>502</v>
      </c>
      <c r="D391" s="11" t="s">
        <v>36</v>
      </c>
      <c r="E391" s="11" t="s">
        <v>1124</v>
      </c>
      <c r="F391" s="11" t="s">
        <v>1112</v>
      </c>
      <c r="G391" s="7">
        <v>1</v>
      </c>
      <c r="H391" s="8">
        <v>79.23</v>
      </c>
      <c r="I391" s="13">
        <v>0</v>
      </c>
      <c r="J391" s="8">
        <f>(Table23[[#This Row],[Quantity]]*Table23[[#This Row],[Unit Price]])-(Table23[[#This Row],[Unit Price]]*Table23[[#This Row],[Dscount]])*Table23[[#This Row],[Quantity]]</f>
        <v>79.23</v>
      </c>
      <c r="K391" s="8">
        <v>52.34</v>
      </c>
      <c r="L391" s="8">
        <f>Table23[[#This Row],[Revenue]]-Table23[[#This Row],[Total Cost]]</f>
        <v>26.89</v>
      </c>
      <c r="M391" s="16">
        <f>(Table23[[#This Row],[Profit]]/Table23[[#This Row],[Revenue]])</f>
        <v>0.33939164457907356</v>
      </c>
      <c r="N391" t="s">
        <v>33</v>
      </c>
    </row>
    <row r="392" spans="1:14" x14ac:dyDescent="0.25">
      <c r="A392" s="11" t="s">
        <v>1318</v>
      </c>
      <c r="B392" s="6">
        <v>45827</v>
      </c>
      <c r="C392" s="11" t="s">
        <v>1077</v>
      </c>
      <c r="D392" s="11" t="s">
        <v>31</v>
      </c>
      <c r="E392" s="11" t="s">
        <v>1124</v>
      </c>
      <c r="F392" s="11" t="s">
        <v>1112</v>
      </c>
      <c r="G392" s="7">
        <v>3</v>
      </c>
      <c r="H392" s="8">
        <v>31.43</v>
      </c>
      <c r="I392" s="13">
        <v>0.2</v>
      </c>
      <c r="J392" s="8">
        <f>(Table23[[#This Row],[Quantity]]*Table23[[#This Row],[Unit Price]])-(Table23[[#This Row],[Unit Price]]*Table23[[#This Row],[Dscount]])*Table23[[#This Row],[Quantity]]</f>
        <v>75.431999999999988</v>
      </c>
      <c r="K392" s="8">
        <v>48.691999999999993</v>
      </c>
      <c r="L392" s="8">
        <f>Table23[[#This Row],[Revenue]]-Table23[[#This Row],[Total Cost]]</f>
        <v>26.739999999999995</v>
      </c>
      <c r="M392" s="16">
        <f>(Table23[[#This Row],[Profit]]/Table23[[#This Row],[Revenue]])</f>
        <v>0.35449146250927988</v>
      </c>
      <c r="N392" t="s">
        <v>17</v>
      </c>
    </row>
    <row r="393" spans="1:14" x14ac:dyDescent="0.25">
      <c r="A393" s="11" t="s">
        <v>1317</v>
      </c>
      <c r="B393" s="6">
        <v>45902</v>
      </c>
      <c r="C393" s="11" t="s">
        <v>222</v>
      </c>
      <c r="D393" s="11" t="s">
        <v>36</v>
      </c>
      <c r="E393" s="11" t="s">
        <v>1132</v>
      </c>
      <c r="F393" s="11" t="s">
        <v>1112</v>
      </c>
      <c r="G393" s="7">
        <v>2</v>
      </c>
      <c r="H393" s="8">
        <v>36.43</v>
      </c>
      <c r="I393" s="13">
        <v>0</v>
      </c>
      <c r="J393" s="8">
        <f>(Table23[[#This Row],[Quantity]]*Table23[[#This Row],[Unit Price]])-(Table23[[#This Row],[Unit Price]]*Table23[[#This Row],[Dscount]])*Table23[[#This Row],[Quantity]]</f>
        <v>72.86</v>
      </c>
      <c r="K393" s="8">
        <v>46.129999999999995</v>
      </c>
      <c r="L393" s="8">
        <f>Table23[[#This Row],[Revenue]]-Table23[[#This Row],[Total Cost]]</f>
        <v>26.730000000000004</v>
      </c>
      <c r="M393" s="16">
        <f>(Table23[[#This Row],[Profit]]/Table23[[#This Row],[Revenue]])</f>
        <v>0.36686796596211918</v>
      </c>
      <c r="N393" t="s">
        <v>17</v>
      </c>
    </row>
    <row r="394" spans="1:14" x14ac:dyDescent="0.25">
      <c r="A394" s="11" t="s">
        <v>1315</v>
      </c>
      <c r="B394" s="6">
        <v>45498</v>
      </c>
      <c r="C394" s="11" t="s">
        <v>1316</v>
      </c>
      <c r="D394" s="11" t="s">
        <v>24</v>
      </c>
      <c r="E394" s="11" t="s">
        <v>1128</v>
      </c>
      <c r="F394" s="11" t="s">
        <v>1112</v>
      </c>
      <c r="G394" s="7">
        <v>3</v>
      </c>
      <c r="H394" s="8">
        <v>29.58</v>
      </c>
      <c r="I394" s="13">
        <v>0.2</v>
      </c>
      <c r="J394" s="8">
        <f>(Table23[[#This Row],[Quantity]]*Table23[[#This Row],[Unit Price]])-(Table23[[#This Row],[Unit Price]]*Table23[[#This Row],[Dscount]])*Table23[[#This Row],[Quantity]]</f>
        <v>70.99199999999999</v>
      </c>
      <c r="K394" s="8">
        <v>44.271999999999991</v>
      </c>
      <c r="L394" s="8">
        <f>Table23[[#This Row],[Revenue]]-Table23[[#This Row],[Total Cost]]</f>
        <v>26.72</v>
      </c>
      <c r="M394" s="16">
        <f>(Table23[[#This Row],[Profit]]/Table23[[#This Row],[Revenue]])</f>
        <v>0.37638043723236425</v>
      </c>
      <c r="N394" t="s">
        <v>17</v>
      </c>
    </row>
    <row r="395" spans="1:14" x14ac:dyDescent="0.25">
      <c r="A395" s="11" t="s">
        <v>288</v>
      </c>
      <c r="B395" s="6">
        <v>45761</v>
      </c>
      <c r="C395" s="11" t="s">
        <v>289</v>
      </c>
      <c r="D395" s="11" t="s">
        <v>24</v>
      </c>
      <c r="E395" s="11" t="s">
        <v>25</v>
      </c>
      <c r="F395" s="11" t="s">
        <v>16</v>
      </c>
      <c r="G395" s="7">
        <v>2</v>
      </c>
      <c r="H395" s="8">
        <v>32.15</v>
      </c>
      <c r="I395" s="13">
        <v>0.1</v>
      </c>
      <c r="J395" s="8">
        <f>(Table23[[#This Row],[Quantity]]*Table23[[#This Row],[Unit Price]])-(Table23[[#This Row],[Unit Price]]*Table23[[#This Row],[Dscount]])*Table23[[#This Row],[Quantity]]</f>
        <v>57.87</v>
      </c>
      <c r="K395" s="8">
        <v>31.199999999999996</v>
      </c>
      <c r="L395" s="8">
        <f>Table23[[#This Row],[Revenue]]-Table23[[#This Row],[Total Cost]]</f>
        <v>26.67</v>
      </c>
      <c r="M395" s="16">
        <f>(Table23[[#This Row],[Profit]]/Table23[[#This Row],[Revenue]])</f>
        <v>0.46086054950751693</v>
      </c>
      <c r="N395" t="s">
        <v>33</v>
      </c>
    </row>
    <row r="396" spans="1:14" x14ac:dyDescent="0.25">
      <c r="A396" s="11" t="s">
        <v>1682</v>
      </c>
      <c r="B396" s="6">
        <v>46009</v>
      </c>
      <c r="C396" s="11" t="s">
        <v>1683</v>
      </c>
      <c r="D396" s="11" t="s">
        <v>24</v>
      </c>
      <c r="E396" s="11" t="s">
        <v>1422</v>
      </c>
      <c r="F396" s="11" t="s">
        <v>1417</v>
      </c>
      <c r="G396" s="7">
        <v>4</v>
      </c>
      <c r="H396" s="8">
        <v>48.62</v>
      </c>
      <c r="I396" s="13">
        <v>0.15</v>
      </c>
      <c r="J396" s="8">
        <f>(Table23[[#This Row],[Quantity]]*Table23[[#This Row],[Unit Price]])-(Table23[[#This Row],[Unit Price]]*Table23[[#This Row],[Dscount]])*Table23[[#This Row],[Quantity]]</f>
        <v>165.30799999999999</v>
      </c>
      <c r="K396" s="8">
        <v>138.84799999999998</v>
      </c>
      <c r="L396" s="8">
        <f>Table23[[#This Row],[Revenue]]-Table23[[#This Row],[Total Cost]]</f>
        <v>26.460000000000008</v>
      </c>
      <c r="M396" s="16">
        <f>(Table23[[#This Row],[Profit]]/Table23[[#This Row],[Revenue]])</f>
        <v>0.16006484864616358</v>
      </c>
      <c r="N396" t="s">
        <v>33</v>
      </c>
    </row>
    <row r="397" spans="1:14" x14ac:dyDescent="0.25">
      <c r="A397" s="11" t="s">
        <v>1018</v>
      </c>
      <c r="B397" s="6">
        <v>45442</v>
      </c>
      <c r="C397" s="11" t="s">
        <v>30</v>
      </c>
      <c r="D397" s="11" t="s">
        <v>24</v>
      </c>
      <c r="E397" s="11" t="s">
        <v>856</v>
      </c>
      <c r="F397" s="11" t="s">
        <v>833</v>
      </c>
      <c r="G397" s="7">
        <v>5</v>
      </c>
      <c r="H397" s="8">
        <v>69.13</v>
      </c>
      <c r="I397" s="13">
        <v>0.1</v>
      </c>
      <c r="J397" s="8">
        <f>(Table23[[#This Row],[Quantity]]*Table23[[#This Row],[Unit Price]])-(Table23[[#This Row],[Unit Price]]*Table23[[#This Row],[Dscount]])*Table23[[#This Row],[Quantity]]</f>
        <v>311.08499999999998</v>
      </c>
      <c r="K397" s="8">
        <v>284.685</v>
      </c>
      <c r="L397" s="8">
        <f>Table23[[#This Row],[Revenue]]-Table23[[#This Row],[Total Cost]]</f>
        <v>26.399999999999977</v>
      </c>
      <c r="M397" s="16">
        <f>(Table23[[#This Row],[Profit]]/Table23[[#This Row],[Revenue]])</f>
        <v>8.486426539370262E-2</v>
      </c>
      <c r="N397" t="s">
        <v>17</v>
      </c>
    </row>
    <row r="398" spans="1:14" x14ac:dyDescent="0.25">
      <c r="A398" s="11" t="s">
        <v>1680</v>
      </c>
      <c r="B398" s="6">
        <v>45811</v>
      </c>
      <c r="C398" s="11" t="s">
        <v>1681</v>
      </c>
      <c r="D398" s="11" t="s">
        <v>31</v>
      </c>
      <c r="E398" s="11" t="s">
        <v>1420</v>
      </c>
      <c r="F398" s="11" t="s">
        <v>1417</v>
      </c>
      <c r="G398" s="7">
        <v>3</v>
      </c>
      <c r="H398" s="8">
        <v>39.03</v>
      </c>
      <c r="I398" s="13">
        <v>0.25</v>
      </c>
      <c r="J398" s="8">
        <f>(Table23[[#This Row],[Quantity]]*Table23[[#This Row],[Unit Price]])-(Table23[[#This Row],[Unit Price]]*Table23[[#This Row],[Dscount]])*Table23[[#This Row],[Quantity]]</f>
        <v>87.817499999999995</v>
      </c>
      <c r="K398" s="8">
        <v>61.55749999999999</v>
      </c>
      <c r="L398" s="8">
        <f>Table23[[#This Row],[Revenue]]-Table23[[#This Row],[Total Cost]]</f>
        <v>26.260000000000005</v>
      </c>
      <c r="M398" s="16">
        <f>(Table23[[#This Row],[Profit]]/Table23[[#This Row],[Revenue]])</f>
        <v>0.29902923676943671</v>
      </c>
      <c r="N398" t="s">
        <v>17</v>
      </c>
    </row>
    <row r="399" spans="1:14" x14ac:dyDescent="0.25">
      <c r="A399" s="11" t="s">
        <v>615</v>
      </c>
      <c r="B399" s="6">
        <v>45475</v>
      </c>
      <c r="C399" s="11" t="s">
        <v>616</v>
      </c>
      <c r="D399" s="11" t="s">
        <v>14</v>
      </c>
      <c r="E399" s="11" t="s">
        <v>486</v>
      </c>
      <c r="F399" s="11" t="s">
        <v>480</v>
      </c>
      <c r="G399" s="7">
        <v>3</v>
      </c>
      <c r="H399" s="8">
        <v>27.52</v>
      </c>
      <c r="I399" s="13">
        <v>0.1</v>
      </c>
      <c r="J399" s="8">
        <f>(Table23[[#This Row],[Quantity]]*Table23[[#This Row],[Unit Price]])-(Table23[[#This Row],[Unit Price]]*Table23[[#This Row],[Dscount]])*Table23[[#This Row],[Quantity]]</f>
        <v>74.304000000000002</v>
      </c>
      <c r="K399" s="8">
        <v>48.054000000000002</v>
      </c>
      <c r="L399" s="8">
        <f>Table23[[#This Row],[Revenue]]-Table23[[#This Row],[Total Cost]]</f>
        <v>26.25</v>
      </c>
      <c r="M399" s="16">
        <f>(Table23[[#This Row],[Profit]]/Table23[[#This Row],[Revenue]])</f>
        <v>0.35327842377260982</v>
      </c>
      <c r="N399" t="s">
        <v>17</v>
      </c>
    </row>
    <row r="400" spans="1:14" x14ac:dyDescent="0.25">
      <c r="A400" s="11" t="s">
        <v>286</v>
      </c>
      <c r="B400" s="6">
        <v>45984</v>
      </c>
      <c r="C400" s="11" t="s">
        <v>287</v>
      </c>
      <c r="D400" s="11" t="s">
        <v>20</v>
      </c>
      <c r="E400" s="11" t="s">
        <v>15</v>
      </c>
      <c r="F400" s="11" t="s">
        <v>16</v>
      </c>
      <c r="G400" s="7">
        <v>2</v>
      </c>
      <c r="H400" s="8">
        <v>22.66</v>
      </c>
      <c r="I400" s="13">
        <v>0.05</v>
      </c>
      <c r="J400" s="8">
        <f>(Table23[[#This Row],[Quantity]]*Table23[[#This Row],[Unit Price]])-(Table23[[#This Row],[Unit Price]]*Table23[[#This Row],[Dscount]])*Table23[[#This Row],[Quantity]]</f>
        <v>43.054000000000002</v>
      </c>
      <c r="K400" s="8">
        <v>16.844000000000001</v>
      </c>
      <c r="L400" s="8">
        <f>Table23[[#This Row],[Revenue]]-Table23[[#This Row],[Total Cost]]</f>
        <v>26.21</v>
      </c>
      <c r="M400" s="16">
        <f>(Table23[[#This Row],[Profit]]/Table23[[#This Row],[Revenue]])</f>
        <v>0.60877038138152084</v>
      </c>
      <c r="N400" t="s">
        <v>17</v>
      </c>
    </row>
    <row r="401" spans="1:14" x14ac:dyDescent="0.25">
      <c r="A401" s="11" t="s">
        <v>1016</v>
      </c>
      <c r="B401" s="6">
        <v>45659</v>
      </c>
      <c r="C401" s="11" t="s">
        <v>1017</v>
      </c>
      <c r="D401" s="11" t="s">
        <v>24</v>
      </c>
      <c r="E401" s="11" t="s">
        <v>856</v>
      </c>
      <c r="F401" s="11" t="s">
        <v>833</v>
      </c>
      <c r="G401" s="7">
        <v>1</v>
      </c>
      <c r="H401" s="8">
        <v>135.31</v>
      </c>
      <c r="I401" s="13">
        <v>0.2</v>
      </c>
      <c r="J401" s="8">
        <f>(Table23[[#This Row],[Quantity]]*Table23[[#This Row],[Unit Price]])-(Table23[[#This Row],[Unit Price]]*Table23[[#This Row],[Dscount]])*Table23[[#This Row],[Quantity]]</f>
        <v>108.248</v>
      </c>
      <c r="K401" s="8">
        <v>82.128</v>
      </c>
      <c r="L401" s="8">
        <f>Table23[[#This Row],[Revenue]]-Table23[[#This Row],[Total Cost]]</f>
        <v>26.120000000000005</v>
      </c>
      <c r="M401" s="16">
        <f>(Table23[[#This Row],[Profit]]/Table23[[#This Row],[Revenue]])</f>
        <v>0.24129776069765727</v>
      </c>
      <c r="N401" t="s">
        <v>33</v>
      </c>
    </row>
    <row r="402" spans="1:14" x14ac:dyDescent="0.25">
      <c r="A402" s="11" t="s">
        <v>1678</v>
      </c>
      <c r="B402" s="6">
        <v>45658</v>
      </c>
      <c r="C402" s="11" t="s">
        <v>1679</v>
      </c>
      <c r="D402" s="11" t="s">
        <v>20</v>
      </c>
      <c r="E402" s="11" t="s">
        <v>1420</v>
      </c>
      <c r="F402" s="11" t="s">
        <v>1417</v>
      </c>
      <c r="G402" s="7">
        <v>2</v>
      </c>
      <c r="H402" s="8">
        <v>51.27</v>
      </c>
      <c r="I402" s="13">
        <v>0.1</v>
      </c>
      <c r="J402" s="8">
        <f>(Table23[[#This Row],[Quantity]]*Table23[[#This Row],[Unit Price]])-(Table23[[#This Row],[Unit Price]]*Table23[[#This Row],[Dscount]])*Table23[[#This Row],[Quantity]]</f>
        <v>92.286000000000001</v>
      </c>
      <c r="K402" s="8">
        <v>66.236000000000004</v>
      </c>
      <c r="L402" s="8">
        <f>Table23[[#This Row],[Revenue]]-Table23[[#This Row],[Total Cost]]</f>
        <v>26.049999999999997</v>
      </c>
      <c r="M402" s="16">
        <f>(Table23[[#This Row],[Profit]]/Table23[[#This Row],[Revenue]])</f>
        <v>0.28227466788028516</v>
      </c>
      <c r="N402" t="s">
        <v>33</v>
      </c>
    </row>
    <row r="403" spans="1:14" x14ac:dyDescent="0.25">
      <c r="A403" s="11" t="s">
        <v>284</v>
      </c>
      <c r="B403" s="6">
        <v>45795</v>
      </c>
      <c r="C403" s="11" t="s">
        <v>285</v>
      </c>
      <c r="D403" s="11" t="s">
        <v>31</v>
      </c>
      <c r="E403" s="11" t="s">
        <v>53</v>
      </c>
      <c r="F403" s="11" t="s">
        <v>16</v>
      </c>
      <c r="G403" s="7">
        <v>3</v>
      </c>
      <c r="H403" s="8">
        <v>25.85</v>
      </c>
      <c r="I403" s="13">
        <v>0.2</v>
      </c>
      <c r="J403" s="8">
        <f>(Table23[[#This Row],[Quantity]]*Table23[[#This Row],[Unit Price]])-(Table23[[#This Row],[Unit Price]]*Table23[[#This Row],[Dscount]])*Table23[[#This Row],[Quantity]]</f>
        <v>62.040000000000006</v>
      </c>
      <c r="K403" s="8">
        <v>36.050000000000011</v>
      </c>
      <c r="L403" s="8">
        <f>Table23[[#This Row],[Revenue]]-Table23[[#This Row],[Total Cost]]</f>
        <v>25.989999999999995</v>
      </c>
      <c r="M403" s="16">
        <f>(Table23[[#This Row],[Profit]]/Table23[[#This Row],[Revenue]])</f>
        <v>0.41892327530625389</v>
      </c>
      <c r="N403" t="s">
        <v>33</v>
      </c>
    </row>
    <row r="404" spans="1:14" x14ac:dyDescent="0.25">
      <c r="A404" s="11" t="s">
        <v>282</v>
      </c>
      <c r="B404" s="6">
        <v>45309</v>
      </c>
      <c r="C404" s="11" t="s">
        <v>283</v>
      </c>
      <c r="D404" s="11" t="s">
        <v>31</v>
      </c>
      <c r="E404" s="11" t="s">
        <v>28</v>
      </c>
      <c r="F404" s="11" t="s">
        <v>16</v>
      </c>
      <c r="G404" s="7">
        <v>4</v>
      </c>
      <c r="H404" s="8">
        <v>16.170000000000002</v>
      </c>
      <c r="I404" s="13">
        <v>0.1</v>
      </c>
      <c r="J404" s="8">
        <f>(Table23[[#This Row],[Quantity]]*Table23[[#This Row],[Unit Price]])-(Table23[[#This Row],[Unit Price]]*Table23[[#This Row],[Dscount]])*Table23[[#This Row],[Quantity]]</f>
        <v>58.212000000000003</v>
      </c>
      <c r="K404" s="8">
        <v>32.262</v>
      </c>
      <c r="L404" s="8">
        <f>Table23[[#This Row],[Revenue]]-Table23[[#This Row],[Total Cost]]</f>
        <v>25.950000000000003</v>
      </c>
      <c r="M404" s="16">
        <f>(Table23[[#This Row],[Profit]]/Table23[[#This Row],[Revenue]])</f>
        <v>0.44578437435580293</v>
      </c>
      <c r="N404" t="s">
        <v>33</v>
      </c>
    </row>
    <row r="405" spans="1:14" x14ac:dyDescent="0.25">
      <c r="A405" s="11" t="s">
        <v>281</v>
      </c>
      <c r="B405" s="6">
        <v>45344</v>
      </c>
      <c r="C405" s="11" t="s">
        <v>228</v>
      </c>
      <c r="D405" s="11" t="s">
        <v>14</v>
      </c>
      <c r="E405" s="11" t="s">
        <v>44</v>
      </c>
      <c r="F405" s="11" t="s">
        <v>16</v>
      </c>
      <c r="G405" s="7">
        <v>2</v>
      </c>
      <c r="H405" s="8">
        <v>29.21</v>
      </c>
      <c r="I405" s="13">
        <v>0.1</v>
      </c>
      <c r="J405" s="8">
        <f>(Table23[[#This Row],[Quantity]]*Table23[[#This Row],[Unit Price]])-(Table23[[#This Row],[Unit Price]]*Table23[[#This Row],[Dscount]])*Table23[[#This Row],[Quantity]]</f>
        <v>52.578000000000003</v>
      </c>
      <c r="K405" s="8">
        <v>26.648000000000003</v>
      </c>
      <c r="L405" s="8">
        <f>Table23[[#This Row],[Revenue]]-Table23[[#This Row],[Total Cost]]</f>
        <v>25.93</v>
      </c>
      <c r="M405" s="16">
        <f>(Table23[[#This Row],[Profit]]/Table23[[#This Row],[Revenue]])</f>
        <v>0.49317204914603063</v>
      </c>
      <c r="N405" t="s">
        <v>33</v>
      </c>
    </row>
    <row r="406" spans="1:14" x14ac:dyDescent="0.25">
      <c r="A406" s="11" t="s">
        <v>613</v>
      </c>
      <c r="B406" s="6">
        <v>45525</v>
      </c>
      <c r="C406" s="11" t="s">
        <v>614</v>
      </c>
      <c r="D406" s="11" t="s">
        <v>36</v>
      </c>
      <c r="E406" s="11" t="s">
        <v>514</v>
      </c>
      <c r="F406" s="11" t="s">
        <v>480</v>
      </c>
      <c r="G406" s="7">
        <v>1</v>
      </c>
      <c r="H406" s="8">
        <v>77.14</v>
      </c>
      <c r="I406" s="13">
        <v>0</v>
      </c>
      <c r="J406" s="8">
        <f>(Table23[[#This Row],[Quantity]]*Table23[[#This Row],[Unit Price]])-(Table23[[#This Row],[Unit Price]]*Table23[[#This Row],[Dscount]])*Table23[[#This Row],[Quantity]]</f>
        <v>77.14</v>
      </c>
      <c r="K406" s="8">
        <v>51.22</v>
      </c>
      <c r="L406" s="8">
        <f>Table23[[#This Row],[Revenue]]-Table23[[#This Row],[Total Cost]]</f>
        <v>25.92</v>
      </c>
      <c r="M406" s="16">
        <f>(Table23[[#This Row],[Profit]]/Table23[[#This Row],[Revenue]])</f>
        <v>0.33601244490536686</v>
      </c>
      <c r="N406" t="s">
        <v>33</v>
      </c>
    </row>
    <row r="407" spans="1:14" x14ac:dyDescent="0.25">
      <c r="A407" s="11" t="s">
        <v>1676</v>
      </c>
      <c r="B407" s="6">
        <v>45542</v>
      </c>
      <c r="C407" s="11" t="s">
        <v>1677</v>
      </c>
      <c r="D407" s="11" t="s">
        <v>24</v>
      </c>
      <c r="E407" s="11" t="s">
        <v>1439</v>
      </c>
      <c r="F407" s="11" t="s">
        <v>1417</v>
      </c>
      <c r="G407" s="7">
        <v>3</v>
      </c>
      <c r="H407" s="8">
        <v>46.25</v>
      </c>
      <c r="I407" s="13">
        <v>0.15</v>
      </c>
      <c r="J407" s="8">
        <f>(Table23[[#This Row],[Quantity]]*Table23[[#This Row],[Unit Price]])-(Table23[[#This Row],[Unit Price]]*Table23[[#This Row],[Dscount]])*Table23[[#This Row],[Quantity]]</f>
        <v>117.9375</v>
      </c>
      <c r="K407" s="8">
        <v>92.027500000000003</v>
      </c>
      <c r="L407" s="8">
        <f>Table23[[#This Row],[Revenue]]-Table23[[#This Row],[Total Cost]]</f>
        <v>25.909999999999997</v>
      </c>
      <c r="M407" s="16">
        <f>(Table23[[#This Row],[Profit]]/Table23[[#This Row],[Revenue]])</f>
        <v>0.21969263381028084</v>
      </c>
      <c r="N407" t="s">
        <v>33</v>
      </c>
    </row>
    <row r="408" spans="1:14" x14ac:dyDescent="0.25">
      <c r="A408" s="11" t="s">
        <v>1015</v>
      </c>
      <c r="B408" s="6">
        <v>45336</v>
      </c>
      <c r="C408" s="11" t="s">
        <v>74</v>
      </c>
      <c r="D408" s="11" t="s">
        <v>14</v>
      </c>
      <c r="E408" s="11" t="s">
        <v>843</v>
      </c>
      <c r="F408" s="11" t="s">
        <v>833</v>
      </c>
      <c r="G408" s="7">
        <v>1</v>
      </c>
      <c r="H408" s="8">
        <v>116.23</v>
      </c>
      <c r="I408" s="13">
        <v>0</v>
      </c>
      <c r="J408" s="8">
        <f>(Table23[[#This Row],[Quantity]]*Table23[[#This Row],[Unit Price]])-(Table23[[#This Row],[Unit Price]]*Table23[[#This Row],[Dscount]])*Table23[[#This Row],[Quantity]]</f>
        <v>116.23</v>
      </c>
      <c r="K408" s="8">
        <v>90.39</v>
      </c>
      <c r="L408" s="8">
        <f>Table23[[#This Row],[Revenue]]-Table23[[#This Row],[Total Cost]]</f>
        <v>25.840000000000003</v>
      </c>
      <c r="M408" s="16">
        <f>(Table23[[#This Row],[Profit]]/Table23[[#This Row],[Revenue]])</f>
        <v>0.22231781811924634</v>
      </c>
      <c r="N408" t="s">
        <v>48</v>
      </c>
    </row>
    <row r="409" spans="1:14" x14ac:dyDescent="0.25">
      <c r="A409" s="11" t="s">
        <v>1314</v>
      </c>
      <c r="B409" s="6">
        <v>45797</v>
      </c>
      <c r="C409" s="11" t="s">
        <v>366</v>
      </c>
      <c r="D409" s="11" t="s">
        <v>36</v>
      </c>
      <c r="E409" s="11" t="s">
        <v>1117</v>
      </c>
      <c r="F409" s="11" t="s">
        <v>1112</v>
      </c>
      <c r="G409" s="7">
        <v>2</v>
      </c>
      <c r="H409" s="8">
        <v>57.59</v>
      </c>
      <c r="I409" s="13">
        <v>0.25</v>
      </c>
      <c r="J409" s="8">
        <f>(Table23[[#This Row],[Quantity]]*Table23[[#This Row],[Unit Price]])-(Table23[[#This Row],[Unit Price]]*Table23[[#This Row],[Dscount]])*Table23[[#This Row],[Quantity]]</f>
        <v>86.385000000000005</v>
      </c>
      <c r="K409" s="8">
        <v>60.635000000000005</v>
      </c>
      <c r="L409" s="8">
        <f>Table23[[#This Row],[Revenue]]-Table23[[#This Row],[Total Cost]]</f>
        <v>25.75</v>
      </c>
      <c r="M409" s="16">
        <f>(Table23[[#This Row],[Profit]]/Table23[[#This Row],[Revenue]])</f>
        <v>0.29808415812930483</v>
      </c>
      <c r="N409" t="s">
        <v>33</v>
      </c>
    </row>
    <row r="410" spans="1:14" x14ac:dyDescent="0.25">
      <c r="A410" s="11" t="s">
        <v>1013</v>
      </c>
      <c r="B410" s="6">
        <v>45530</v>
      </c>
      <c r="C410" s="11" t="s">
        <v>1014</v>
      </c>
      <c r="D410" s="11" t="s">
        <v>31</v>
      </c>
      <c r="E410" s="11" t="s">
        <v>846</v>
      </c>
      <c r="F410" s="11" t="s">
        <v>833</v>
      </c>
      <c r="G410" s="7">
        <v>1</v>
      </c>
      <c r="H410" s="8">
        <v>141.66</v>
      </c>
      <c r="I410" s="13">
        <v>0.05</v>
      </c>
      <c r="J410" s="8">
        <f>(Table23[[#This Row],[Quantity]]*Table23[[#This Row],[Unit Price]])-(Table23[[#This Row],[Unit Price]]*Table23[[#This Row],[Dscount]])*Table23[[#This Row],[Quantity]]</f>
        <v>134.577</v>
      </c>
      <c r="K410" s="8">
        <v>108.857</v>
      </c>
      <c r="L410" s="8">
        <f>Table23[[#This Row],[Revenue]]-Table23[[#This Row],[Total Cost]]</f>
        <v>25.72</v>
      </c>
      <c r="M410" s="16">
        <f>(Table23[[#This Row],[Profit]]/Table23[[#This Row],[Revenue]])</f>
        <v>0.19111735289091003</v>
      </c>
      <c r="N410" t="s">
        <v>33</v>
      </c>
    </row>
    <row r="411" spans="1:14" x14ac:dyDescent="0.25">
      <c r="A411" s="11" t="s">
        <v>1011</v>
      </c>
      <c r="B411" s="6">
        <v>45567</v>
      </c>
      <c r="C411" s="11" t="s">
        <v>1012</v>
      </c>
      <c r="D411" s="11" t="s">
        <v>31</v>
      </c>
      <c r="E411" s="11" t="s">
        <v>835</v>
      </c>
      <c r="F411" s="11" t="s">
        <v>833</v>
      </c>
      <c r="G411" s="7">
        <v>1</v>
      </c>
      <c r="H411" s="8">
        <v>108.05</v>
      </c>
      <c r="I411" s="13">
        <v>0.05</v>
      </c>
      <c r="J411" s="8">
        <f>(Table23[[#This Row],[Quantity]]*Table23[[#This Row],[Unit Price]])-(Table23[[#This Row],[Unit Price]]*Table23[[#This Row],[Dscount]])*Table23[[#This Row],[Quantity]]</f>
        <v>102.64749999999999</v>
      </c>
      <c r="K411" s="8">
        <v>77.047499999999985</v>
      </c>
      <c r="L411" s="8">
        <f>Table23[[#This Row],[Revenue]]-Table23[[#This Row],[Total Cost]]</f>
        <v>25.600000000000009</v>
      </c>
      <c r="M411" s="16">
        <f>(Table23[[#This Row],[Profit]]/Table23[[#This Row],[Revenue]])</f>
        <v>0.24939720889451775</v>
      </c>
      <c r="N411" t="s">
        <v>33</v>
      </c>
    </row>
    <row r="412" spans="1:14" x14ac:dyDescent="0.25">
      <c r="A412" s="11" t="s">
        <v>1675</v>
      </c>
      <c r="B412" s="6">
        <v>46014</v>
      </c>
      <c r="C412" s="11" t="s">
        <v>1545</v>
      </c>
      <c r="D412" s="11" t="s">
        <v>14</v>
      </c>
      <c r="E412" s="11" t="s">
        <v>1416</v>
      </c>
      <c r="F412" s="11" t="s">
        <v>1417</v>
      </c>
      <c r="G412" s="7">
        <v>2</v>
      </c>
      <c r="H412" s="8">
        <v>39.15</v>
      </c>
      <c r="I412" s="13">
        <v>0</v>
      </c>
      <c r="J412" s="8">
        <f>(Table23[[#This Row],[Quantity]]*Table23[[#This Row],[Unit Price]])-(Table23[[#This Row],[Unit Price]]*Table23[[#This Row],[Dscount]])*Table23[[#This Row],[Quantity]]</f>
        <v>78.3</v>
      </c>
      <c r="K412" s="8">
        <v>52.699999999999996</v>
      </c>
      <c r="L412" s="8">
        <f>Table23[[#This Row],[Revenue]]-Table23[[#This Row],[Total Cost]]</f>
        <v>25.6</v>
      </c>
      <c r="M412" s="16">
        <f>(Table23[[#This Row],[Profit]]/Table23[[#This Row],[Revenue]])</f>
        <v>0.3269476372924649</v>
      </c>
      <c r="N412" t="s">
        <v>33</v>
      </c>
    </row>
    <row r="413" spans="1:14" x14ac:dyDescent="0.25">
      <c r="A413" s="11" t="s">
        <v>611</v>
      </c>
      <c r="B413" s="6">
        <v>45887</v>
      </c>
      <c r="C413" s="11" t="s">
        <v>612</v>
      </c>
      <c r="D413" s="11" t="s">
        <v>14</v>
      </c>
      <c r="E413" s="11" t="s">
        <v>496</v>
      </c>
      <c r="F413" s="11" t="s">
        <v>480</v>
      </c>
      <c r="G413" s="7">
        <v>2</v>
      </c>
      <c r="H413" s="8">
        <v>42.34</v>
      </c>
      <c r="I413" s="13">
        <v>0.15</v>
      </c>
      <c r="J413" s="8">
        <f>(Table23[[#This Row],[Quantity]]*Table23[[#This Row],[Unit Price]])-(Table23[[#This Row],[Unit Price]]*Table23[[#This Row],[Dscount]])*Table23[[#This Row],[Quantity]]</f>
        <v>71.978000000000009</v>
      </c>
      <c r="K413" s="8">
        <v>46.478000000000009</v>
      </c>
      <c r="L413" s="8">
        <f>Table23[[#This Row],[Revenue]]-Table23[[#This Row],[Total Cost]]</f>
        <v>25.5</v>
      </c>
      <c r="M413" s="16">
        <f>(Table23[[#This Row],[Profit]]/Table23[[#This Row],[Revenue]])</f>
        <v>0.35427491733585259</v>
      </c>
      <c r="N413" t="s">
        <v>33</v>
      </c>
    </row>
    <row r="414" spans="1:14" x14ac:dyDescent="0.25">
      <c r="A414" s="11" t="s">
        <v>279</v>
      </c>
      <c r="B414" s="6">
        <v>45700</v>
      </c>
      <c r="C414" s="11" t="s">
        <v>280</v>
      </c>
      <c r="D414" s="11" t="s">
        <v>36</v>
      </c>
      <c r="E414" s="11" t="s">
        <v>25</v>
      </c>
      <c r="F414" s="11" t="s">
        <v>16</v>
      </c>
      <c r="G414" s="7">
        <v>1</v>
      </c>
      <c r="H414" s="8">
        <v>49.28</v>
      </c>
      <c r="I414" s="13">
        <v>0.2</v>
      </c>
      <c r="J414" s="8">
        <f>(Table23[[#This Row],[Quantity]]*Table23[[#This Row],[Unit Price]])-(Table23[[#This Row],[Unit Price]]*Table23[[#This Row],[Dscount]])*Table23[[#This Row],[Quantity]]</f>
        <v>39.423999999999999</v>
      </c>
      <c r="K414" s="8">
        <v>13.934000000000001</v>
      </c>
      <c r="L414" s="8">
        <f>Table23[[#This Row],[Revenue]]-Table23[[#This Row],[Total Cost]]</f>
        <v>25.49</v>
      </c>
      <c r="M414" s="16">
        <f>(Table23[[#This Row],[Profit]]/Table23[[#This Row],[Revenue]])</f>
        <v>0.64656047077922074</v>
      </c>
      <c r="N414" t="s">
        <v>33</v>
      </c>
    </row>
    <row r="415" spans="1:14" x14ac:dyDescent="0.25">
      <c r="A415" s="11" t="s">
        <v>1010</v>
      </c>
      <c r="B415" s="6">
        <v>45435</v>
      </c>
      <c r="C415" s="11" t="s">
        <v>325</v>
      </c>
      <c r="D415" s="11" t="s">
        <v>24</v>
      </c>
      <c r="E415" s="11" t="s">
        <v>837</v>
      </c>
      <c r="F415" s="11" t="s">
        <v>833</v>
      </c>
      <c r="G415" s="7">
        <v>2</v>
      </c>
      <c r="H415" s="8">
        <v>95.25</v>
      </c>
      <c r="I415" s="13">
        <v>0.2</v>
      </c>
      <c r="J415" s="8">
        <f>(Table23[[#This Row],[Quantity]]*Table23[[#This Row],[Unit Price]])-(Table23[[#This Row],[Unit Price]]*Table23[[#This Row],[Dscount]])*Table23[[#This Row],[Quantity]]</f>
        <v>152.4</v>
      </c>
      <c r="K415" s="8">
        <v>126.95</v>
      </c>
      <c r="L415" s="8">
        <f>Table23[[#This Row],[Revenue]]-Table23[[#This Row],[Total Cost]]</f>
        <v>25.450000000000003</v>
      </c>
      <c r="M415" s="16">
        <f>(Table23[[#This Row],[Profit]]/Table23[[#This Row],[Revenue]])</f>
        <v>0.16699475065616798</v>
      </c>
      <c r="N415" t="s">
        <v>17</v>
      </c>
    </row>
    <row r="416" spans="1:14" x14ac:dyDescent="0.25">
      <c r="A416" s="11" t="s">
        <v>610</v>
      </c>
      <c r="B416" s="6">
        <v>45513</v>
      </c>
      <c r="C416" s="11" t="s">
        <v>372</v>
      </c>
      <c r="D416" s="11" t="s">
        <v>24</v>
      </c>
      <c r="E416" s="11" t="s">
        <v>500</v>
      </c>
      <c r="F416" s="11" t="s">
        <v>480</v>
      </c>
      <c r="G416" s="7">
        <v>1</v>
      </c>
      <c r="H416" s="8">
        <v>56.18</v>
      </c>
      <c r="I416" s="13">
        <v>0.1</v>
      </c>
      <c r="J416" s="8">
        <f>(Table23[[#This Row],[Quantity]]*Table23[[#This Row],[Unit Price]])-(Table23[[#This Row],[Unit Price]]*Table23[[#This Row],[Dscount]])*Table23[[#This Row],[Quantity]]</f>
        <v>50.561999999999998</v>
      </c>
      <c r="K416" s="8">
        <v>25.121999999999996</v>
      </c>
      <c r="L416" s="8">
        <f>Table23[[#This Row],[Revenue]]-Table23[[#This Row],[Total Cost]]</f>
        <v>25.44</v>
      </c>
      <c r="M416" s="16">
        <f>(Table23[[#This Row],[Profit]]/Table23[[#This Row],[Revenue]])</f>
        <v>0.50314465408805031</v>
      </c>
      <c r="N416" t="s">
        <v>33</v>
      </c>
    </row>
    <row r="417" spans="1:14" x14ac:dyDescent="0.25">
      <c r="A417" s="11" t="s">
        <v>1008</v>
      </c>
      <c r="B417" s="6">
        <v>45500</v>
      </c>
      <c r="C417" s="11" t="s">
        <v>1009</v>
      </c>
      <c r="D417" s="11" t="s">
        <v>24</v>
      </c>
      <c r="E417" s="11" t="s">
        <v>860</v>
      </c>
      <c r="F417" s="11" t="s">
        <v>833</v>
      </c>
      <c r="G417" s="7">
        <v>2</v>
      </c>
      <c r="H417" s="8">
        <v>74.8</v>
      </c>
      <c r="I417" s="13">
        <v>0.15</v>
      </c>
      <c r="J417" s="8">
        <f>(Table23[[#This Row],[Quantity]]*Table23[[#This Row],[Unit Price]])-(Table23[[#This Row],[Unit Price]]*Table23[[#This Row],[Dscount]])*Table23[[#This Row],[Quantity]]</f>
        <v>127.16</v>
      </c>
      <c r="K417" s="8">
        <v>101.78999999999999</v>
      </c>
      <c r="L417" s="8">
        <f>Table23[[#This Row],[Revenue]]-Table23[[#This Row],[Total Cost]]</f>
        <v>25.370000000000005</v>
      </c>
      <c r="M417" s="16">
        <f>(Table23[[#This Row],[Profit]]/Table23[[#This Row],[Revenue]])</f>
        <v>0.19951242529097205</v>
      </c>
      <c r="N417" t="s">
        <v>33</v>
      </c>
    </row>
    <row r="418" spans="1:14" x14ac:dyDescent="0.25">
      <c r="A418" s="11" t="s">
        <v>277</v>
      </c>
      <c r="B418" s="6">
        <v>45590</v>
      </c>
      <c r="C418" s="11" t="s">
        <v>278</v>
      </c>
      <c r="D418" s="11" t="s">
        <v>31</v>
      </c>
      <c r="E418" s="11" t="s">
        <v>15</v>
      </c>
      <c r="F418" s="11" t="s">
        <v>16</v>
      </c>
      <c r="G418" s="7">
        <v>1</v>
      </c>
      <c r="H418" s="8">
        <v>38.909999999999997</v>
      </c>
      <c r="I418" s="13">
        <v>0</v>
      </c>
      <c r="J418" s="8">
        <f>(Table23[[#This Row],[Quantity]]*Table23[[#This Row],[Unit Price]])-(Table23[[#This Row],[Unit Price]]*Table23[[#This Row],[Dscount]])*Table23[[#This Row],[Quantity]]</f>
        <v>38.909999999999997</v>
      </c>
      <c r="K418" s="8">
        <v>13.629999999999995</v>
      </c>
      <c r="L418" s="8">
        <f>Table23[[#This Row],[Revenue]]-Table23[[#This Row],[Total Cost]]</f>
        <v>25.28</v>
      </c>
      <c r="M418" s="16">
        <f>(Table23[[#This Row],[Profit]]/Table23[[#This Row],[Revenue]])</f>
        <v>0.6497044461578001</v>
      </c>
      <c r="N418" t="s">
        <v>17</v>
      </c>
    </row>
    <row r="419" spans="1:14" x14ac:dyDescent="0.25">
      <c r="A419" s="11" t="s">
        <v>1674</v>
      </c>
      <c r="B419" s="6">
        <v>46014</v>
      </c>
      <c r="C419" s="11" t="s">
        <v>112</v>
      </c>
      <c r="D419" s="11" t="s">
        <v>24</v>
      </c>
      <c r="E419" s="11" t="s">
        <v>1457</v>
      </c>
      <c r="F419" s="11" t="s">
        <v>1417</v>
      </c>
      <c r="G419" s="7">
        <v>2</v>
      </c>
      <c r="H419" s="8">
        <v>45.02</v>
      </c>
      <c r="I419" s="13">
        <v>0.15</v>
      </c>
      <c r="J419" s="8">
        <f>(Table23[[#This Row],[Quantity]]*Table23[[#This Row],[Unit Price]])-(Table23[[#This Row],[Unit Price]]*Table23[[#This Row],[Dscount]])*Table23[[#This Row],[Quantity]]</f>
        <v>76.534000000000006</v>
      </c>
      <c r="K419" s="8">
        <v>51.394000000000005</v>
      </c>
      <c r="L419" s="8">
        <f>Table23[[#This Row],[Revenue]]-Table23[[#This Row],[Total Cost]]</f>
        <v>25.14</v>
      </c>
      <c r="M419" s="16">
        <f>(Table23[[#This Row],[Profit]]/Table23[[#This Row],[Revenue]])</f>
        <v>0.32848145922073846</v>
      </c>
      <c r="N419" t="s">
        <v>48</v>
      </c>
    </row>
    <row r="420" spans="1:14" x14ac:dyDescent="0.25">
      <c r="A420" s="11" t="s">
        <v>609</v>
      </c>
      <c r="B420" s="6">
        <v>45790</v>
      </c>
      <c r="C420" s="11" t="s">
        <v>90</v>
      </c>
      <c r="D420" s="11" t="s">
        <v>14</v>
      </c>
      <c r="E420" s="11" t="s">
        <v>503</v>
      </c>
      <c r="F420" s="11" t="s">
        <v>480</v>
      </c>
      <c r="G420" s="7">
        <v>1</v>
      </c>
      <c r="H420" s="8">
        <v>84.47</v>
      </c>
      <c r="I420" s="13">
        <v>0.05</v>
      </c>
      <c r="J420" s="8">
        <f>(Table23[[#This Row],[Quantity]]*Table23[[#This Row],[Unit Price]])-(Table23[[#This Row],[Unit Price]]*Table23[[#This Row],[Dscount]])*Table23[[#This Row],[Quantity]]</f>
        <v>80.246499999999997</v>
      </c>
      <c r="K420" s="8">
        <v>55.126499999999993</v>
      </c>
      <c r="L420" s="8">
        <f>Table23[[#This Row],[Revenue]]-Table23[[#This Row],[Total Cost]]</f>
        <v>25.120000000000005</v>
      </c>
      <c r="M420" s="16">
        <f>(Table23[[#This Row],[Profit]]/Table23[[#This Row],[Revenue]])</f>
        <v>0.31303545949044514</v>
      </c>
      <c r="N420" t="s">
        <v>17</v>
      </c>
    </row>
    <row r="421" spans="1:14" x14ac:dyDescent="0.25">
      <c r="A421" s="11" t="s">
        <v>1006</v>
      </c>
      <c r="B421" s="6">
        <v>45756</v>
      </c>
      <c r="C421" s="11" t="s">
        <v>1007</v>
      </c>
      <c r="D421" s="11" t="s">
        <v>36</v>
      </c>
      <c r="E421" s="11" t="s">
        <v>848</v>
      </c>
      <c r="F421" s="11" t="s">
        <v>833</v>
      </c>
      <c r="G421" s="7">
        <v>1</v>
      </c>
      <c r="H421" s="8">
        <v>117.29</v>
      </c>
      <c r="I421" s="13">
        <v>0.1</v>
      </c>
      <c r="J421" s="8">
        <f>(Table23[[#This Row],[Quantity]]*Table23[[#This Row],[Unit Price]])-(Table23[[#This Row],[Unit Price]]*Table23[[#This Row],[Dscount]])*Table23[[#This Row],[Quantity]]</f>
        <v>105.56100000000001</v>
      </c>
      <c r="K421" s="8">
        <v>80.491000000000014</v>
      </c>
      <c r="L421" s="8">
        <f>Table23[[#This Row],[Revenue]]-Table23[[#This Row],[Total Cost]]</f>
        <v>25.069999999999993</v>
      </c>
      <c r="M421" s="16">
        <f>(Table23[[#This Row],[Profit]]/Table23[[#This Row],[Revenue]])</f>
        <v>0.23749301351825003</v>
      </c>
      <c r="N421" t="s">
        <v>33</v>
      </c>
    </row>
    <row r="422" spans="1:14" x14ac:dyDescent="0.25">
      <c r="A422" s="11" t="s">
        <v>1672</v>
      </c>
      <c r="B422" s="6">
        <v>45671</v>
      </c>
      <c r="C422" s="11" t="s">
        <v>1673</v>
      </c>
      <c r="D422" s="11" t="s">
        <v>36</v>
      </c>
      <c r="E422" s="11" t="s">
        <v>1439</v>
      </c>
      <c r="F422" s="11" t="s">
        <v>1417</v>
      </c>
      <c r="G422" s="7">
        <v>2</v>
      </c>
      <c r="H422" s="8">
        <v>58.72</v>
      </c>
      <c r="I422" s="13">
        <v>0</v>
      </c>
      <c r="J422" s="8">
        <f>(Table23[[#This Row],[Quantity]]*Table23[[#This Row],[Unit Price]])-(Table23[[#This Row],[Unit Price]]*Table23[[#This Row],[Dscount]])*Table23[[#This Row],[Quantity]]</f>
        <v>117.44</v>
      </c>
      <c r="K422" s="8">
        <v>92.42</v>
      </c>
      <c r="L422" s="8">
        <f>Table23[[#This Row],[Revenue]]-Table23[[#This Row],[Total Cost]]</f>
        <v>25.019999999999996</v>
      </c>
      <c r="M422" s="16">
        <f>(Table23[[#This Row],[Profit]]/Table23[[#This Row],[Revenue]])</f>
        <v>0.21304495912806537</v>
      </c>
      <c r="N422" t="s">
        <v>17</v>
      </c>
    </row>
    <row r="423" spans="1:14" x14ac:dyDescent="0.25">
      <c r="A423" s="11" t="s">
        <v>1313</v>
      </c>
      <c r="B423" s="6">
        <v>45544</v>
      </c>
      <c r="C423" s="11" t="s">
        <v>1186</v>
      </c>
      <c r="D423" s="11" t="s">
        <v>31</v>
      </c>
      <c r="E423" s="11" t="s">
        <v>1155</v>
      </c>
      <c r="F423" s="11" t="s">
        <v>1112</v>
      </c>
      <c r="G423" s="7">
        <v>2</v>
      </c>
      <c r="H423" s="8">
        <v>36.26</v>
      </c>
      <c r="I423" s="13">
        <v>0</v>
      </c>
      <c r="J423" s="8">
        <f>(Table23[[#This Row],[Quantity]]*Table23[[#This Row],[Unit Price]])-(Table23[[#This Row],[Unit Price]]*Table23[[#This Row],[Dscount]])*Table23[[#This Row],[Quantity]]</f>
        <v>72.52</v>
      </c>
      <c r="K423" s="8">
        <v>47.509999999999991</v>
      </c>
      <c r="L423" s="8">
        <f>Table23[[#This Row],[Revenue]]-Table23[[#This Row],[Total Cost]]</f>
        <v>25.010000000000005</v>
      </c>
      <c r="M423" s="16">
        <f>(Table23[[#This Row],[Profit]]/Table23[[#This Row],[Revenue]])</f>
        <v>0.3448703805846664</v>
      </c>
      <c r="N423" t="s">
        <v>17</v>
      </c>
    </row>
    <row r="424" spans="1:14" x14ac:dyDescent="0.25">
      <c r="A424" s="11" t="s">
        <v>607</v>
      </c>
      <c r="B424" s="6">
        <v>45404</v>
      </c>
      <c r="C424" s="11" t="s">
        <v>608</v>
      </c>
      <c r="D424" s="11" t="s">
        <v>36</v>
      </c>
      <c r="E424" s="11" t="s">
        <v>486</v>
      </c>
      <c r="F424" s="11" t="s">
        <v>480</v>
      </c>
      <c r="G424" s="7">
        <v>1</v>
      </c>
      <c r="H424" s="8">
        <v>63.15</v>
      </c>
      <c r="I424" s="13">
        <v>0.25</v>
      </c>
      <c r="J424" s="8">
        <f>(Table23[[#This Row],[Quantity]]*Table23[[#This Row],[Unit Price]])-(Table23[[#This Row],[Unit Price]]*Table23[[#This Row],[Dscount]])*Table23[[#This Row],[Quantity]]</f>
        <v>47.362499999999997</v>
      </c>
      <c r="K424" s="8">
        <v>22.352499999999996</v>
      </c>
      <c r="L424" s="8">
        <f>Table23[[#This Row],[Revenue]]-Table23[[#This Row],[Total Cost]]</f>
        <v>25.01</v>
      </c>
      <c r="M424" s="16">
        <f>(Table23[[#This Row],[Profit]]/Table23[[#This Row],[Revenue]])</f>
        <v>0.52805489575085784</v>
      </c>
      <c r="N424" t="s">
        <v>17</v>
      </c>
    </row>
    <row r="425" spans="1:14" x14ac:dyDescent="0.25">
      <c r="A425" s="11" t="s">
        <v>1311</v>
      </c>
      <c r="B425" s="6">
        <v>45370</v>
      </c>
      <c r="C425" s="11" t="s">
        <v>1312</v>
      </c>
      <c r="D425" s="11" t="s">
        <v>20</v>
      </c>
      <c r="E425" s="11" t="s">
        <v>1114</v>
      </c>
      <c r="F425" s="11" t="s">
        <v>1112</v>
      </c>
      <c r="G425" s="7">
        <v>3</v>
      </c>
      <c r="H425" s="8">
        <v>53.4</v>
      </c>
      <c r="I425" s="13">
        <v>0.25</v>
      </c>
      <c r="J425" s="8">
        <f>(Table23[[#This Row],[Quantity]]*Table23[[#This Row],[Unit Price]])-(Table23[[#This Row],[Unit Price]]*Table23[[#This Row],[Dscount]])*Table23[[#This Row],[Quantity]]</f>
        <v>120.14999999999999</v>
      </c>
      <c r="K425" s="8">
        <v>95.22999999999999</v>
      </c>
      <c r="L425" s="8">
        <f>Table23[[#This Row],[Revenue]]-Table23[[#This Row],[Total Cost]]</f>
        <v>24.92</v>
      </c>
      <c r="M425" s="16">
        <f>(Table23[[#This Row],[Profit]]/Table23[[#This Row],[Revenue]])</f>
        <v>0.20740740740740743</v>
      </c>
      <c r="N425" t="s">
        <v>33</v>
      </c>
    </row>
    <row r="426" spans="1:14" x14ac:dyDescent="0.25">
      <c r="A426" s="11" t="s">
        <v>275</v>
      </c>
      <c r="B426" s="6">
        <v>45586</v>
      </c>
      <c r="C426" s="11" t="s">
        <v>276</v>
      </c>
      <c r="D426" s="11" t="s">
        <v>14</v>
      </c>
      <c r="E426" s="11" t="s">
        <v>28</v>
      </c>
      <c r="F426" s="11" t="s">
        <v>16</v>
      </c>
      <c r="G426" s="7">
        <v>1</v>
      </c>
      <c r="H426" s="8">
        <v>49.62</v>
      </c>
      <c r="I426" s="13">
        <v>0.05</v>
      </c>
      <c r="J426" s="8">
        <f>(Table23[[#This Row],[Quantity]]*Table23[[#This Row],[Unit Price]])-(Table23[[#This Row],[Unit Price]]*Table23[[#This Row],[Dscount]])*Table23[[#This Row],[Quantity]]</f>
        <v>47.138999999999996</v>
      </c>
      <c r="K426" s="8">
        <v>22.288999999999994</v>
      </c>
      <c r="L426" s="8">
        <f>Table23[[#This Row],[Revenue]]-Table23[[#This Row],[Total Cost]]</f>
        <v>24.85</v>
      </c>
      <c r="M426" s="16">
        <f>(Table23[[#This Row],[Profit]]/Table23[[#This Row],[Revenue]])</f>
        <v>0.52716434374933718</v>
      </c>
      <c r="N426" t="s">
        <v>33</v>
      </c>
    </row>
    <row r="427" spans="1:14" x14ac:dyDescent="0.25">
      <c r="A427" s="11" t="s">
        <v>1309</v>
      </c>
      <c r="B427" s="6">
        <v>46002</v>
      </c>
      <c r="C427" s="11" t="s">
        <v>1310</v>
      </c>
      <c r="D427" s="11" t="s">
        <v>31</v>
      </c>
      <c r="E427" s="11" t="s">
        <v>1134</v>
      </c>
      <c r="F427" s="11" t="s">
        <v>1112</v>
      </c>
      <c r="G427" s="7">
        <v>2</v>
      </c>
      <c r="H427" s="8">
        <v>34.56</v>
      </c>
      <c r="I427" s="13">
        <v>0</v>
      </c>
      <c r="J427" s="8">
        <f>(Table23[[#This Row],[Quantity]]*Table23[[#This Row],[Unit Price]])-(Table23[[#This Row],[Unit Price]]*Table23[[#This Row],[Dscount]])*Table23[[#This Row],[Quantity]]</f>
        <v>69.12</v>
      </c>
      <c r="K427" s="8">
        <v>44.330000000000005</v>
      </c>
      <c r="L427" s="8">
        <f>Table23[[#This Row],[Revenue]]-Table23[[#This Row],[Total Cost]]</f>
        <v>24.79</v>
      </c>
      <c r="M427" s="16">
        <f>(Table23[[#This Row],[Profit]]/Table23[[#This Row],[Revenue]])</f>
        <v>0.35865162037037035</v>
      </c>
      <c r="N427" t="s">
        <v>17</v>
      </c>
    </row>
    <row r="428" spans="1:14" x14ac:dyDescent="0.25">
      <c r="A428" s="11" t="s">
        <v>1004</v>
      </c>
      <c r="B428" s="6">
        <v>45294</v>
      </c>
      <c r="C428" s="11" t="s">
        <v>1005</v>
      </c>
      <c r="D428" s="11" t="s">
        <v>31</v>
      </c>
      <c r="E428" s="11" t="s">
        <v>840</v>
      </c>
      <c r="F428" s="11" t="s">
        <v>833</v>
      </c>
      <c r="G428" s="7">
        <v>1</v>
      </c>
      <c r="H428" s="8">
        <v>133.26</v>
      </c>
      <c r="I428" s="13">
        <v>0.1</v>
      </c>
      <c r="J428" s="8">
        <f>(Table23[[#This Row],[Quantity]]*Table23[[#This Row],[Unit Price]])-(Table23[[#This Row],[Unit Price]]*Table23[[#This Row],[Dscount]])*Table23[[#This Row],[Quantity]]</f>
        <v>119.934</v>
      </c>
      <c r="K428" s="8">
        <v>95.263999999999996</v>
      </c>
      <c r="L428" s="8">
        <f>Table23[[#This Row],[Revenue]]-Table23[[#This Row],[Total Cost]]</f>
        <v>24.67</v>
      </c>
      <c r="M428" s="16">
        <f>(Table23[[#This Row],[Profit]]/Table23[[#This Row],[Revenue]])</f>
        <v>0.20569646638984776</v>
      </c>
      <c r="N428" t="s">
        <v>33</v>
      </c>
    </row>
    <row r="429" spans="1:14" x14ac:dyDescent="0.25">
      <c r="A429" s="11" t="s">
        <v>273</v>
      </c>
      <c r="B429" s="6">
        <v>45679</v>
      </c>
      <c r="C429" s="11" t="s">
        <v>274</v>
      </c>
      <c r="D429" s="11" t="s">
        <v>36</v>
      </c>
      <c r="E429" s="11" t="s">
        <v>25</v>
      </c>
      <c r="F429" s="11" t="s">
        <v>16</v>
      </c>
      <c r="G429" s="7">
        <v>1</v>
      </c>
      <c r="H429" s="8">
        <v>45.21</v>
      </c>
      <c r="I429" s="13">
        <v>0.1</v>
      </c>
      <c r="J429" s="8">
        <f>(Table23[[#This Row],[Quantity]]*Table23[[#This Row],[Unit Price]])-(Table23[[#This Row],[Unit Price]]*Table23[[#This Row],[Dscount]])*Table23[[#This Row],[Quantity]]</f>
        <v>40.689</v>
      </c>
      <c r="K429" s="8">
        <v>16.029</v>
      </c>
      <c r="L429" s="8">
        <f>Table23[[#This Row],[Revenue]]-Table23[[#This Row],[Total Cost]]</f>
        <v>24.66</v>
      </c>
      <c r="M429" s="16">
        <f>(Table23[[#This Row],[Profit]]/Table23[[#This Row],[Revenue]])</f>
        <v>0.60606060606060608</v>
      </c>
      <c r="N429" t="s">
        <v>17</v>
      </c>
    </row>
    <row r="430" spans="1:14" x14ac:dyDescent="0.25">
      <c r="A430" s="11" t="s">
        <v>1002</v>
      </c>
      <c r="B430" s="6">
        <v>45368</v>
      </c>
      <c r="C430" s="11" t="s">
        <v>1003</v>
      </c>
      <c r="D430" s="11" t="s">
        <v>36</v>
      </c>
      <c r="E430" s="11" t="s">
        <v>837</v>
      </c>
      <c r="F430" s="11" t="s">
        <v>833</v>
      </c>
      <c r="G430" s="7">
        <v>5</v>
      </c>
      <c r="H430" s="8">
        <v>36.299999999999997</v>
      </c>
      <c r="I430" s="13">
        <v>0.05</v>
      </c>
      <c r="J430" s="8">
        <f>(Table23[[#This Row],[Quantity]]*Table23[[#This Row],[Unit Price]])-(Table23[[#This Row],[Unit Price]]*Table23[[#This Row],[Dscount]])*Table23[[#This Row],[Quantity]]</f>
        <v>172.42500000000001</v>
      </c>
      <c r="K430" s="8">
        <v>147.76500000000001</v>
      </c>
      <c r="L430" s="8">
        <f>Table23[[#This Row],[Revenue]]-Table23[[#This Row],[Total Cost]]</f>
        <v>24.659999999999997</v>
      </c>
      <c r="M430" s="16">
        <f>(Table23[[#This Row],[Profit]]/Table23[[#This Row],[Revenue]])</f>
        <v>0.14301870378425399</v>
      </c>
      <c r="N430" t="s">
        <v>48</v>
      </c>
    </row>
    <row r="431" spans="1:14" x14ac:dyDescent="0.25">
      <c r="A431" s="11" t="s">
        <v>1670</v>
      </c>
      <c r="B431" s="6">
        <v>45808</v>
      </c>
      <c r="C431" s="11" t="s">
        <v>1671</v>
      </c>
      <c r="D431" s="11" t="s">
        <v>14</v>
      </c>
      <c r="E431" s="11" t="s">
        <v>1429</v>
      </c>
      <c r="F431" s="11" t="s">
        <v>1417</v>
      </c>
      <c r="G431" s="7">
        <v>2</v>
      </c>
      <c r="H431" s="8">
        <v>58.65</v>
      </c>
      <c r="I431" s="13">
        <v>0.2</v>
      </c>
      <c r="J431" s="8">
        <f>(Table23[[#This Row],[Quantity]]*Table23[[#This Row],[Unit Price]])-(Table23[[#This Row],[Unit Price]]*Table23[[#This Row],[Dscount]])*Table23[[#This Row],[Quantity]]</f>
        <v>93.84</v>
      </c>
      <c r="K431" s="8">
        <v>69.23</v>
      </c>
      <c r="L431" s="8">
        <f>Table23[[#This Row],[Revenue]]-Table23[[#This Row],[Total Cost]]</f>
        <v>24.61</v>
      </c>
      <c r="M431" s="16">
        <f>(Table23[[#This Row],[Profit]]/Table23[[#This Row],[Revenue]])</f>
        <v>0.26225490196078433</v>
      </c>
      <c r="N431" t="s">
        <v>33</v>
      </c>
    </row>
    <row r="432" spans="1:14" x14ac:dyDescent="0.25">
      <c r="A432" s="11" t="s">
        <v>605</v>
      </c>
      <c r="B432" s="6">
        <v>45981</v>
      </c>
      <c r="C432" s="11" t="s">
        <v>606</v>
      </c>
      <c r="D432" s="11" t="s">
        <v>36</v>
      </c>
      <c r="E432" s="11" t="s">
        <v>489</v>
      </c>
      <c r="F432" s="11" t="s">
        <v>480</v>
      </c>
      <c r="G432" s="7">
        <v>2</v>
      </c>
      <c r="H432" s="8">
        <v>24.18</v>
      </c>
      <c r="I432" s="13">
        <v>0</v>
      </c>
      <c r="J432" s="8">
        <f>(Table23[[#This Row],[Quantity]]*Table23[[#This Row],[Unit Price]])-(Table23[[#This Row],[Unit Price]]*Table23[[#This Row],[Dscount]])*Table23[[#This Row],[Quantity]]</f>
        <v>48.36</v>
      </c>
      <c r="K432" s="8">
        <v>24.16</v>
      </c>
      <c r="L432" s="8">
        <f>Table23[[#This Row],[Revenue]]-Table23[[#This Row],[Total Cost]]</f>
        <v>24.2</v>
      </c>
      <c r="M432" s="16">
        <f>(Table23[[#This Row],[Profit]]/Table23[[#This Row],[Revenue]])</f>
        <v>0.50041356492969391</v>
      </c>
      <c r="N432" t="s">
        <v>33</v>
      </c>
    </row>
    <row r="433" spans="1:14" x14ac:dyDescent="0.25">
      <c r="A433" s="11" t="s">
        <v>271</v>
      </c>
      <c r="B433" s="6">
        <v>45632</v>
      </c>
      <c r="C433" s="11" t="s">
        <v>272</v>
      </c>
      <c r="D433" s="11" t="s">
        <v>14</v>
      </c>
      <c r="E433" s="11" t="s">
        <v>44</v>
      </c>
      <c r="F433" s="11" t="s">
        <v>16</v>
      </c>
      <c r="G433" s="7">
        <v>2</v>
      </c>
      <c r="H433" s="8">
        <v>23.36</v>
      </c>
      <c r="I433" s="13">
        <v>0.1</v>
      </c>
      <c r="J433" s="8">
        <f>(Table23[[#This Row],[Quantity]]*Table23[[#This Row],[Unit Price]])-(Table23[[#This Row],[Unit Price]]*Table23[[#This Row],[Dscount]])*Table23[[#This Row],[Quantity]]</f>
        <v>42.048000000000002</v>
      </c>
      <c r="K433" s="8">
        <v>17.908000000000001</v>
      </c>
      <c r="L433" s="8">
        <f>Table23[[#This Row],[Revenue]]-Table23[[#This Row],[Total Cost]]</f>
        <v>24.14</v>
      </c>
      <c r="M433" s="16">
        <f>(Table23[[#This Row],[Profit]]/Table23[[#This Row],[Revenue]])</f>
        <v>0.57410578386605782</v>
      </c>
      <c r="N433" t="s">
        <v>17</v>
      </c>
    </row>
    <row r="434" spans="1:14" x14ac:dyDescent="0.25">
      <c r="A434" s="11" t="s">
        <v>1308</v>
      </c>
      <c r="B434" s="6">
        <v>45827</v>
      </c>
      <c r="C434" s="11" t="s">
        <v>1216</v>
      </c>
      <c r="D434" s="11" t="s">
        <v>24</v>
      </c>
      <c r="E434" s="11" t="s">
        <v>1155</v>
      </c>
      <c r="F434" s="11" t="s">
        <v>1112</v>
      </c>
      <c r="G434" s="7">
        <v>1</v>
      </c>
      <c r="H434" s="8">
        <v>69.88</v>
      </c>
      <c r="I434" s="13">
        <v>0.05</v>
      </c>
      <c r="J434" s="8">
        <f>(Table23[[#This Row],[Quantity]]*Table23[[#This Row],[Unit Price]])-(Table23[[#This Row],[Unit Price]]*Table23[[#This Row],[Dscount]])*Table23[[#This Row],[Quantity]]</f>
        <v>66.385999999999996</v>
      </c>
      <c r="K434" s="8">
        <v>42.256</v>
      </c>
      <c r="L434" s="8">
        <f>Table23[[#This Row],[Revenue]]-Table23[[#This Row],[Total Cost]]</f>
        <v>24.129999999999995</v>
      </c>
      <c r="M434" s="16">
        <f>(Table23[[#This Row],[Profit]]/Table23[[#This Row],[Revenue]])</f>
        <v>0.36348025186033195</v>
      </c>
      <c r="N434" t="s">
        <v>17</v>
      </c>
    </row>
    <row r="435" spans="1:14" x14ac:dyDescent="0.25">
      <c r="A435" s="11" t="s">
        <v>1668</v>
      </c>
      <c r="B435" s="6">
        <v>45430</v>
      </c>
      <c r="C435" s="11" t="s">
        <v>1669</v>
      </c>
      <c r="D435" s="11" t="s">
        <v>31</v>
      </c>
      <c r="E435" s="11" t="s">
        <v>1439</v>
      </c>
      <c r="F435" s="11" t="s">
        <v>1417</v>
      </c>
      <c r="G435" s="7">
        <v>3</v>
      </c>
      <c r="H435" s="8">
        <v>50.02</v>
      </c>
      <c r="I435" s="13">
        <v>0</v>
      </c>
      <c r="J435" s="8">
        <f>(Table23[[#This Row],[Quantity]]*Table23[[#This Row],[Unit Price]])-(Table23[[#This Row],[Unit Price]]*Table23[[#This Row],[Dscount]])*Table23[[#This Row],[Quantity]]</f>
        <v>150.06</v>
      </c>
      <c r="K435" s="8">
        <v>126.13</v>
      </c>
      <c r="L435" s="8">
        <f>Table23[[#This Row],[Revenue]]-Table23[[#This Row],[Total Cost]]</f>
        <v>23.930000000000007</v>
      </c>
      <c r="M435" s="16">
        <f>(Table23[[#This Row],[Profit]]/Table23[[#This Row],[Revenue]])</f>
        <v>0.15946954551512732</v>
      </c>
      <c r="N435" t="s">
        <v>17</v>
      </c>
    </row>
    <row r="436" spans="1:14" x14ac:dyDescent="0.25">
      <c r="A436" s="11" t="s">
        <v>1307</v>
      </c>
      <c r="B436" s="6">
        <v>45864</v>
      </c>
      <c r="C436" s="11" t="s">
        <v>1029</v>
      </c>
      <c r="D436" s="11" t="s">
        <v>14</v>
      </c>
      <c r="E436" s="11" t="s">
        <v>1134</v>
      </c>
      <c r="F436" s="11" t="s">
        <v>1112</v>
      </c>
      <c r="G436" s="7">
        <v>1</v>
      </c>
      <c r="H436" s="8">
        <v>71.19</v>
      </c>
      <c r="I436" s="13">
        <v>0.15</v>
      </c>
      <c r="J436" s="8">
        <f>(Table23[[#This Row],[Quantity]]*Table23[[#This Row],[Unit Price]])-(Table23[[#This Row],[Unit Price]]*Table23[[#This Row],[Dscount]])*Table23[[#This Row],[Quantity]]</f>
        <v>60.511499999999998</v>
      </c>
      <c r="K436" s="8">
        <v>36.601500000000001</v>
      </c>
      <c r="L436" s="8">
        <f>Table23[[#This Row],[Revenue]]-Table23[[#This Row],[Total Cost]]</f>
        <v>23.909999999999997</v>
      </c>
      <c r="M436" s="16">
        <f>(Table23[[#This Row],[Profit]]/Table23[[#This Row],[Revenue]])</f>
        <v>0.3951315039290052</v>
      </c>
      <c r="N436" t="s">
        <v>33</v>
      </c>
    </row>
    <row r="437" spans="1:14" x14ac:dyDescent="0.25">
      <c r="A437" s="11" t="s">
        <v>1000</v>
      </c>
      <c r="B437" s="6">
        <v>45451</v>
      </c>
      <c r="C437" s="11" t="s">
        <v>1001</v>
      </c>
      <c r="D437" s="11" t="s">
        <v>24</v>
      </c>
      <c r="E437" s="11" t="s">
        <v>837</v>
      </c>
      <c r="F437" s="11" t="s">
        <v>833</v>
      </c>
      <c r="G437" s="7">
        <v>3</v>
      </c>
      <c r="H437" s="8">
        <v>104.59</v>
      </c>
      <c r="I437" s="13">
        <v>0.15</v>
      </c>
      <c r="J437" s="8">
        <f>(Table23[[#This Row],[Quantity]]*Table23[[#This Row],[Unit Price]])-(Table23[[#This Row],[Unit Price]]*Table23[[#This Row],[Dscount]])*Table23[[#This Row],[Quantity]]</f>
        <v>266.7045</v>
      </c>
      <c r="K437" s="8">
        <v>242.8245</v>
      </c>
      <c r="L437" s="8">
        <f>Table23[[#This Row],[Revenue]]-Table23[[#This Row],[Total Cost]]</f>
        <v>23.879999999999995</v>
      </c>
      <c r="M437" s="16">
        <f>(Table23[[#This Row],[Profit]]/Table23[[#This Row],[Revenue]])</f>
        <v>8.9537296896002858E-2</v>
      </c>
      <c r="N437" t="s">
        <v>33</v>
      </c>
    </row>
    <row r="438" spans="1:14" x14ac:dyDescent="0.25">
      <c r="A438" s="11" t="s">
        <v>269</v>
      </c>
      <c r="B438" s="6">
        <v>45959</v>
      </c>
      <c r="C438" s="11" t="s">
        <v>270</v>
      </c>
      <c r="D438" s="11" t="s">
        <v>36</v>
      </c>
      <c r="E438" s="11" t="s">
        <v>39</v>
      </c>
      <c r="F438" s="11" t="s">
        <v>16</v>
      </c>
      <c r="G438" s="7">
        <v>1</v>
      </c>
      <c r="H438" s="8">
        <v>49.22</v>
      </c>
      <c r="I438" s="13">
        <v>0.15</v>
      </c>
      <c r="J438" s="8">
        <f>(Table23[[#This Row],[Quantity]]*Table23[[#This Row],[Unit Price]])-(Table23[[#This Row],[Unit Price]]*Table23[[#This Row],[Dscount]])*Table23[[#This Row],[Quantity]]</f>
        <v>41.837000000000003</v>
      </c>
      <c r="K438" s="8">
        <v>18.017000000000003</v>
      </c>
      <c r="L438" s="8">
        <f>Table23[[#This Row],[Revenue]]-Table23[[#This Row],[Total Cost]]</f>
        <v>23.82</v>
      </c>
      <c r="M438" s="16">
        <f>(Table23[[#This Row],[Profit]]/Table23[[#This Row],[Revenue]])</f>
        <v>0.569352487033009</v>
      </c>
      <c r="N438" t="s">
        <v>17</v>
      </c>
    </row>
    <row r="439" spans="1:14" x14ac:dyDescent="0.25">
      <c r="A439" s="11" t="s">
        <v>998</v>
      </c>
      <c r="B439" s="6">
        <v>45938</v>
      </c>
      <c r="C439" s="11" t="s">
        <v>999</v>
      </c>
      <c r="D439" s="11" t="s">
        <v>14</v>
      </c>
      <c r="E439" s="11" t="s">
        <v>858</v>
      </c>
      <c r="F439" s="11" t="s">
        <v>833</v>
      </c>
      <c r="G439" s="7">
        <v>2</v>
      </c>
      <c r="H439" s="8">
        <v>109.42</v>
      </c>
      <c r="I439" s="13">
        <v>0.05</v>
      </c>
      <c r="J439" s="8">
        <f>(Table23[[#This Row],[Quantity]]*Table23[[#This Row],[Unit Price]])-(Table23[[#This Row],[Unit Price]]*Table23[[#This Row],[Dscount]])*Table23[[#This Row],[Quantity]]</f>
        <v>207.898</v>
      </c>
      <c r="K439" s="8">
        <v>184.18799999999999</v>
      </c>
      <c r="L439" s="8">
        <f>Table23[[#This Row],[Revenue]]-Table23[[#This Row],[Total Cost]]</f>
        <v>23.710000000000008</v>
      </c>
      <c r="M439" s="16">
        <f>(Table23[[#This Row],[Profit]]/Table23[[#This Row],[Revenue]])</f>
        <v>0.11404631117182469</v>
      </c>
      <c r="N439" t="s">
        <v>17</v>
      </c>
    </row>
    <row r="440" spans="1:14" x14ac:dyDescent="0.25">
      <c r="A440" s="11" t="s">
        <v>1667</v>
      </c>
      <c r="B440" s="6">
        <v>45693</v>
      </c>
      <c r="C440" s="11" t="s">
        <v>695</v>
      </c>
      <c r="D440" s="11" t="s">
        <v>14</v>
      </c>
      <c r="E440" s="11" t="s">
        <v>1478</v>
      </c>
      <c r="F440" s="11" t="s">
        <v>1417</v>
      </c>
      <c r="G440" s="7">
        <v>2</v>
      </c>
      <c r="H440" s="8">
        <v>42.24</v>
      </c>
      <c r="I440" s="13">
        <v>0.15</v>
      </c>
      <c r="J440" s="8">
        <f>(Table23[[#This Row],[Quantity]]*Table23[[#This Row],[Unit Price]])-(Table23[[#This Row],[Unit Price]]*Table23[[#This Row],[Dscount]])*Table23[[#This Row],[Quantity]]</f>
        <v>71.808000000000007</v>
      </c>
      <c r="K440" s="8">
        <v>48.268000000000008</v>
      </c>
      <c r="L440" s="8">
        <f>Table23[[#This Row],[Revenue]]-Table23[[#This Row],[Total Cost]]</f>
        <v>23.54</v>
      </c>
      <c r="M440" s="16">
        <f>(Table23[[#This Row],[Profit]]/Table23[[#This Row],[Revenue]])</f>
        <v>0.32781862745098034</v>
      </c>
      <c r="N440" t="s">
        <v>33</v>
      </c>
    </row>
    <row r="441" spans="1:14" x14ac:dyDescent="0.25">
      <c r="A441" s="11" t="s">
        <v>603</v>
      </c>
      <c r="B441" s="6">
        <v>45420</v>
      </c>
      <c r="C441" s="11" t="s">
        <v>604</v>
      </c>
      <c r="D441" s="11" t="s">
        <v>20</v>
      </c>
      <c r="E441" s="11" t="s">
        <v>489</v>
      </c>
      <c r="F441" s="11" t="s">
        <v>480</v>
      </c>
      <c r="G441" s="7">
        <v>1</v>
      </c>
      <c r="H441" s="8">
        <v>72.900000000000006</v>
      </c>
      <c r="I441" s="13">
        <v>0</v>
      </c>
      <c r="J441" s="8">
        <f>(Table23[[#This Row],[Quantity]]*Table23[[#This Row],[Unit Price]])-(Table23[[#This Row],[Unit Price]]*Table23[[#This Row],[Dscount]])*Table23[[#This Row],[Quantity]]</f>
        <v>72.900000000000006</v>
      </c>
      <c r="K441" s="8">
        <v>49.370000000000005</v>
      </c>
      <c r="L441" s="8">
        <f>Table23[[#This Row],[Revenue]]-Table23[[#This Row],[Total Cost]]</f>
        <v>23.53</v>
      </c>
      <c r="M441" s="16">
        <f>(Table23[[#This Row],[Profit]]/Table23[[#This Row],[Revenue]])</f>
        <v>0.32277091906721533</v>
      </c>
      <c r="N441" t="s">
        <v>17</v>
      </c>
    </row>
    <row r="442" spans="1:14" x14ac:dyDescent="0.25">
      <c r="A442" s="11" t="s">
        <v>267</v>
      </c>
      <c r="B442" s="6">
        <v>45423</v>
      </c>
      <c r="C442" s="11" t="s">
        <v>268</v>
      </c>
      <c r="D442" s="11" t="s">
        <v>31</v>
      </c>
      <c r="E442" s="11" t="s">
        <v>28</v>
      </c>
      <c r="F442" s="11" t="s">
        <v>16</v>
      </c>
      <c r="G442" s="7">
        <v>2</v>
      </c>
      <c r="H442" s="8">
        <v>29.09</v>
      </c>
      <c r="I442" s="13">
        <v>0.1</v>
      </c>
      <c r="J442" s="8">
        <f>(Table23[[#This Row],[Quantity]]*Table23[[#This Row],[Unit Price]])-(Table23[[#This Row],[Unit Price]]*Table23[[#This Row],[Dscount]])*Table23[[#This Row],[Quantity]]</f>
        <v>52.362000000000002</v>
      </c>
      <c r="K442" s="8">
        <v>28.852</v>
      </c>
      <c r="L442" s="8">
        <f>Table23[[#This Row],[Revenue]]-Table23[[#This Row],[Total Cost]]</f>
        <v>23.51</v>
      </c>
      <c r="M442" s="16">
        <f>(Table23[[#This Row],[Profit]]/Table23[[#This Row],[Revenue]])</f>
        <v>0.4489897253733624</v>
      </c>
      <c r="N442" t="s">
        <v>33</v>
      </c>
    </row>
    <row r="443" spans="1:14" x14ac:dyDescent="0.25">
      <c r="A443" s="11" t="s">
        <v>601</v>
      </c>
      <c r="B443" s="6">
        <v>45298</v>
      </c>
      <c r="C443" s="11" t="s">
        <v>602</v>
      </c>
      <c r="D443" s="11" t="s">
        <v>20</v>
      </c>
      <c r="E443" s="11" t="s">
        <v>489</v>
      </c>
      <c r="F443" s="11" t="s">
        <v>480</v>
      </c>
      <c r="G443" s="7">
        <v>1</v>
      </c>
      <c r="H443" s="8">
        <v>67.23</v>
      </c>
      <c r="I443" s="13">
        <v>0</v>
      </c>
      <c r="J443" s="8">
        <f>(Table23[[#This Row],[Quantity]]*Table23[[#This Row],[Unit Price]])-(Table23[[#This Row],[Unit Price]]*Table23[[#This Row],[Dscount]])*Table23[[#This Row],[Quantity]]</f>
        <v>67.23</v>
      </c>
      <c r="K443" s="8">
        <v>43.78</v>
      </c>
      <c r="L443" s="8">
        <f>Table23[[#This Row],[Revenue]]-Table23[[#This Row],[Total Cost]]</f>
        <v>23.450000000000003</v>
      </c>
      <c r="M443" s="16">
        <f>(Table23[[#This Row],[Profit]]/Table23[[#This Row],[Revenue]])</f>
        <v>0.34880261787892314</v>
      </c>
      <c r="N443" t="s">
        <v>48</v>
      </c>
    </row>
    <row r="444" spans="1:14" x14ac:dyDescent="0.25">
      <c r="A444" s="11" t="s">
        <v>1306</v>
      </c>
      <c r="B444" s="6">
        <v>45389</v>
      </c>
      <c r="C444" s="11" t="s">
        <v>84</v>
      </c>
      <c r="D444" s="11" t="s">
        <v>24</v>
      </c>
      <c r="E444" s="11" t="s">
        <v>1155</v>
      </c>
      <c r="F444" s="11" t="s">
        <v>1112</v>
      </c>
      <c r="G444" s="7">
        <v>2</v>
      </c>
      <c r="H444" s="8">
        <v>52.2</v>
      </c>
      <c r="I444" s="13">
        <v>0.1</v>
      </c>
      <c r="J444" s="8">
        <f>(Table23[[#This Row],[Quantity]]*Table23[[#This Row],[Unit Price]])-(Table23[[#This Row],[Unit Price]]*Table23[[#This Row],[Dscount]])*Table23[[#This Row],[Quantity]]</f>
        <v>93.960000000000008</v>
      </c>
      <c r="K444" s="8">
        <v>70.510000000000005</v>
      </c>
      <c r="L444" s="8">
        <f>Table23[[#This Row],[Revenue]]-Table23[[#This Row],[Total Cost]]</f>
        <v>23.450000000000003</v>
      </c>
      <c r="M444" s="16">
        <f>(Table23[[#This Row],[Profit]]/Table23[[#This Row],[Revenue]])</f>
        <v>0.24957428693060879</v>
      </c>
      <c r="N444" t="s">
        <v>33</v>
      </c>
    </row>
    <row r="445" spans="1:14" x14ac:dyDescent="0.25">
      <c r="A445" s="11" t="s">
        <v>996</v>
      </c>
      <c r="B445" s="6">
        <v>45890</v>
      </c>
      <c r="C445" s="11" t="s">
        <v>997</v>
      </c>
      <c r="D445" s="11" t="s">
        <v>24</v>
      </c>
      <c r="E445" s="11" t="s">
        <v>832</v>
      </c>
      <c r="F445" s="11" t="s">
        <v>833</v>
      </c>
      <c r="G445" s="7">
        <v>1</v>
      </c>
      <c r="H445" s="8">
        <v>142.59</v>
      </c>
      <c r="I445" s="13">
        <v>0.1</v>
      </c>
      <c r="J445" s="8">
        <f>(Table23[[#This Row],[Quantity]]*Table23[[#This Row],[Unit Price]])-(Table23[[#This Row],[Unit Price]]*Table23[[#This Row],[Dscount]])*Table23[[#This Row],[Quantity]]</f>
        <v>128.33100000000002</v>
      </c>
      <c r="K445" s="8">
        <v>104.93100000000001</v>
      </c>
      <c r="L445" s="8">
        <f>Table23[[#This Row],[Revenue]]-Table23[[#This Row],[Total Cost]]</f>
        <v>23.400000000000006</v>
      </c>
      <c r="M445" s="16">
        <f>(Table23[[#This Row],[Profit]]/Table23[[#This Row],[Revenue]])</f>
        <v>0.18234097762816467</v>
      </c>
      <c r="N445" t="s">
        <v>33</v>
      </c>
    </row>
    <row r="446" spans="1:14" x14ac:dyDescent="0.25">
      <c r="A446" s="11" t="s">
        <v>265</v>
      </c>
      <c r="B446" s="6">
        <v>45805</v>
      </c>
      <c r="C446" s="11" t="s">
        <v>266</v>
      </c>
      <c r="D446" s="11" t="s">
        <v>14</v>
      </c>
      <c r="E446" s="11" t="s">
        <v>39</v>
      </c>
      <c r="F446" s="11" t="s">
        <v>16</v>
      </c>
      <c r="G446" s="7">
        <v>1</v>
      </c>
      <c r="H446" s="8">
        <v>36.840000000000003</v>
      </c>
      <c r="I446" s="13">
        <v>0</v>
      </c>
      <c r="J446" s="8">
        <f>(Table23[[#This Row],[Quantity]]*Table23[[#This Row],[Unit Price]])-(Table23[[#This Row],[Unit Price]]*Table23[[#This Row],[Dscount]])*Table23[[#This Row],[Quantity]]</f>
        <v>36.840000000000003</v>
      </c>
      <c r="K446" s="8">
        <v>13.470000000000002</v>
      </c>
      <c r="L446" s="8">
        <f>Table23[[#This Row],[Revenue]]-Table23[[#This Row],[Total Cost]]</f>
        <v>23.37</v>
      </c>
      <c r="M446" s="16">
        <f>(Table23[[#This Row],[Profit]]/Table23[[#This Row],[Revenue]])</f>
        <v>0.63436482084690549</v>
      </c>
      <c r="N446" t="s">
        <v>17</v>
      </c>
    </row>
    <row r="447" spans="1:14" x14ac:dyDescent="0.25">
      <c r="A447" s="11" t="s">
        <v>263</v>
      </c>
      <c r="B447" s="6">
        <v>45867</v>
      </c>
      <c r="C447" s="11" t="s">
        <v>264</v>
      </c>
      <c r="D447" s="11" t="s">
        <v>31</v>
      </c>
      <c r="E447" s="11" t="s">
        <v>15</v>
      </c>
      <c r="F447" s="11" t="s">
        <v>16</v>
      </c>
      <c r="G447" s="7">
        <v>2</v>
      </c>
      <c r="H447" s="8">
        <v>24.12</v>
      </c>
      <c r="I447" s="13">
        <v>0.05</v>
      </c>
      <c r="J447" s="8">
        <f>(Table23[[#This Row],[Quantity]]*Table23[[#This Row],[Unit Price]])-(Table23[[#This Row],[Unit Price]]*Table23[[#This Row],[Dscount]])*Table23[[#This Row],[Quantity]]</f>
        <v>45.828000000000003</v>
      </c>
      <c r="K447" s="8">
        <v>22.488000000000003</v>
      </c>
      <c r="L447" s="8">
        <f>Table23[[#This Row],[Revenue]]-Table23[[#This Row],[Total Cost]]</f>
        <v>23.34</v>
      </c>
      <c r="M447" s="16">
        <f>(Table23[[#This Row],[Profit]]/Table23[[#This Row],[Revenue]])</f>
        <v>0.5092956271275203</v>
      </c>
      <c r="N447" t="s">
        <v>17</v>
      </c>
    </row>
    <row r="448" spans="1:14" x14ac:dyDescent="0.25">
      <c r="A448" s="11" t="s">
        <v>1305</v>
      </c>
      <c r="B448" s="6">
        <v>45919</v>
      </c>
      <c r="C448" s="11" t="s">
        <v>1257</v>
      </c>
      <c r="D448" s="11" t="s">
        <v>36</v>
      </c>
      <c r="E448" s="11" t="s">
        <v>1128</v>
      </c>
      <c r="F448" s="11" t="s">
        <v>1112</v>
      </c>
      <c r="G448" s="7">
        <v>1</v>
      </c>
      <c r="H448" s="8">
        <v>62.85</v>
      </c>
      <c r="I448" s="13">
        <v>0</v>
      </c>
      <c r="J448" s="8">
        <f>(Table23[[#This Row],[Quantity]]*Table23[[#This Row],[Unit Price]])-(Table23[[#This Row],[Unit Price]]*Table23[[#This Row],[Dscount]])*Table23[[#This Row],[Quantity]]</f>
        <v>62.85</v>
      </c>
      <c r="K448" s="8">
        <v>39.58</v>
      </c>
      <c r="L448" s="8">
        <f>Table23[[#This Row],[Revenue]]-Table23[[#This Row],[Total Cost]]</f>
        <v>23.270000000000003</v>
      </c>
      <c r="M448" s="16">
        <f>(Table23[[#This Row],[Profit]]/Table23[[#This Row],[Revenue]])</f>
        <v>0.37024661893396982</v>
      </c>
      <c r="N448" t="s">
        <v>33</v>
      </c>
    </row>
    <row r="449" spans="1:14" x14ac:dyDescent="0.25">
      <c r="A449" s="11" t="s">
        <v>1665</v>
      </c>
      <c r="B449" s="6">
        <v>45638</v>
      </c>
      <c r="C449" s="11" t="s">
        <v>1666</v>
      </c>
      <c r="D449" s="11" t="s">
        <v>14</v>
      </c>
      <c r="E449" s="11" t="s">
        <v>1439</v>
      </c>
      <c r="F449" s="11" t="s">
        <v>1417</v>
      </c>
      <c r="G449" s="7">
        <v>2</v>
      </c>
      <c r="H449" s="8">
        <v>50.9</v>
      </c>
      <c r="I449" s="13">
        <v>0</v>
      </c>
      <c r="J449" s="8">
        <f>(Table23[[#This Row],[Quantity]]*Table23[[#This Row],[Unit Price]])-(Table23[[#This Row],[Unit Price]]*Table23[[#This Row],[Dscount]])*Table23[[#This Row],[Quantity]]</f>
        <v>101.8</v>
      </c>
      <c r="K449" s="8">
        <v>78.56</v>
      </c>
      <c r="L449" s="8">
        <f>Table23[[#This Row],[Revenue]]-Table23[[#This Row],[Total Cost]]</f>
        <v>23.239999999999995</v>
      </c>
      <c r="M449" s="16">
        <f>(Table23[[#This Row],[Profit]]/Table23[[#This Row],[Revenue]])</f>
        <v>0.22829076620825142</v>
      </c>
      <c r="N449" t="s">
        <v>17</v>
      </c>
    </row>
    <row r="450" spans="1:14" x14ac:dyDescent="0.25">
      <c r="A450" s="11" t="s">
        <v>261</v>
      </c>
      <c r="B450" s="6">
        <v>45753</v>
      </c>
      <c r="C450" s="11" t="s">
        <v>262</v>
      </c>
      <c r="D450" s="11" t="s">
        <v>31</v>
      </c>
      <c r="E450" s="11" t="s">
        <v>21</v>
      </c>
      <c r="F450" s="11" t="s">
        <v>16</v>
      </c>
      <c r="G450" s="7">
        <v>3</v>
      </c>
      <c r="H450" s="8">
        <v>14.71</v>
      </c>
      <c r="I450" s="13">
        <v>0.05</v>
      </c>
      <c r="J450" s="8">
        <f>(Table23[[#This Row],[Quantity]]*Table23[[#This Row],[Unit Price]])-(Table23[[#This Row],[Unit Price]]*Table23[[#This Row],[Dscount]])*Table23[[#This Row],[Quantity]]</f>
        <v>41.923500000000004</v>
      </c>
      <c r="K450" s="8">
        <v>18.693500000000004</v>
      </c>
      <c r="L450" s="8">
        <f>Table23[[#This Row],[Revenue]]-Table23[[#This Row],[Total Cost]]</f>
        <v>23.23</v>
      </c>
      <c r="M450" s="16">
        <f>(Table23[[#This Row],[Profit]]/Table23[[#This Row],[Revenue]])</f>
        <v>0.55410449986284538</v>
      </c>
      <c r="N450" t="s">
        <v>33</v>
      </c>
    </row>
    <row r="451" spans="1:14" x14ac:dyDescent="0.25">
      <c r="A451" s="11" t="s">
        <v>994</v>
      </c>
      <c r="B451" s="6">
        <v>45796</v>
      </c>
      <c r="C451" s="11" t="s">
        <v>995</v>
      </c>
      <c r="D451" s="11" t="s">
        <v>36</v>
      </c>
      <c r="E451" s="11" t="s">
        <v>837</v>
      </c>
      <c r="F451" s="11" t="s">
        <v>833</v>
      </c>
      <c r="G451" s="7">
        <v>2</v>
      </c>
      <c r="H451" s="8">
        <v>134.03</v>
      </c>
      <c r="I451" s="13">
        <v>0.15</v>
      </c>
      <c r="J451" s="8">
        <f>(Table23[[#This Row],[Quantity]]*Table23[[#This Row],[Unit Price]])-(Table23[[#This Row],[Unit Price]]*Table23[[#This Row],[Dscount]])*Table23[[#This Row],[Quantity]]</f>
        <v>227.851</v>
      </c>
      <c r="K451" s="8">
        <v>204.64099999999999</v>
      </c>
      <c r="L451" s="8">
        <f>Table23[[#This Row],[Revenue]]-Table23[[#This Row],[Total Cost]]</f>
        <v>23.210000000000008</v>
      </c>
      <c r="M451" s="16">
        <f>(Table23[[#This Row],[Profit]]/Table23[[#This Row],[Revenue]])</f>
        <v>0.101864815164296</v>
      </c>
      <c r="N451" t="s">
        <v>33</v>
      </c>
    </row>
    <row r="452" spans="1:14" x14ac:dyDescent="0.25">
      <c r="A452" s="11" t="s">
        <v>1663</v>
      </c>
      <c r="B452" s="6">
        <v>46007</v>
      </c>
      <c r="C452" s="11" t="s">
        <v>1664</v>
      </c>
      <c r="D452" s="11" t="s">
        <v>36</v>
      </c>
      <c r="E452" s="11" t="s">
        <v>1457</v>
      </c>
      <c r="F452" s="11" t="s">
        <v>1417</v>
      </c>
      <c r="G452" s="7">
        <v>2</v>
      </c>
      <c r="H452" s="8">
        <v>45.32</v>
      </c>
      <c r="I452" s="13">
        <v>0.05</v>
      </c>
      <c r="J452" s="8">
        <f>(Table23[[#This Row],[Quantity]]*Table23[[#This Row],[Unit Price]])-(Table23[[#This Row],[Unit Price]]*Table23[[#This Row],[Dscount]])*Table23[[#This Row],[Quantity]]</f>
        <v>86.108000000000004</v>
      </c>
      <c r="K452" s="8">
        <v>62.908000000000001</v>
      </c>
      <c r="L452" s="8">
        <f>Table23[[#This Row],[Revenue]]-Table23[[#This Row],[Total Cost]]</f>
        <v>23.200000000000003</v>
      </c>
      <c r="M452" s="16">
        <f>(Table23[[#This Row],[Profit]]/Table23[[#This Row],[Revenue]])</f>
        <v>0.2694290890509593</v>
      </c>
      <c r="N452" t="s">
        <v>33</v>
      </c>
    </row>
    <row r="453" spans="1:14" x14ac:dyDescent="0.25">
      <c r="A453" s="11" t="s">
        <v>259</v>
      </c>
      <c r="B453" s="6">
        <v>45445</v>
      </c>
      <c r="C453" s="11" t="s">
        <v>260</v>
      </c>
      <c r="D453" s="11" t="s">
        <v>36</v>
      </c>
      <c r="E453" s="11" t="s">
        <v>68</v>
      </c>
      <c r="F453" s="11" t="s">
        <v>16</v>
      </c>
      <c r="G453" s="7">
        <v>1</v>
      </c>
      <c r="H453" s="8">
        <v>49.03</v>
      </c>
      <c r="I453" s="13">
        <v>0</v>
      </c>
      <c r="J453" s="8">
        <f>(Table23[[#This Row],[Quantity]]*Table23[[#This Row],[Unit Price]])-(Table23[[#This Row],[Unit Price]]*Table23[[#This Row],[Dscount]])*Table23[[#This Row],[Quantity]]</f>
        <v>49.03</v>
      </c>
      <c r="K453" s="8">
        <v>25.84</v>
      </c>
      <c r="L453" s="8">
        <f>Table23[[#This Row],[Revenue]]-Table23[[#This Row],[Total Cost]]</f>
        <v>23.19</v>
      </c>
      <c r="M453" s="16">
        <f>(Table23[[#This Row],[Profit]]/Table23[[#This Row],[Revenue]])</f>
        <v>0.47297572914542119</v>
      </c>
      <c r="N453" t="s">
        <v>33</v>
      </c>
    </row>
    <row r="454" spans="1:14" x14ac:dyDescent="0.25">
      <c r="A454" s="11" t="s">
        <v>1303</v>
      </c>
      <c r="B454" s="6">
        <v>45560</v>
      </c>
      <c r="C454" s="11" t="s">
        <v>1304</v>
      </c>
      <c r="D454" s="11" t="s">
        <v>24</v>
      </c>
      <c r="E454" s="11" t="s">
        <v>1124</v>
      </c>
      <c r="F454" s="11" t="s">
        <v>1112</v>
      </c>
      <c r="G454" s="7">
        <v>2</v>
      </c>
      <c r="H454" s="8">
        <v>54.21</v>
      </c>
      <c r="I454" s="13">
        <v>0</v>
      </c>
      <c r="J454" s="8">
        <f>(Table23[[#This Row],[Quantity]]*Table23[[#This Row],[Unit Price]])-(Table23[[#This Row],[Unit Price]]*Table23[[#This Row],[Dscount]])*Table23[[#This Row],[Quantity]]</f>
        <v>108.42</v>
      </c>
      <c r="K454" s="8">
        <v>85.31</v>
      </c>
      <c r="L454" s="8">
        <f>Table23[[#This Row],[Revenue]]-Table23[[#This Row],[Total Cost]]</f>
        <v>23.11</v>
      </c>
      <c r="M454" s="16">
        <f>(Table23[[#This Row],[Profit]]/Table23[[#This Row],[Revenue]])</f>
        <v>0.21315255487917359</v>
      </c>
      <c r="N454" t="s">
        <v>17</v>
      </c>
    </row>
    <row r="455" spans="1:14" x14ac:dyDescent="0.25">
      <c r="A455" s="11" t="s">
        <v>1302</v>
      </c>
      <c r="B455" s="6">
        <v>45580</v>
      </c>
      <c r="C455" s="11" t="s">
        <v>102</v>
      </c>
      <c r="D455" s="11" t="s">
        <v>31</v>
      </c>
      <c r="E455" s="11" t="s">
        <v>1117</v>
      </c>
      <c r="F455" s="11" t="s">
        <v>1112</v>
      </c>
      <c r="G455" s="7">
        <v>3</v>
      </c>
      <c r="H455" s="8">
        <v>26.21</v>
      </c>
      <c r="I455" s="13">
        <v>0.2</v>
      </c>
      <c r="J455" s="8">
        <f>(Table23[[#This Row],[Quantity]]*Table23[[#This Row],[Unit Price]])-(Table23[[#This Row],[Unit Price]]*Table23[[#This Row],[Dscount]])*Table23[[#This Row],[Quantity]]</f>
        <v>62.903999999999996</v>
      </c>
      <c r="K455" s="8">
        <v>39.833999999999996</v>
      </c>
      <c r="L455" s="8">
        <f>Table23[[#This Row],[Revenue]]-Table23[[#This Row],[Total Cost]]</f>
        <v>23.07</v>
      </c>
      <c r="M455" s="16">
        <f>(Table23[[#This Row],[Profit]]/Table23[[#This Row],[Revenue]])</f>
        <v>0.36674933231591</v>
      </c>
      <c r="N455" t="s">
        <v>17</v>
      </c>
    </row>
    <row r="456" spans="1:14" x14ac:dyDescent="0.25">
      <c r="A456" s="11" t="s">
        <v>992</v>
      </c>
      <c r="B456" s="6">
        <v>45974</v>
      </c>
      <c r="C456" s="11" t="s">
        <v>993</v>
      </c>
      <c r="D456" s="11" t="s">
        <v>36</v>
      </c>
      <c r="E456" s="11" t="s">
        <v>840</v>
      </c>
      <c r="F456" s="11" t="s">
        <v>833</v>
      </c>
      <c r="G456" s="7">
        <v>1</v>
      </c>
      <c r="H456" s="8">
        <v>128.88</v>
      </c>
      <c r="I456" s="13">
        <v>0</v>
      </c>
      <c r="J456" s="8">
        <f>(Table23[[#This Row],[Quantity]]*Table23[[#This Row],[Unit Price]])-(Table23[[#This Row],[Unit Price]]*Table23[[#This Row],[Dscount]])*Table23[[#This Row],[Quantity]]</f>
        <v>128.88</v>
      </c>
      <c r="K456" s="8">
        <v>105.86</v>
      </c>
      <c r="L456" s="8">
        <f>Table23[[#This Row],[Revenue]]-Table23[[#This Row],[Total Cost]]</f>
        <v>23.019999999999996</v>
      </c>
      <c r="M456" s="16">
        <f>(Table23[[#This Row],[Profit]]/Table23[[#This Row],[Revenue]])</f>
        <v>0.17861576660459338</v>
      </c>
      <c r="N456" t="s">
        <v>33</v>
      </c>
    </row>
    <row r="457" spans="1:14" x14ac:dyDescent="0.25">
      <c r="A457" s="11" t="s">
        <v>1662</v>
      </c>
      <c r="B457" s="6">
        <v>45650</v>
      </c>
      <c r="C457" s="11" t="s">
        <v>975</v>
      </c>
      <c r="D457" s="11" t="s">
        <v>36</v>
      </c>
      <c r="E457" s="11" t="s">
        <v>1457</v>
      </c>
      <c r="F457" s="11" t="s">
        <v>1417</v>
      </c>
      <c r="G457" s="7">
        <v>2</v>
      </c>
      <c r="H457" s="8">
        <v>46.51</v>
      </c>
      <c r="I457" s="13">
        <v>0</v>
      </c>
      <c r="J457" s="8">
        <f>(Table23[[#This Row],[Quantity]]*Table23[[#This Row],[Unit Price]])-(Table23[[#This Row],[Unit Price]]*Table23[[#This Row],[Dscount]])*Table23[[#This Row],[Quantity]]</f>
        <v>93.02</v>
      </c>
      <c r="K457" s="8">
        <v>70.039999999999992</v>
      </c>
      <c r="L457" s="8">
        <f>Table23[[#This Row],[Revenue]]-Table23[[#This Row],[Total Cost]]</f>
        <v>22.980000000000004</v>
      </c>
      <c r="M457" s="16">
        <f>(Table23[[#This Row],[Profit]]/Table23[[#This Row],[Revenue]])</f>
        <v>0.24704364652762853</v>
      </c>
      <c r="N457" t="s">
        <v>17</v>
      </c>
    </row>
    <row r="458" spans="1:14" x14ac:dyDescent="0.25">
      <c r="A458" s="11" t="s">
        <v>257</v>
      </c>
      <c r="B458" s="6">
        <v>45330</v>
      </c>
      <c r="C458" s="11" t="s">
        <v>258</v>
      </c>
      <c r="D458" s="11" t="s">
        <v>31</v>
      </c>
      <c r="E458" s="11" t="s">
        <v>21</v>
      </c>
      <c r="F458" s="11" t="s">
        <v>16</v>
      </c>
      <c r="G458" s="7">
        <v>1</v>
      </c>
      <c r="H458" s="8">
        <v>46.72</v>
      </c>
      <c r="I458" s="13">
        <v>0.1</v>
      </c>
      <c r="J458" s="8">
        <f>(Table23[[#This Row],[Quantity]]*Table23[[#This Row],[Unit Price]])-(Table23[[#This Row],[Unit Price]]*Table23[[#This Row],[Dscount]])*Table23[[#This Row],[Quantity]]</f>
        <v>42.048000000000002</v>
      </c>
      <c r="K458" s="8">
        <v>19.138000000000002</v>
      </c>
      <c r="L458" s="8">
        <f>Table23[[#This Row],[Revenue]]-Table23[[#This Row],[Total Cost]]</f>
        <v>22.91</v>
      </c>
      <c r="M458" s="16">
        <f>(Table23[[#This Row],[Profit]]/Table23[[#This Row],[Revenue]])</f>
        <v>0.544853500761035</v>
      </c>
      <c r="N458" t="s">
        <v>33</v>
      </c>
    </row>
    <row r="459" spans="1:14" x14ac:dyDescent="0.25">
      <c r="A459" s="11" t="s">
        <v>1661</v>
      </c>
      <c r="B459" s="6">
        <v>45627</v>
      </c>
      <c r="C459" s="11" t="s">
        <v>1560</v>
      </c>
      <c r="D459" s="11" t="s">
        <v>14</v>
      </c>
      <c r="E459" s="11" t="s">
        <v>1420</v>
      </c>
      <c r="F459" s="11" t="s">
        <v>1417</v>
      </c>
      <c r="G459" s="7">
        <v>5</v>
      </c>
      <c r="H459" s="8">
        <v>17.16</v>
      </c>
      <c r="I459" s="13">
        <v>0</v>
      </c>
      <c r="J459" s="8">
        <f>(Table23[[#This Row],[Quantity]]*Table23[[#This Row],[Unit Price]])-(Table23[[#This Row],[Unit Price]]*Table23[[#This Row],[Dscount]])*Table23[[#This Row],[Quantity]]</f>
        <v>85.8</v>
      </c>
      <c r="K459" s="8">
        <v>62.91</v>
      </c>
      <c r="L459" s="8">
        <f>Table23[[#This Row],[Revenue]]-Table23[[#This Row],[Total Cost]]</f>
        <v>22.89</v>
      </c>
      <c r="M459" s="16">
        <f>(Table23[[#This Row],[Profit]]/Table23[[#This Row],[Revenue]])</f>
        <v>0.26678321678321681</v>
      </c>
      <c r="N459" t="s">
        <v>33</v>
      </c>
    </row>
    <row r="460" spans="1:14" x14ac:dyDescent="0.25">
      <c r="A460" s="11" t="s">
        <v>255</v>
      </c>
      <c r="B460" s="6">
        <v>45810</v>
      </c>
      <c r="C460" s="11" t="s">
        <v>256</v>
      </c>
      <c r="D460" s="11" t="s">
        <v>31</v>
      </c>
      <c r="E460" s="11" t="s">
        <v>44</v>
      </c>
      <c r="F460" s="11" t="s">
        <v>16</v>
      </c>
      <c r="G460" s="7">
        <v>2</v>
      </c>
      <c r="H460" s="8">
        <v>24.88</v>
      </c>
      <c r="I460" s="13">
        <v>0</v>
      </c>
      <c r="J460" s="8">
        <f>(Table23[[#This Row],[Quantity]]*Table23[[#This Row],[Unit Price]])-(Table23[[#This Row],[Unit Price]]*Table23[[#This Row],[Dscount]])*Table23[[#This Row],[Quantity]]</f>
        <v>49.76</v>
      </c>
      <c r="K460" s="8">
        <v>26.889999999999997</v>
      </c>
      <c r="L460" s="8">
        <f>Table23[[#This Row],[Revenue]]-Table23[[#This Row],[Total Cost]]</f>
        <v>22.87</v>
      </c>
      <c r="M460" s="16">
        <f>(Table23[[#This Row],[Profit]]/Table23[[#This Row],[Revenue]])</f>
        <v>0.45960610932475887</v>
      </c>
      <c r="N460" t="s">
        <v>17</v>
      </c>
    </row>
    <row r="461" spans="1:14" x14ac:dyDescent="0.25">
      <c r="A461" s="11" t="s">
        <v>253</v>
      </c>
      <c r="B461" s="6">
        <v>45367</v>
      </c>
      <c r="C461" s="11" t="s">
        <v>254</v>
      </c>
      <c r="D461" s="11" t="s">
        <v>24</v>
      </c>
      <c r="E461" s="11" t="s">
        <v>44</v>
      </c>
      <c r="F461" s="11" t="s">
        <v>16</v>
      </c>
      <c r="G461" s="7">
        <v>3</v>
      </c>
      <c r="H461" s="8">
        <v>13.1</v>
      </c>
      <c r="I461" s="13">
        <v>0</v>
      </c>
      <c r="J461" s="8">
        <f>(Table23[[#This Row],[Quantity]]*Table23[[#This Row],[Unit Price]])-(Table23[[#This Row],[Unit Price]]*Table23[[#This Row],[Dscount]])*Table23[[#This Row],[Quantity]]</f>
        <v>39.299999999999997</v>
      </c>
      <c r="K461" s="8">
        <v>16.499999999999996</v>
      </c>
      <c r="L461" s="8">
        <f>Table23[[#This Row],[Revenue]]-Table23[[#This Row],[Total Cost]]</f>
        <v>22.8</v>
      </c>
      <c r="M461" s="16">
        <f>(Table23[[#This Row],[Profit]]/Table23[[#This Row],[Revenue]])</f>
        <v>0.58015267175572527</v>
      </c>
      <c r="N461" t="s">
        <v>33</v>
      </c>
    </row>
    <row r="462" spans="1:14" x14ac:dyDescent="0.25">
      <c r="A462" s="11" t="s">
        <v>991</v>
      </c>
      <c r="B462" s="6">
        <v>45514</v>
      </c>
      <c r="C462" s="11" t="s">
        <v>632</v>
      </c>
      <c r="D462" s="11" t="s">
        <v>36</v>
      </c>
      <c r="E462" s="11" t="s">
        <v>848</v>
      </c>
      <c r="F462" s="11" t="s">
        <v>833</v>
      </c>
      <c r="G462" s="7">
        <v>3</v>
      </c>
      <c r="H462" s="8">
        <v>54.76</v>
      </c>
      <c r="I462" s="13">
        <v>0</v>
      </c>
      <c r="J462" s="8">
        <f>(Table23[[#This Row],[Quantity]]*Table23[[#This Row],[Unit Price]])-(Table23[[#This Row],[Unit Price]]*Table23[[#This Row],[Dscount]])*Table23[[#This Row],[Quantity]]</f>
        <v>164.28</v>
      </c>
      <c r="K462" s="8">
        <v>141.55000000000001</v>
      </c>
      <c r="L462" s="8">
        <f>Table23[[#This Row],[Revenue]]-Table23[[#This Row],[Total Cost]]</f>
        <v>22.72999999999999</v>
      </c>
      <c r="M462" s="16">
        <f>(Table23[[#This Row],[Profit]]/Table23[[#This Row],[Revenue]])</f>
        <v>0.1383613343072802</v>
      </c>
      <c r="N462" t="s">
        <v>17</v>
      </c>
    </row>
    <row r="463" spans="1:14" x14ac:dyDescent="0.25">
      <c r="A463" s="11" t="s">
        <v>1300</v>
      </c>
      <c r="B463" s="6">
        <v>45345</v>
      </c>
      <c r="C463" s="11" t="s">
        <v>1301</v>
      </c>
      <c r="D463" s="11" t="s">
        <v>20</v>
      </c>
      <c r="E463" s="11" t="s">
        <v>1111</v>
      </c>
      <c r="F463" s="11" t="s">
        <v>1112</v>
      </c>
      <c r="G463" s="7">
        <v>2</v>
      </c>
      <c r="H463" s="8">
        <v>53.1</v>
      </c>
      <c r="I463" s="13">
        <v>0.15</v>
      </c>
      <c r="J463" s="8">
        <f>(Table23[[#This Row],[Quantity]]*Table23[[#This Row],[Unit Price]])-(Table23[[#This Row],[Unit Price]]*Table23[[#This Row],[Dscount]])*Table23[[#This Row],[Quantity]]</f>
        <v>90.27000000000001</v>
      </c>
      <c r="K463" s="8">
        <v>67.550000000000011</v>
      </c>
      <c r="L463" s="8">
        <f>Table23[[#This Row],[Revenue]]-Table23[[#This Row],[Total Cost]]</f>
        <v>22.72</v>
      </c>
      <c r="M463" s="16">
        <f>(Table23[[#This Row],[Profit]]/Table23[[#This Row],[Revenue]])</f>
        <v>0.25168937631549793</v>
      </c>
      <c r="N463" t="s">
        <v>33</v>
      </c>
    </row>
    <row r="464" spans="1:14" x14ac:dyDescent="0.25">
      <c r="A464" s="11" t="s">
        <v>251</v>
      </c>
      <c r="B464" s="6">
        <v>45598</v>
      </c>
      <c r="C464" s="11" t="s">
        <v>252</v>
      </c>
      <c r="D464" s="11" t="s">
        <v>31</v>
      </c>
      <c r="E464" s="11" t="s">
        <v>25</v>
      </c>
      <c r="F464" s="11" t="s">
        <v>16</v>
      </c>
      <c r="G464" s="7">
        <v>1</v>
      </c>
      <c r="H464" s="8">
        <v>49.17</v>
      </c>
      <c r="I464" s="13">
        <v>0.05</v>
      </c>
      <c r="J464" s="8">
        <f>(Table23[[#This Row],[Quantity]]*Table23[[#This Row],[Unit Price]])-(Table23[[#This Row],[Unit Price]]*Table23[[#This Row],[Dscount]])*Table23[[#This Row],[Quantity]]</f>
        <v>46.711500000000001</v>
      </c>
      <c r="K464" s="8">
        <v>24.041499999999999</v>
      </c>
      <c r="L464" s="8">
        <f>Table23[[#This Row],[Revenue]]-Table23[[#This Row],[Total Cost]]</f>
        <v>22.67</v>
      </c>
      <c r="M464" s="16">
        <f>(Table23[[#This Row],[Profit]]/Table23[[#This Row],[Revenue]])</f>
        <v>0.4853194609464479</v>
      </c>
      <c r="N464" t="s">
        <v>33</v>
      </c>
    </row>
    <row r="465" spans="1:14" x14ac:dyDescent="0.25">
      <c r="A465" s="11" t="s">
        <v>989</v>
      </c>
      <c r="B465" s="6">
        <v>45409</v>
      </c>
      <c r="C465" s="11" t="s">
        <v>990</v>
      </c>
      <c r="D465" s="11" t="s">
        <v>14</v>
      </c>
      <c r="E465" s="11" t="s">
        <v>848</v>
      </c>
      <c r="F465" s="11" t="s">
        <v>833</v>
      </c>
      <c r="G465" s="7">
        <v>1</v>
      </c>
      <c r="H465" s="8">
        <v>126.86</v>
      </c>
      <c r="I465" s="13">
        <v>0.1</v>
      </c>
      <c r="J465" s="8">
        <f>(Table23[[#This Row],[Quantity]]*Table23[[#This Row],[Unit Price]])-(Table23[[#This Row],[Unit Price]]*Table23[[#This Row],[Dscount]])*Table23[[#This Row],[Quantity]]</f>
        <v>114.17400000000001</v>
      </c>
      <c r="K465" s="8">
        <v>91.504000000000005</v>
      </c>
      <c r="L465" s="8">
        <f>Table23[[#This Row],[Revenue]]-Table23[[#This Row],[Total Cost]]</f>
        <v>22.67</v>
      </c>
      <c r="M465" s="16">
        <f>(Table23[[#This Row],[Profit]]/Table23[[#This Row],[Revenue]])</f>
        <v>0.19855658906581183</v>
      </c>
      <c r="N465" t="s">
        <v>33</v>
      </c>
    </row>
    <row r="466" spans="1:14" x14ac:dyDescent="0.25">
      <c r="A466" s="11" t="s">
        <v>249</v>
      </c>
      <c r="B466" s="6">
        <v>45498</v>
      </c>
      <c r="C466" s="11" t="s">
        <v>250</v>
      </c>
      <c r="D466" s="11" t="s">
        <v>20</v>
      </c>
      <c r="E466" s="11" t="s">
        <v>44</v>
      </c>
      <c r="F466" s="11" t="s">
        <v>16</v>
      </c>
      <c r="G466" s="7">
        <v>4</v>
      </c>
      <c r="H466" s="8">
        <v>14.46</v>
      </c>
      <c r="I466" s="13">
        <v>0.1</v>
      </c>
      <c r="J466" s="8">
        <f>(Table23[[#This Row],[Quantity]]*Table23[[#This Row],[Unit Price]])-(Table23[[#This Row],[Unit Price]]*Table23[[#This Row],[Dscount]])*Table23[[#This Row],[Quantity]]</f>
        <v>52.056000000000004</v>
      </c>
      <c r="K466" s="8">
        <v>29.416000000000004</v>
      </c>
      <c r="L466" s="8">
        <f>Table23[[#This Row],[Revenue]]-Table23[[#This Row],[Total Cost]]</f>
        <v>22.64</v>
      </c>
      <c r="M466" s="16">
        <f>(Table23[[#This Row],[Profit]]/Table23[[#This Row],[Revenue]])</f>
        <v>0.43491624404487472</v>
      </c>
      <c r="N466" t="s">
        <v>17</v>
      </c>
    </row>
    <row r="467" spans="1:14" x14ac:dyDescent="0.25">
      <c r="A467" s="11" t="s">
        <v>987</v>
      </c>
      <c r="B467" s="6">
        <v>45677</v>
      </c>
      <c r="C467" s="11" t="s">
        <v>988</v>
      </c>
      <c r="D467" s="11" t="s">
        <v>31</v>
      </c>
      <c r="E467" s="11" t="s">
        <v>860</v>
      </c>
      <c r="F467" s="11" t="s">
        <v>833</v>
      </c>
      <c r="G467" s="7">
        <v>1</v>
      </c>
      <c r="H467" s="8">
        <v>125.09</v>
      </c>
      <c r="I467" s="13">
        <v>0</v>
      </c>
      <c r="J467" s="8">
        <f>(Table23[[#This Row],[Quantity]]*Table23[[#This Row],[Unit Price]])-(Table23[[#This Row],[Unit Price]]*Table23[[#This Row],[Dscount]])*Table23[[#This Row],[Quantity]]</f>
        <v>125.09</v>
      </c>
      <c r="K467" s="8">
        <v>102.49000000000001</v>
      </c>
      <c r="L467" s="8">
        <f>Table23[[#This Row],[Revenue]]-Table23[[#This Row],[Total Cost]]</f>
        <v>22.599999999999994</v>
      </c>
      <c r="M467" s="16">
        <f>(Table23[[#This Row],[Profit]]/Table23[[#This Row],[Revenue]])</f>
        <v>0.18066991765928525</v>
      </c>
      <c r="N467" t="s">
        <v>17</v>
      </c>
    </row>
    <row r="468" spans="1:14" x14ac:dyDescent="0.25">
      <c r="A468" s="11" t="s">
        <v>985</v>
      </c>
      <c r="B468" s="6">
        <v>45476</v>
      </c>
      <c r="C468" s="11" t="s">
        <v>986</v>
      </c>
      <c r="D468" s="11" t="s">
        <v>31</v>
      </c>
      <c r="E468" s="11" t="s">
        <v>835</v>
      </c>
      <c r="F468" s="11" t="s">
        <v>833</v>
      </c>
      <c r="G468" s="7">
        <v>1</v>
      </c>
      <c r="H468" s="8">
        <v>133.59</v>
      </c>
      <c r="I468" s="13">
        <v>0.25</v>
      </c>
      <c r="J468" s="8">
        <f>(Table23[[#This Row],[Quantity]]*Table23[[#This Row],[Unit Price]])-(Table23[[#This Row],[Unit Price]]*Table23[[#This Row],[Dscount]])*Table23[[#This Row],[Quantity]]</f>
        <v>100.1925</v>
      </c>
      <c r="K468" s="8">
        <v>77.642499999999998</v>
      </c>
      <c r="L468" s="8">
        <f>Table23[[#This Row],[Revenue]]-Table23[[#This Row],[Total Cost]]</f>
        <v>22.549999999999997</v>
      </c>
      <c r="M468" s="16">
        <f>(Table23[[#This Row],[Profit]]/Table23[[#This Row],[Revenue]])</f>
        <v>0.22506674651296252</v>
      </c>
      <c r="N468" t="s">
        <v>33</v>
      </c>
    </row>
    <row r="469" spans="1:14" x14ac:dyDescent="0.25">
      <c r="A469" s="11" t="s">
        <v>247</v>
      </c>
      <c r="B469" s="6">
        <v>45545</v>
      </c>
      <c r="C469" s="11" t="s">
        <v>248</v>
      </c>
      <c r="D469" s="11" t="s">
        <v>31</v>
      </c>
      <c r="E469" s="11" t="s">
        <v>25</v>
      </c>
      <c r="F469" s="11" t="s">
        <v>16</v>
      </c>
      <c r="G469" s="7">
        <v>1</v>
      </c>
      <c r="H469" s="8">
        <v>40.299999999999997</v>
      </c>
      <c r="I469" s="13">
        <v>0.1</v>
      </c>
      <c r="J469" s="8">
        <f>(Table23[[#This Row],[Quantity]]*Table23[[#This Row],[Unit Price]])-(Table23[[#This Row],[Unit Price]]*Table23[[#This Row],[Dscount]])*Table23[[#This Row],[Quantity]]</f>
        <v>36.269999999999996</v>
      </c>
      <c r="K469" s="8">
        <v>13.779999999999998</v>
      </c>
      <c r="L469" s="8">
        <f>Table23[[#This Row],[Revenue]]-Table23[[#This Row],[Total Cost]]</f>
        <v>22.49</v>
      </c>
      <c r="M469" s="16">
        <f>(Table23[[#This Row],[Profit]]/Table23[[#This Row],[Revenue]])</f>
        <v>0.6200716845878137</v>
      </c>
      <c r="N469" t="s">
        <v>33</v>
      </c>
    </row>
    <row r="470" spans="1:14" x14ac:dyDescent="0.25">
      <c r="A470" s="11" t="s">
        <v>599</v>
      </c>
      <c r="B470" s="6">
        <v>45445</v>
      </c>
      <c r="C470" s="11" t="s">
        <v>600</v>
      </c>
      <c r="D470" s="11" t="s">
        <v>36</v>
      </c>
      <c r="E470" s="11" t="s">
        <v>489</v>
      </c>
      <c r="F470" s="11" t="s">
        <v>480</v>
      </c>
      <c r="G470" s="7">
        <v>1</v>
      </c>
      <c r="H470" s="8">
        <v>67.5</v>
      </c>
      <c r="I470" s="13">
        <v>0</v>
      </c>
      <c r="J470" s="8">
        <f>(Table23[[#This Row],[Quantity]]*Table23[[#This Row],[Unit Price]])-(Table23[[#This Row],[Unit Price]]*Table23[[#This Row],[Dscount]])*Table23[[#This Row],[Quantity]]</f>
        <v>67.5</v>
      </c>
      <c r="K470" s="8">
        <v>45.019999999999996</v>
      </c>
      <c r="L470" s="8">
        <f>Table23[[#This Row],[Revenue]]-Table23[[#This Row],[Total Cost]]</f>
        <v>22.480000000000004</v>
      </c>
      <c r="M470" s="16">
        <f>(Table23[[#This Row],[Profit]]/Table23[[#This Row],[Revenue]])</f>
        <v>0.33303703703703708</v>
      </c>
      <c r="N470" t="s">
        <v>33</v>
      </c>
    </row>
    <row r="471" spans="1:14" x14ac:dyDescent="0.25">
      <c r="A471" s="11" t="s">
        <v>597</v>
      </c>
      <c r="B471" s="6">
        <v>45766</v>
      </c>
      <c r="C471" s="11" t="s">
        <v>598</v>
      </c>
      <c r="D471" s="11" t="s">
        <v>14</v>
      </c>
      <c r="E471" s="11" t="s">
        <v>489</v>
      </c>
      <c r="F471" s="11" t="s">
        <v>480</v>
      </c>
      <c r="G471" s="7">
        <v>1</v>
      </c>
      <c r="H471" s="8">
        <v>43.17</v>
      </c>
      <c r="I471" s="13">
        <v>0</v>
      </c>
      <c r="J471" s="8">
        <f>(Table23[[#This Row],[Quantity]]*Table23[[#This Row],[Unit Price]])-(Table23[[#This Row],[Unit Price]]*Table23[[#This Row],[Dscount]])*Table23[[#This Row],[Quantity]]</f>
        <v>43.17</v>
      </c>
      <c r="K471" s="8">
        <v>20.740000000000002</v>
      </c>
      <c r="L471" s="8">
        <f>Table23[[#This Row],[Revenue]]-Table23[[#This Row],[Total Cost]]</f>
        <v>22.43</v>
      </c>
      <c r="M471" s="16">
        <f>(Table23[[#This Row],[Profit]]/Table23[[#This Row],[Revenue]])</f>
        <v>0.51957377808663419</v>
      </c>
      <c r="N471" t="s">
        <v>33</v>
      </c>
    </row>
    <row r="472" spans="1:14" x14ac:dyDescent="0.25">
      <c r="A472" s="11" t="s">
        <v>1298</v>
      </c>
      <c r="B472" s="6">
        <v>45560</v>
      </c>
      <c r="C472" s="11" t="s">
        <v>1299</v>
      </c>
      <c r="D472" s="11" t="s">
        <v>24</v>
      </c>
      <c r="E472" s="11" t="s">
        <v>1132</v>
      </c>
      <c r="F472" s="11" t="s">
        <v>1112</v>
      </c>
      <c r="G472" s="7">
        <v>2</v>
      </c>
      <c r="H472" s="8">
        <v>55.17</v>
      </c>
      <c r="I472" s="13">
        <v>0.05</v>
      </c>
      <c r="J472" s="8">
        <f>(Table23[[#This Row],[Quantity]]*Table23[[#This Row],[Unit Price]])-(Table23[[#This Row],[Unit Price]]*Table23[[#This Row],[Dscount]])*Table23[[#This Row],[Quantity]]</f>
        <v>104.82300000000001</v>
      </c>
      <c r="K472" s="8">
        <v>82.413000000000011</v>
      </c>
      <c r="L472" s="8">
        <f>Table23[[#This Row],[Revenue]]-Table23[[#This Row],[Total Cost]]</f>
        <v>22.409999999999997</v>
      </c>
      <c r="M472" s="16">
        <f>(Table23[[#This Row],[Profit]]/Table23[[#This Row],[Revenue]])</f>
        <v>0.21378895853009353</v>
      </c>
      <c r="N472" t="s">
        <v>33</v>
      </c>
    </row>
    <row r="473" spans="1:14" x14ac:dyDescent="0.25">
      <c r="A473" s="11" t="s">
        <v>245</v>
      </c>
      <c r="B473" s="6">
        <v>45805</v>
      </c>
      <c r="C473" s="11" t="s">
        <v>246</v>
      </c>
      <c r="D473" s="11" t="s">
        <v>20</v>
      </c>
      <c r="E473" s="11" t="s">
        <v>47</v>
      </c>
      <c r="F473" s="11" t="s">
        <v>16</v>
      </c>
      <c r="G473" s="7">
        <v>1</v>
      </c>
      <c r="H473" s="8">
        <v>46.41</v>
      </c>
      <c r="I473" s="13">
        <v>0.15</v>
      </c>
      <c r="J473" s="8">
        <f>(Table23[[#This Row],[Quantity]]*Table23[[#This Row],[Unit Price]])-(Table23[[#This Row],[Unit Price]]*Table23[[#This Row],[Dscount]])*Table23[[#This Row],[Quantity]]</f>
        <v>39.448499999999996</v>
      </c>
      <c r="K473" s="8">
        <v>17.058499999999995</v>
      </c>
      <c r="L473" s="8">
        <f>Table23[[#This Row],[Revenue]]-Table23[[#This Row],[Total Cost]]</f>
        <v>22.39</v>
      </c>
      <c r="M473" s="16">
        <f>(Table23[[#This Row],[Profit]]/Table23[[#This Row],[Revenue]])</f>
        <v>0.56757544646818014</v>
      </c>
      <c r="N473" t="s">
        <v>33</v>
      </c>
    </row>
    <row r="474" spans="1:14" x14ac:dyDescent="0.25">
      <c r="A474" s="11" t="s">
        <v>241</v>
      </c>
      <c r="B474" s="6">
        <v>45589</v>
      </c>
      <c r="C474" s="11" t="s">
        <v>242</v>
      </c>
      <c r="D474" s="11" t="s">
        <v>14</v>
      </c>
      <c r="E474" s="11" t="s">
        <v>44</v>
      </c>
      <c r="F474" s="11" t="s">
        <v>16</v>
      </c>
      <c r="G474" s="7">
        <v>4</v>
      </c>
      <c r="H474" s="8">
        <v>10.029999999999999</v>
      </c>
      <c r="I474" s="13">
        <v>0.1</v>
      </c>
      <c r="J474" s="8">
        <f>(Table23[[#This Row],[Quantity]]*Table23[[#This Row],[Unit Price]])-(Table23[[#This Row],[Unit Price]]*Table23[[#This Row],[Dscount]])*Table23[[#This Row],[Quantity]]</f>
        <v>36.107999999999997</v>
      </c>
      <c r="K474" s="8">
        <v>13.737999999999996</v>
      </c>
      <c r="L474" s="8">
        <f>Table23[[#This Row],[Revenue]]-Table23[[#This Row],[Total Cost]]</f>
        <v>22.37</v>
      </c>
      <c r="M474" s="16">
        <f>(Table23[[#This Row],[Profit]]/Table23[[#This Row],[Revenue]])</f>
        <v>0.61953029799490422</v>
      </c>
      <c r="N474" t="s">
        <v>33</v>
      </c>
    </row>
    <row r="475" spans="1:14" x14ac:dyDescent="0.25">
      <c r="A475" s="11" t="s">
        <v>243</v>
      </c>
      <c r="B475" s="6">
        <v>45338</v>
      </c>
      <c r="C475" s="11" t="s">
        <v>244</v>
      </c>
      <c r="D475" s="11" t="s">
        <v>24</v>
      </c>
      <c r="E475" s="11" t="s">
        <v>21</v>
      </c>
      <c r="F475" s="11" t="s">
        <v>16</v>
      </c>
      <c r="G475" s="7">
        <v>2</v>
      </c>
      <c r="H475" s="8">
        <v>22.24</v>
      </c>
      <c r="I475" s="13">
        <v>0</v>
      </c>
      <c r="J475" s="8">
        <f>(Table23[[#This Row],[Quantity]]*Table23[[#This Row],[Unit Price]])-(Table23[[#This Row],[Unit Price]]*Table23[[#This Row],[Dscount]])*Table23[[#This Row],[Quantity]]</f>
        <v>44.48</v>
      </c>
      <c r="K475" s="8">
        <v>22.109999999999996</v>
      </c>
      <c r="L475" s="8">
        <f>Table23[[#This Row],[Revenue]]-Table23[[#This Row],[Total Cost]]</f>
        <v>22.37</v>
      </c>
      <c r="M475" s="16">
        <f>(Table23[[#This Row],[Profit]]/Table23[[#This Row],[Revenue]])</f>
        <v>0.50292266187050361</v>
      </c>
      <c r="N475" t="s">
        <v>33</v>
      </c>
    </row>
    <row r="476" spans="1:14" x14ac:dyDescent="0.25">
      <c r="A476" s="11" t="s">
        <v>1660</v>
      </c>
      <c r="B476" s="6">
        <v>45550</v>
      </c>
      <c r="C476" s="11" t="s">
        <v>720</v>
      </c>
      <c r="D476" s="11" t="s">
        <v>31</v>
      </c>
      <c r="E476" s="11" t="s">
        <v>1422</v>
      </c>
      <c r="F476" s="11" t="s">
        <v>1417</v>
      </c>
      <c r="G476" s="7">
        <v>3</v>
      </c>
      <c r="H476" s="8">
        <v>31.22</v>
      </c>
      <c r="I476" s="13">
        <v>0.1</v>
      </c>
      <c r="J476" s="8">
        <f>(Table23[[#This Row],[Quantity]]*Table23[[#This Row],[Unit Price]])-(Table23[[#This Row],[Unit Price]]*Table23[[#This Row],[Dscount]])*Table23[[#This Row],[Quantity]]</f>
        <v>84.293999999999997</v>
      </c>
      <c r="K476" s="8">
        <v>61.963999999999999</v>
      </c>
      <c r="L476" s="8">
        <f>Table23[[#This Row],[Revenue]]-Table23[[#This Row],[Total Cost]]</f>
        <v>22.33</v>
      </c>
      <c r="M476" s="16">
        <f>(Table23[[#This Row],[Profit]]/Table23[[#This Row],[Revenue]])</f>
        <v>0.26490616176714832</v>
      </c>
      <c r="N476" t="s">
        <v>33</v>
      </c>
    </row>
    <row r="477" spans="1:14" x14ac:dyDescent="0.25">
      <c r="A477" s="11" t="s">
        <v>1297</v>
      </c>
      <c r="B477" s="6">
        <v>45502</v>
      </c>
      <c r="C477" s="11" t="s">
        <v>293</v>
      </c>
      <c r="D477" s="11" t="s">
        <v>36</v>
      </c>
      <c r="E477" s="11" t="s">
        <v>1134</v>
      </c>
      <c r="F477" s="11" t="s">
        <v>1112</v>
      </c>
      <c r="G477" s="7">
        <v>1</v>
      </c>
      <c r="H477" s="8">
        <v>67.72</v>
      </c>
      <c r="I477" s="13">
        <v>0.05</v>
      </c>
      <c r="J477" s="8">
        <f>(Table23[[#This Row],[Quantity]]*Table23[[#This Row],[Unit Price]])-(Table23[[#This Row],[Unit Price]]*Table23[[#This Row],[Dscount]])*Table23[[#This Row],[Quantity]]</f>
        <v>64.334000000000003</v>
      </c>
      <c r="K477" s="8">
        <v>42.014000000000003</v>
      </c>
      <c r="L477" s="8">
        <f>Table23[[#This Row],[Revenue]]-Table23[[#This Row],[Total Cost]]</f>
        <v>22.32</v>
      </c>
      <c r="M477" s="16">
        <f>(Table23[[#This Row],[Profit]]/Table23[[#This Row],[Revenue]])</f>
        <v>0.346939409954301</v>
      </c>
      <c r="N477" t="s">
        <v>33</v>
      </c>
    </row>
    <row r="478" spans="1:14" x14ac:dyDescent="0.25">
      <c r="A478" s="11" t="s">
        <v>1295</v>
      </c>
      <c r="B478" s="6">
        <v>45319</v>
      </c>
      <c r="C478" s="11" t="s">
        <v>1296</v>
      </c>
      <c r="D478" s="11" t="s">
        <v>36</v>
      </c>
      <c r="E478" s="11" t="s">
        <v>1124</v>
      </c>
      <c r="F478" s="11" t="s">
        <v>1112</v>
      </c>
      <c r="G478" s="7">
        <v>1</v>
      </c>
      <c r="H478" s="8">
        <v>65.650000000000006</v>
      </c>
      <c r="I478" s="13">
        <v>0.1</v>
      </c>
      <c r="J478" s="8">
        <f>(Table23[[#This Row],[Quantity]]*Table23[[#This Row],[Unit Price]])-(Table23[[#This Row],[Unit Price]]*Table23[[#This Row],[Dscount]])*Table23[[#This Row],[Quantity]]</f>
        <v>59.085000000000008</v>
      </c>
      <c r="K478" s="8">
        <v>36.805000000000007</v>
      </c>
      <c r="L478" s="8">
        <f>Table23[[#This Row],[Revenue]]-Table23[[#This Row],[Total Cost]]</f>
        <v>22.28</v>
      </c>
      <c r="M478" s="16">
        <f>(Table23[[#This Row],[Profit]]/Table23[[#This Row],[Revenue]])</f>
        <v>0.37708386223237705</v>
      </c>
      <c r="N478" t="s">
        <v>17</v>
      </c>
    </row>
    <row r="479" spans="1:14" x14ac:dyDescent="0.25">
      <c r="A479" s="11" t="s">
        <v>1293</v>
      </c>
      <c r="B479" s="6">
        <v>45699</v>
      </c>
      <c r="C479" s="11" t="s">
        <v>1294</v>
      </c>
      <c r="D479" s="11" t="s">
        <v>36</v>
      </c>
      <c r="E479" s="11" t="s">
        <v>1124</v>
      </c>
      <c r="F479" s="11" t="s">
        <v>1112</v>
      </c>
      <c r="G479" s="7">
        <v>1</v>
      </c>
      <c r="H479" s="8">
        <v>55.6</v>
      </c>
      <c r="I479" s="13">
        <v>0</v>
      </c>
      <c r="J479" s="8">
        <f>(Table23[[#This Row],[Quantity]]*Table23[[#This Row],[Unit Price]])-(Table23[[#This Row],[Unit Price]]*Table23[[#This Row],[Dscount]])*Table23[[#This Row],[Quantity]]</f>
        <v>55.6</v>
      </c>
      <c r="K479" s="8">
        <v>33.400000000000006</v>
      </c>
      <c r="L479" s="8">
        <f>Table23[[#This Row],[Revenue]]-Table23[[#This Row],[Total Cost]]</f>
        <v>22.199999999999996</v>
      </c>
      <c r="M479" s="16">
        <f>(Table23[[#This Row],[Profit]]/Table23[[#This Row],[Revenue]])</f>
        <v>0.39928057553956825</v>
      </c>
      <c r="N479" t="s">
        <v>33</v>
      </c>
    </row>
    <row r="480" spans="1:14" x14ac:dyDescent="0.25">
      <c r="A480" s="11" t="s">
        <v>240</v>
      </c>
      <c r="B480" s="6">
        <v>45418</v>
      </c>
      <c r="C480" s="11" t="s">
        <v>76</v>
      </c>
      <c r="D480" s="11" t="s">
        <v>20</v>
      </c>
      <c r="E480" s="11" t="s">
        <v>68</v>
      </c>
      <c r="F480" s="11" t="s">
        <v>16</v>
      </c>
      <c r="G480" s="7">
        <v>2</v>
      </c>
      <c r="H480" s="8">
        <v>21.03</v>
      </c>
      <c r="I480" s="13">
        <v>0.05</v>
      </c>
      <c r="J480" s="8">
        <f>(Table23[[#This Row],[Quantity]]*Table23[[#This Row],[Unit Price]])-(Table23[[#This Row],[Unit Price]]*Table23[[#This Row],[Dscount]])*Table23[[#This Row],[Quantity]]</f>
        <v>39.957000000000001</v>
      </c>
      <c r="K480" s="8">
        <v>17.827000000000002</v>
      </c>
      <c r="L480" s="8">
        <f>Table23[[#This Row],[Revenue]]-Table23[[#This Row],[Total Cost]]</f>
        <v>22.13</v>
      </c>
      <c r="M480" s="16">
        <f>(Table23[[#This Row],[Profit]]/Table23[[#This Row],[Revenue]])</f>
        <v>0.55384538378757164</v>
      </c>
      <c r="N480" t="s">
        <v>33</v>
      </c>
    </row>
    <row r="481" spans="1:14" x14ac:dyDescent="0.25">
      <c r="A481" s="11" t="s">
        <v>238</v>
      </c>
      <c r="B481" s="6">
        <v>45997</v>
      </c>
      <c r="C481" s="11" t="s">
        <v>239</v>
      </c>
      <c r="D481" s="11" t="s">
        <v>36</v>
      </c>
      <c r="E481" s="11" t="s">
        <v>68</v>
      </c>
      <c r="F481" s="11" t="s">
        <v>16</v>
      </c>
      <c r="G481" s="7">
        <v>1</v>
      </c>
      <c r="H481" s="8">
        <v>36.67</v>
      </c>
      <c r="I481" s="13">
        <v>0.05</v>
      </c>
      <c r="J481" s="8">
        <f>(Table23[[#This Row],[Quantity]]*Table23[[#This Row],[Unit Price]])-(Table23[[#This Row],[Unit Price]]*Table23[[#This Row],[Dscount]])*Table23[[#This Row],[Quantity]]</f>
        <v>34.836500000000001</v>
      </c>
      <c r="K481" s="8">
        <v>12.7165</v>
      </c>
      <c r="L481" s="8">
        <f>Table23[[#This Row],[Revenue]]-Table23[[#This Row],[Total Cost]]</f>
        <v>22.12</v>
      </c>
      <c r="M481" s="16">
        <f>(Table23[[#This Row],[Profit]]/Table23[[#This Row],[Revenue]])</f>
        <v>0.63496619924504472</v>
      </c>
      <c r="N481" t="s">
        <v>17</v>
      </c>
    </row>
    <row r="482" spans="1:14" x14ac:dyDescent="0.25">
      <c r="A482" s="11" t="s">
        <v>1291</v>
      </c>
      <c r="B482" s="6">
        <v>45882</v>
      </c>
      <c r="C482" s="11" t="s">
        <v>1292</v>
      </c>
      <c r="D482" s="11" t="s">
        <v>24</v>
      </c>
      <c r="E482" s="11" t="s">
        <v>1128</v>
      </c>
      <c r="F482" s="11" t="s">
        <v>1112</v>
      </c>
      <c r="G482" s="7">
        <v>3</v>
      </c>
      <c r="H482" s="8">
        <v>37.69</v>
      </c>
      <c r="I482" s="13">
        <v>0.1</v>
      </c>
      <c r="J482" s="8">
        <f>(Table23[[#This Row],[Quantity]]*Table23[[#This Row],[Unit Price]])-(Table23[[#This Row],[Unit Price]]*Table23[[#This Row],[Dscount]])*Table23[[#This Row],[Quantity]]</f>
        <v>101.76299999999999</v>
      </c>
      <c r="K482" s="8">
        <v>79.662999999999982</v>
      </c>
      <c r="L482" s="8">
        <f>Table23[[#This Row],[Revenue]]-Table23[[#This Row],[Total Cost]]</f>
        <v>22.100000000000009</v>
      </c>
      <c r="M482" s="16">
        <f>(Table23[[#This Row],[Profit]]/Table23[[#This Row],[Revenue]])</f>
        <v>0.2171712705010663</v>
      </c>
      <c r="N482" t="s">
        <v>33</v>
      </c>
    </row>
    <row r="483" spans="1:14" x14ac:dyDescent="0.25">
      <c r="A483" s="11" t="s">
        <v>984</v>
      </c>
      <c r="B483" s="6">
        <v>45474</v>
      </c>
      <c r="C483" s="11" t="s">
        <v>630</v>
      </c>
      <c r="D483" s="11" t="s">
        <v>36</v>
      </c>
      <c r="E483" s="11" t="s">
        <v>840</v>
      </c>
      <c r="F483" s="11" t="s">
        <v>833</v>
      </c>
      <c r="G483" s="7">
        <v>1</v>
      </c>
      <c r="H483" s="8">
        <v>111.49</v>
      </c>
      <c r="I483" s="13">
        <v>0.15</v>
      </c>
      <c r="J483" s="8">
        <f>(Table23[[#This Row],[Quantity]]*Table23[[#This Row],[Unit Price]])-(Table23[[#This Row],[Unit Price]]*Table23[[#This Row],[Dscount]])*Table23[[#This Row],[Quantity]]</f>
        <v>94.766499999999994</v>
      </c>
      <c r="K483" s="8">
        <v>72.716499999999996</v>
      </c>
      <c r="L483" s="8">
        <f>Table23[[#This Row],[Revenue]]-Table23[[#This Row],[Total Cost]]</f>
        <v>22.049999999999997</v>
      </c>
      <c r="M483" s="16">
        <f>(Table23[[#This Row],[Profit]]/Table23[[#This Row],[Revenue]])</f>
        <v>0.23267715912268574</v>
      </c>
      <c r="N483" t="s">
        <v>17</v>
      </c>
    </row>
    <row r="484" spans="1:14" x14ac:dyDescent="0.25">
      <c r="A484" s="11" t="s">
        <v>595</v>
      </c>
      <c r="B484" s="6">
        <v>45990</v>
      </c>
      <c r="C484" s="11" t="s">
        <v>596</v>
      </c>
      <c r="D484" s="11" t="s">
        <v>14</v>
      </c>
      <c r="E484" s="11" t="s">
        <v>503</v>
      </c>
      <c r="F484" s="11" t="s">
        <v>480</v>
      </c>
      <c r="G484" s="7">
        <v>1</v>
      </c>
      <c r="H484" s="8">
        <v>58.74</v>
      </c>
      <c r="I484" s="13">
        <v>0</v>
      </c>
      <c r="J484" s="8">
        <f>(Table23[[#This Row],[Quantity]]*Table23[[#This Row],[Unit Price]])-(Table23[[#This Row],[Unit Price]]*Table23[[#This Row],[Dscount]])*Table23[[#This Row],[Quantity]]</f>
        <v>58.74</v>
      </c>
      <c r="K484" s="8">
        <v>36.81</v>
      </c>
      <c r="L484" s="8">
        <f>Table23[[#This Row],[Revenue]]-Table23[[#This Row],[Total Cost]]</f>
        <v>21.93</v>
      </c>
      <c r="M484" s="16">
        <f>(Table23[[#This Row],[Profit]]/Table23[[#This Row],[Revenue]])</f>
        <v>0.37334014300306434</v>
      </c>
      <c r="N484" t="s">
        <v>17</v>
      </c>
    </row>
    <row r="485" spans="1:14" x14ac:dyDescent="0.25">
      <c r="A485" s="11" t="s">
        <v>1659</v>
      </c>
      <c r="B485" s="6">
        <v>45424</v>
      </c>
      <c r="C485" s="11" t="s">
        <v>693</v>
      </c>
      <c r="D485" s="11" t="s">
        <v>14</v>
      </c>
      <c r="E485" s="11" t="s">
        <v>1478</v>
      </c>
      <c r="F485" s="11" t="s">
        <v>1417</v>
      </c>
      <c r="G485" s="7">
        <v>3</v>
      </c>
      <c r="H485" s="8">
        <v>46.74</v>
      </c>
      <c r="I485" s="13">
        <v>0.25</v>
      </c>
      <c r="J485" s="8">
        <f>(Table23[[#This Row],[Quantity]]*Table23[[#This Row],[Unit Price]])-(Table23[[#This Row],[Unit Price]]*Table23[[#This Row],[Dscount]])*Table23[[#This Row],[Quantity]]</f>
        <v>105.16499999999999</v>
      </c>
      <c r="K485" s="8">
        <v>83.284999999999997</v>
      </c>
      <c r="L485" s="8">
        <f>Table23[[#This Row],[Revenue]]-Table23[[#This Row],[Total Cost]]</f>
        <v>21.879999999999995</v>
      </c>
      <c r="M485" s="16">
        <f>(Table23[[#This Row],[Profit]]/Table23[[#This Row],[Revenue]])</f>
        <v>0.20805401036466503</v>
      </c>
      <c r="N485" t="s">
        <v>17</v>
      </c>
    </row>
    <row r="486" spans="1:14" x14ac:dyDescent="0.25">
      <c r="A486" s="11" t="s">
        <v>236</v>
      </c>
      <c r="B486" s="6">
        <v>45818</v>
      </c>
      <c r="C486" s="11" t="s">
        <v>237</v>
      </c>
      <c r="D486" s="11" t="s">
        <v>36</v>
      </c>
      <c r="E486" s="11" t="s">
        <v>68</v>
      </c>
      <c r="F486" s="11" t="s">
        <v>16</v>
      </c>
      <c r="G486" s="7">
        <v>1</v>
      </c>
      <c r="H486" s="8">
        <v>42.76</v>
      </c>
      <c r="I486" s="13">
        <v>0.1</v>
      </c>
      <c r="J486" s="8">
        <f>(Table23[[#This Row],[Quantity]]*Table23[[#This Row],[Unit Price]])-(Table23[[#This Row],[Unit Price]]*Table23[[#This Row],[Dscount]])*Table23[[#This Row],[Quantity]]</f>
        <v>38.483999999999995</v>
      </c>
      <c r="K486" s="8">
        <v>16.663999999999994</v>
      </c>
      <c r="L486" s="8">
        <f>Table23[[#This Row],[Revenue]]-Table23[[#This Row],[Total Cost]]</f>
        <v>21.82</v>
      </c>
      <c r="M486" s="16">
        <f>(Table23[[#This Row],[Profit]]/Table23[[#This Row],[Revenue]])</f>
        <v>0.56698887849495905</v>
      </c>
      <c r="N486" t="s">
        <v>48</v>
      </c>
    </row>
    <row r="487" spans="1:14" x14ac:dyDescent="0.25">
      <c r="A487" s="11" t="s">
        <v>1658</v>
      </c>
      <c r="B487" s="6">
        <v>45727</v>
      </c>
      <c r="C487" s="11" t="s">
        <v>343</v>
      </c>
      <c r="D487" s="11" t="s">
        <v>31</v>
      </c>
      <c r="E487" s="11" t="s">
        <v>1478</v>
      </c>
      <c r="F487" s="11" t="s">
        <v>1417</v>
      </c>
      <c r="G487" s="7">
        <v>3</v>
      </c>
      <c r="H487" s="8">
        <v>45.4</v>
      </c>
      <c r="I487" s="13">
        <v>0</v>
      </c>
      <c r="J487" s="8">
        <f>(Table23[[#This Row],[Quantity]]*Table23[[#This Row],[Unit Price]])-(Table23[[#This Row],[Unit Price]]*Table23[[#This Row],[Dscount]])*Table23[[#This Row],[Quantity]]</f>
        <v>136.19999999999999</v>
      </c>
      <c r="K487" s="8">
        <v>114.46999999999998</v>
      </c>
      <c r="L487" s="8">
        <f>Table23[[#This Row],[Revenue]]-Table23[[#This Row],[Total Cost]]</f>
        <v>21.730000000000004</v>
      </c>
      <c r="M487" s="16">
        <f>(Table23[[#This Row],[Profit]]/Table23[[#This Row],[Revenue]])</f>
        <v>0.15954478707782677</v>
      </c>
      <c r="N487" t="s">
        <v>17</v>
      </c>
    </row>
    <row r="488" spans="1:14" x14ac:dyDescent="0.25">
      <c r="A488" s="11" t="s">
        <v>1657</v>
      </c>
      <c r="B488" s="6">
        <v>45479</v>
      </c>
      <c r="C488" s="11" t="s">
        <v>1216</v>
      </c>
      <c r="D488" s="11" t="s">
        <v>36</v>
      </c>
      <c r="E488" s="11" t="s">
        <v>1436</v>
      </c>
      <c r="F488" s="11" t="s">
        <v>1417</v>
      </c>
      <c r="G488" s="7">
        <v>3</v>
      </c>
      <c r="H488" s="8">
        <v>37.75</v>
      </c>
      <c r="I488" s="13">
        <v>0.2</v>
      </c>
      <c r="J488" s="8">
        <f>(Table23[[#This Row],[Quantity]]*Table23[[#This Row],[Unit Price]])-(Table23[[#This Row],[Unit Price]]*Table23[[#This Row],[Dscount]])*Table23[[#This Row],[Quantity]]</f>
        <v>90.6</v>
      </c>
      <c r="K488" s="8">
        <v>69.039999999999992</v>
      </c>
      <c r="L488" s="8">
        <f>Table23[[#This Row],[Revenue]]-Table23[[#This Row],[Total Cost]]</f>
        <v>21.560000000000002</v>
      </c>
      <c r="M488" s="16">
        <f>(Table23[[#This Row],[Profit]]/Table23[[#This Row],[Revenue]])</f>
        <v>0.23796909492273735</v>
      </c>
      <c r="N488" t="s">
        <v>33</v>
      </c>
    </row>
    <row r="489" spans="1:14" x14ac:dyDescent="0.25">
      <c r="A489" s="11" t="s">
        <v>1656</v>
      </c>
      <c r="B489" s="6">
        <v>45506</v>
      </c>
      <c r="C489" s="11" t="s">
        <v>783</v>
      </c>
      <c r="D489" s="11" t="s">
        <v>36</v>
      </c>
      <c r="E489" s="11" t="s">
        <v>1426</v>
      </c>
      <c r="F489" s="11" t="s">
        <v>1417</v>
      </c>
      <c r="G489" s="7">
        <v>2</v>
      </c>
      <c r="H489" s="8">
        <v>56.19</v>
      </c>
      <c r="I489" s="13">
        <v>0.15</v>
      </c>
      <c r="J489" s="8">
        <f>(Table23[[#This Row],[Quantity]]*Table23[[#This Row],[Unit Price]])-(Table23[[#This Row],[Unit Price]]*Table23[[#This Row],[Dscount]])*Table23[[#This Row],[Quantity]]</f>
        <v>95.522999999999996</v>
      </c>
      <c r="K489" s="8">
        <v>73.983000000000004</v>
      </c>
      <c r="L489" s="8">
        <f>Table23[[#This Row],[Revenue]]-Table23[[#This Row],[Total Cost]]</f>
        <v>21.539999999999992</v>
      </c>
      <c r="M489" s="16">
        <f>(Table23[[#This Row],[Profit]]/Table23[[#This Row],[Revenue]])</f>
        <v>0.22549543041989881</v>
      </c>
      <c r="N489" t="s">
        <v>33</v>
      </c>
    </row>
    <row r="490" spans="1:14" x14ac:dyDescent="0.25">
      <c r="A490" s="11" t="s">
        <v>591</v>
      </c>
      <c r="B490" s="6">
        <v>45573</v>
      </c>
      <c r="C490" s="11" t="s">
        <v>592</v>
      </c>
      <c r="D490" s="11" t="s">
        <v>31</v>
      </c>
      <c r="E490" s="11" t="s">
        <v>503</v>
      </c>
      <c r="F490" s="11" t="s">
        <v>480</v>
      </c>
      <c r="G490" s="7">
        <v>1</v>
      </c>
      <c r="H490" s="8">
        <v>42.04</v>
      </c>
      <c r="I490" s="13">
        <v>0.05</v>
      </c>
      <c r="J490" s="8">
        <f>(Table23[[#This Row],[Quantity]]*Table23[[#This Row],[Unit Price]])-(Table23[[#This Row],[Unit Price]]*Table23[[#This Row],[Dscount]])*Table23[[#This Row],[Quantity]]</f>
        <v>39.938000000000002</v>
      </c>
      <c r="K490" s="8">
        <v>18.518000000000001</v>
      </c>
      <c r="L490" s="8">
        <f>Table23[[#This Row],[Revenue]]-Table23[[#This Row],[Total Cost]]</f>
        <v>21.42</v>
      </c>
      <c r="M490" s="16">
        <f>(Table23[[#This Row],[Profit]]/Table23[[#This Row],[Revenue]])</f>
        <v>0.53633131353598074</v>
      </c>
      <c r="N490" t="s">
        <v>17</v>
      </c>
    </row>
    <row r="491" spans="1:14" x14ac:dyDescent="0.25">
      <c r="A491" s="11" t="s">
        <v>593</v>
      </c>
      <c r="B491" s="6">
        <v>45620</v>
      </c>
      <c r="C491" s="11" t="s">
        <v>594</v>
      </c>
      <c r="D491" s="11" t="s">
        <v>20</v>
      </c>
      <c r="E491" s="11" t="s">
        <v>500</v>
      </c>
      <c r="F491" s="11" t="s">
        <v>480</v>
      </c>
      <c r="G491" s="7">
        <v>1</v>
      </c>
      <c r="H491" s="8">
        <v>62.84</v>
      </c>
      <c r="I491" s="13">
        <v>0.2</v>
      </c>
      <c r="J491" s="8">
        <f>(Table23[[#This Row],[Quantity]]*Table23[[#This Row],[Unit Price]])-(Table23[[#This Row],[Unit Price]]*Table23[[#This Row],[Dscount]])*Table23[[#This Row],[Quantity]]</f>
        <v>50.272000000000006</v>
      </c>
      <c r="K491" s="8">
        <v>28.852000000000004</v>
      </c>
      <c r="L491" s="8">
        <f>Table23[[#This Row],[Revenue]]-Table23[[#This Row],[Total Cost]]</f>
        <v>21.42</v>
      </c>
      <c r="M491" s="16">
        <f>(Table23[[#This Row],[Profit]]/Table23[[#This Row],[Revenue]])</f>
        <v>0.42608211330362827</v>
      </c>
      <c r="N491" t="s">
        <v>17</v>
      </c>
    </row>
    <row r="492" spans="1:14" x14ac:dyDescent="0.25">
      <c r="A492" s="11" t="s">
        <v>234</v>
      </c>
      <c r="B492" s="6">
        <v>45565</v>
      </c>
      <c r="C492" s="11" t="s">
        <v>235</v>
      </c>
      <c r="D492" s="11" t="s">
        <v>14</v>
      </c>
      <c r="E492" s="11" t="s">
        <v>44</v>
      </c>
      <c r="F492" s="11" t="s">
        <v>16</v>
      </c>
      <c r="G492" s="7">
        <v>2</v>
      </c>
      <c r="H492" s="8">
        <v>26.41</v>
      </c>
      <c r="I492" s="13">
        <v>0.05</v>
      </c>
      <c r="J492" s="8">
        <f>(Table23[[#This Row],[Quantity]]*Table23[[#This Row],[Unit Price]])-(Table23[[#This Row],[Unit Price]]*Table23[[#This Row],[Dscount]])*Table23[[#This Row],[Quantity]]</f>
        <v>50.179000000000002</v>
      </c>
      <c r="K492" s="8">
        <v>28.809000000000001</v>
      </c>
      <c r="L492" s="8">
        <f>Table23[[#This Row],[Revenue]]-Table23[[#This Row],[Total Cost]]</f>
        <v>21.37</v>
      </c>
      <c r="M492" s="16">
        <f>(Table23[[#This Row],[Profit]]/Table23[[#This Row],[Revenue]])</f>
        <v>0.4258753661890432</v>
      </c>
      <c r="N492" t="s">
        <v>17</v>
      </c>
    </row>
    <row r="493" spans="1:14" x14ac:dyDescent="0.25">
      <c r="A493" s="11" t="s">
        <v>983</v>
      </c>
      <c r="B493" s="6">
        <v>45311</v>
      </c>
      <c r="C493" s="11" t="s">
        <v>652</v>
      </c>
      <c r="D493" s="11" t="s">
        <v>20</v>
      </c>
      <c r="E493" s="11" t="s">
        <v>835</v>
      </c>
      <c r="F493" s="11" t="s">
        <v>833</v>
      </c>
      <c r="G493" s="7">
        <v>2</v>
      </c>
      <c r="H493" s="8">
        <v>122.48</v>
      </c>
      <c r="I493" s="13">
        <v>0.1</v>
      </c>
      <c r="J493" s="8">
        <f>(Table23[[#This Row],[Quantity]]*Table23[[#This Row],[Unit Price]])-(Table23[[#This Row],[Unit Price]]*Table23[[#This Row],[Dscount]])*Table23[[#This Row],[Quantity]]</f>
        <v>220.464</v>
      </c>
      <c r="K493" s="8">
        <v>199.16399999999999</v>
      </c>
      <c r="L493" s="8">
        <f>Table23[[#This Row],[Revenue]]-Table23[[#This Row],[Total Cost]]</f>
        <v>21.300000000000011</v>
      </c>
      <c r="M493" s="16">
        <f>(Table23[[#This Row],[Profit]]/Table23[[#This Row],[Revenue]])</f>
        <v>9.6614413237535432E-2</v>
      </c>
      <c r="N493" t="s">
        <v>33</v>
      </c>
    </row>
    <row r="494" spans="1:14" x14ac:dyDescent="0.25">
      <c r="A494" s="11" t="s">
        <v>232</v>
      </c>
      <c r="B494" s="6">
        <v>45482</v>
      </c>
      <c r="C494" s="11" t="s">
        <v>233</v>
      </c>
      <c r="D494" s="11" t="s">
        <v>24</v>
      </c>
      <c r="E494" s="11" t="s">
        <v>28</v>
      </c>
      <c r="F494" s="11" t="s">
        <v>16</v>
      </c>
      <c r="G494" s="7">
        <v>2</v>
      </c>
      <c r="H494" s="8">
        <v>28.43</v>
      </c>
      <c r="I494" s="13">
        <v>0.15</v>
      </c>
      <c r="J494" s="8">
        <f>(Table23[[#This Row],[Quantity]]*Table23[[#This Row],[Unit Price]])-(Table23[[#This Row],[Unit Price]]*Table23[[#This Row],[Dscount]])*Table23[[#This Row],[Quantity]]</f>
        <v>48.331000000000003</v>
      </c>
      <c r="K494" s="8">
        <v>27.121000000000002</v>
      </c>
      <c r="L494" s="8">
        <f>Table23[[#This Row],[Revenue]]-Table23[[#This Row],[Total Cost]]</f>
        <v>21.21</v>
      </c>
      <c r="M494" s="16">
        <f>(Table23[[#This Row],[Profit]]/Table23[[#This Row],[Revenue]])</f>
        <v>0.4388487720096832</v>
      </c>
      <c r="N494" t="s">
        <v>33</v>
      </c>
    </row>
    <row r="495" spans="1:14" x14ac:dyDescent="0.25">
      <c r="A495" s="11" t="s">
        <v>589</v>
      </c>
      <c r="B495" s="6">
        <v>45294</v>
      </c>
      <c r="C495" s="11" t="s">
        <v>590</v>
      </c>
      <c r="D495" s="11" t="s">
        <v>31</v>
      </c>
      <c r="E495" s="11" t="s">
        <v>514</v>
      </c>
      <c r="F495" s="11" t="s">
        <v>480</v>
      </c>
      <c r="G495" s="7">
        <v>1</v>
      </c>
      <c r="H495" s="8">
        <v>46.03</v>
      </c>
      <c r="I495" s="13">
        <v>0.1</v>
      </c>
      <c r="J495" s="8">
        <f>(Table23[[#This Row],[Quantity]]*Table23[[#This Row],[Unit Price]])-(Table23[[#This Row],[Unit Price]]*Table23[[#This Row],[Dscount]])*Table23[[#This Row],[Quantity]]</f>
        <v>41.427</v>
      </c>
      <c r="K495" s="8">
        <v>20.236999999999998</v>
      </c>
      <c r="L495" s="8">
        <f>Table23[[#This Row],[Revenue]]-Table23[[#This Row],[Total Cost]]</f>
        <v>21.19</v>
      </c>
      <c r="M495" s="16">
        <f>(Table23[[#This Row],[Profit]]/Table23[[#This Row],[Revenue]])</f>
        <v>0.51150216042677488</v>
      </c>
      <c r="N495" t="s">
        <v>33</v>
      </c>
    </row>
    <row r="496" spans="1:14" x14ac:dyDescent="0.25">
      <c r="A496" s="11" t="s">
        <v>981</v>
      </c>
      <c r="B496" s="6">
        <v>45906</v>
      </c>
      <c r="C496" s="11" t="s">
        <v>982</v>
      </c>
      <c r="D496" s="11" t="s">
        <v>14</v>
      </c>
      <c r="E496" s="11" t="s">
        <v>860</v>
      </c>
      <c r="F496" s="11" t="s">
        <v>833</v>
      </c>
      <c r="G496" s="7">
        <v>1</v>
      </c>
      <c r="H496" s="8">
        <v>94.84</v>
      </c>
      <c r="I496" s="13">
        <v>0.05</v>
      </c>
      <c r="J496" s="8">
        <f>(Table23[[#This Row],[Quantity]]*Table23[[#This Row],[Unit Price]])-(Table23[[#This Row],[Unit Price]]*Table23[[#This Row],[Dscount]])*Table23[[#This Row],[Quantity]]</f>
        <v>90.097999999999999</v>
      </c>
      <c r="K496" s="8">
        <v>68.957999999999998</v>
      </c>
      <c r="L496" s="8">
        <f>Table23[[#This Row],[Revenue]]-Table23[[#This Row],[Total Cost]]</f>
        <v>21.14</v>
      </c>
      <c r="M496" s="16">
        <f>(Table23[[#This Row],[Profit]]/Table23[[#This Row],[Revenue]])</f>
        <v>0.23463339918755136</v>
      </c>
      <c r="N496" t="s">
        <v>33</v>
      </c>
    </row>
    <row r="497" spans="1:14" x14ac:dyDescent="0.25">
      <c r="A497" s="11" t="s">
        <v>980</v>
      </c>
      <c r="B497" s="6">
        <v>45438</v>
      </c>
      <c r="C497" s="11" t="s">
        <v>689</v>
      </c>
      <c r="D497" s="11" t="s">
        <v>20</v>
      </c>
      <c r="E497" s="11" t="s">
        <v>832</v>
      </c>
      <c r="F497" s="11" t="s">
        <v>833</v>
      </c>
      <c r="G497" s="7">
        <v>1</v>
      </c>
      <c r="H497" s="8">
        <v>102.96</v>
      </c>
      <c r="I497" s="13">
        <v>0.1</v>
      </c>
      <c r="J497" s="8">
        <f>(Table23[[#This Row],[Quantity]]*Table23[[#This Row],[Unit Price]])-(Table23[[#This Row],[Unit Price]]*Table23[[#This Row],[Dscount]])*Table23[[#This Row],[Quantity]]</f>
        <v>92.663999999999987</v>
      </c>
      <c r="K497" s="8">
        <v>71.543999999999983</v>
      </c>
      <c r="L497" s="8">
        <f>Table23[[#This Row],[Revenue]]-Table23[[#This Row],[Total Cost]]</f>
        <v>21.120000000000005</v>
      </c>
      <c r="M497" s="16">
        <f>(Table23[[#This Row],[Profit]]/Table23[[#This Row],[Revenue]])</f>
        <v>0.22792022792022801</v>
      </c>
      <c r="N497" t="s">
        <v>17</v>
      </c>
    </row>
    <row r="498" spans="1:14" x14ac:dyDescent="0.25">
      <c r="A498" s="11" t="s">
        <v>978</v>
      </c>
      <c r="B498" s="6">
        <v>45899</v>
      </c>
      <c r="C498" s="11" t="s">
        <v>979</v>
      </c>
      <c r="D498" s="11" t="s">
        <v>36</v>
      </c>
      <c r="E498" s="11" t="s">
        <v>832</v>
      </c>
      <c r="F498" s="11" t="s">
        <v>833</v>
      </c>
      <c r="G498" s="7">
        <v>1</v>
      </c>
      <c r="H498" s="8">
        <v>126.15</v>
      </c>
      <c r="I498" s="13">
        <v>0.1</v>
      </c>
      <c r="J498" s="8">
        <f>(Table23[[#This Row],[Quantity]]*Table23[[#This Row],[Unit Price]])-(Table23[[#This Row],[Unit Price]]*Table23[[#This Row],[Dscount]])*Table23[[#This Row],[Quantity]]</f>
        <v>113.535</v>
      </c>
      <c r="K498" s="8">
        <v>92.454999999999998</v>
      </c>
      <c r="L498" s="8">
        <f>Table23[[#This Row],[Revenue]]-Table23[[#This Row],[Total Cost]]</f>
        <v>21.08</v>
      </c>
      <c r="M498" s="16">
        <f>(Table23[[#This Row],[Profit]]/Table23[[#This Row],[Revenue]])</f>
        <v>0.18566961729863038</v>
      </c>
      <c r="N498" t="s">
        <v>33</v>
      </c>
    </row>
    <row r="499" spans="1:14" x14ac:dyDescent="0.25">
      <c r="A499" s="11" t="s">
        <v>588</v>
      </c>
      <c r="B499" s="6">
        <v>45325</v>
      </c>
      <c r="C499" s="11" t="s">
        <v>422</v>
      </c>
      <c r="D499" s="11" t="s">
        <v>14</v>
      </c>
      <c r="E499" s="11" t="s">
        <v>496</v>
      </c>
      <c r="F499" s="11" t="s">
        <v>480</v>
      </c>
      <c r="G499" s="7">
        <v>1</v>
      </c>
      <c r="H499" s="8">
        <v>45.6</v>
      </c>
      <c r="I499" s="13">
        <v>0</v>
      </c>
      <c r="J499" s="8">
        <f>(Table23[[#This Row],[Quantity]]*Table23[[#This Row],[Unit Price]])-(Table23[[#This Row],[Unit Price]]*Table23[[#This Row],[Dscount]])*Table23[[#This Row],[Quantity]]</f>
        <v>45.6</v>
      </c>
      <c r="K499" s="8">
        <v>24.55</v>
      </c>
      <c r="L499" s="8">
        <f>Table23[[#This Row],[Revenue]]-Table23[[#This Row],[Total Cost]]</f>
        <v>21.05</v>
      </c>
      <c r="M499" s="16">
        <f>(Table23[[#This Row],[Profit]]/Table23[[#This Row],[Revenue]])</f>
        <v>0.46162280701754388</v>
      </c>
      <c r="N499" t="s">
        <v>33</v>
      </c>
    </row>
    <row r="500" spans="1:14" x14ac:dyDescent="0.25">
      <c r="A500" s="11" t="s">
        <v>974</v>
      </c>
      <c r="B500" s="6">
        <v>45473</v>
      </c>
      <c r="C500" s="11" t="s">
        <v>975</v>
      </c>
      <c r="D500" s="11" t="s">
        <v>14</v>
      </c>
      <c r="E500" s="11" t="s">
        <v>860</v>
      </c>
      <c r="F500" s="11" t="s">
        <v>833</v>
      </c>
      <c r="G500" s="7">
        <v>1</v>
      </c>
      <c r="H500" s="8">
        <v>100.49</v>
      </c>
      <c r="I500" s="13">
        <v>0.05</v>
      </c>
      <c r="J500" s="8">
        <f>(Table23[[#This Row],[Quantity]]*Table23[[#This Row],[Unit Price]])-(Table23[[#This Row],[Unit Price]]*Table23[[#This Row],[Dscount]])*Table23[[#This Row],[Quantity]]</f>
        <v>95.465499999999992</v>
      </c>
      <c r="K500" s="8">
        <v>74.485499999999988</v>
      </c>
      <c r="L500" s="8">
        <f>Table23[[#This Row],[Revenue]]-Table23[[#This Row],[Total Cost]]</f>
        <v>20.980000000000004</v>
      </c>
      <c r="M500" s="16">
        <f>(Table23[[#This Row],[Profit]]/Table23[[#This Row],[Revenue]])</f>
        <v>0.21976525551115331</v>
      </c>
      <c r="N500" t="s">
        <v>33</v>
      </c>
    </row>
    <row r="501" spans="1:14" x14ac:dyDescent="0.25">
      <c r="A501" s="11" t="s">
        <v>976</v>
      </c>
      <c r="B501" s="6">
        <v>45357</v>
      </c>
      <c r="C501" s="11" t="s">
        <v>977</v>
      </c>
      <c r="D501" s="11" t="s">
        <v>14</v>
      </c>
      <c r="E501" s="11" t="s">
        <v>832</v>
      </c>
      <c r="F501" s="11" t="s">
        <v>833</v>
      </c>
      <c r="G501" s="7">
        <v>2</v>
      </c>
      <c r="H501" s="8">
        <v>49.19</v>
      </c>
      <c r="I501" s="13">
        <v>0</v>
      </c>
      <c r="J501" s="8">
        <f>(Table23[[#This Row],[Quantity]]*Table23[[#This Row],[Unit Price]])-(Table23[[#This Row],[Unit Price]]*Table23[[#This Row],[Dscount]])*Table23[[#This Row],[Quantity]]</f>
        <v>98.38</v>
      </c>
      <c r="K501" s="8">
        <v>77.399999999999991</v>
      </c>
      <c r="L501" s="8">
        <f>Table23[[#This Row],[Revenue]]-Table23[[#This Row],[Total Cost]]</f>
        <v>20.980000000000004</v>
      </c>
      <c r="M501" s="16">
        <f>(Table23[[#This Row],[Profit]]/Table23[[#This Row],[Revenue]])</f>
        <v>0.2132547265704412</v>
      </c>
      <c r="N501" t="s">
        <v>17</v>
      </c>
    </row>
    <row r="502" spans="1:14" x14ac:dyDescent="0.25">
      <c r="A502" s="11" t="s">
        <v>586</v>
      </c>
      <c r="B502" s="6">
        <v>45873</v>
      </c>
      <c r="C502" s="11" t="s">
        <v>587</v>
      </c>
      <c r="D502" s="11" t="s">
        <v>36</v>
      </c>
      <c r="E502" s="11" t="s">
        <v>546</v>
      </c>
      <c r="F502" s="11" t="s">
        <v>480</v>
      </c>
      <c r="G502" s="7">
        <v>2</v>
      </c>
      <c r="H502" s="8">
        <v>25.33</v>
      </c>
      <c r="I502" s="13">
        <v>0.1</v>
      </c>
      <c r="J502" s="8">
        <f>(Table23[[#This Row],[Quantity]]*Table23[[#This Row],[Unit Price]])-(Table23[[#This Row],[Unit Price]]*Table23[[#This Row],[Dscount]])*Table23[[#This Row],[Quantity]]</f>
        <v>45.593999999999994</v>
      </c>
      <c r="K502" s="8">
        <v>24.623999999999995</v>
      </c>
      <c r="L502" s="8">
        <f>Table23[[#This Row],[Revenue]]-Table23[[#This Row],[Total Cost]]</f>
        <v>20.97</v>
      </c>
      <c r="M502" s="16">
        <f>(Table23[[#This Row],[Profit]]/Table23[[#This Row],[Revenue]])</f>
        <v>0.45992893801816032</v>
      </c>
      <c r="N502" t="s">
        <v>33</v>
      </c>
    </row>
    <row r="503" spans="1:14" x14ac:dyDescent="0.25">
      <c r="A503" s="11" t="s">
        <v>972</v>
      </c>
      <c r="B503" s="6">
        <v>45619</v>
      </c>
      <c r="C503" s="11" t="s">
        <v>973</v>
      </c>
      <c r="D503" s="11" t="s">
        <v>24</v>
      </c>
      <c r="E503" s="11" t="s">
        <v>848</v>
      </c>
      <c r="F503" s="11" t="s">
        <v>833</v>
      </c>
      <c r="G503" s="7">
        <v>1</v>
      </c>
      <c r="H503" s="8">
        <v>147.01</v>
      </c>
      <c r="I503" s="13">
        <v>0.15</v>
      </c>
      <c r="J503" s="8">
        <f>(Table23[[#This Row],[Quantity]]*Table23[[#This Row],[Unit Price]])-(Table23[[#This Row],[Unit Price]]*Table23[[#This Row],[Dscount]])*Table23[[#This Row],[Quantity]]</f>
        <v>124.95849999999999</v>
      </c>
      <c r="K503" s="8">
        <v>103.99849999999998</v>
      </c>
      <c r="L503" s="8">
        <f>Table23[[#This Row],[Revenue]]-Table23[[#This Row],[Total Cost]]</f>
        <v>20.960000000000008</v>
      </c>
      <c r="M503" s="16">
        <f>(Table23[[#This Row],[Profit]]/Table23[[#This Row],[Revenue]])</f>
        <v>0.16773568824849858</v>
      </c>
      <c r="N503" t="s">
        <v>33</v>
      </c>
    </row>
    <row r="504" spans="1:14" x14ac:dyDescent="0.25">
      <c r="A504" s="11" t="s">
        <v>584</v>
      </c>
      <c r="B504" s="6">
        <v>45649</v>
      </c>
      <c r="C504" s="11" t="s">
        <v>585</v>
      </c>
      <c r="D504" s="11" t="s">
        <v>20</v>
      </c>
      <c r="E504" s="11" t="s">
        <v>503</v>
      </c>
      <c r="F504" s="11" t="s">
        <v>480</v>
      </c>
      <c r="G504" s="7">
        <v>1</v>
      </c>
      <c r="H504" s="8">
        <v>45.28</v>
      </c>
      <c r="I504" s="13">
        <v>0</v>
      </c>
      <c r="J504" s="8">
        <f>(Table23[[#This Row],[Quantity]]*Table23[[#This Row],[Unit Price]])-(Table23[[#This Row],[Unit Price]]*Table23[[#This Row],[Dscount]])*Table23[[#This Row],[Quantity]]</f>
        <v>45.28</v>
      </c>
      <c r="K504" s="8">
        <v>24.36</v>
      </c>
      <c r="L504" s="8">
        <f>Table23[[#This Row],[Revenue]]-Table23[[#This Row],[Total Cost]]</f>
        <v>20.92</v>
      </c>
      <c r="M504" s="16">
        <f>(Table23[[#This Row],[Profit]]/Table23[[#This Row],[Revenue]])</f>
        <v>0.46201413427561838</v>
      </c>
      <c r="N504" t="s">
        <v>33</v>
      </c>
    </row>
    <row r="505" spans="1:14" x14ac:dyDescent="0.25">
      <c r="A505" s="11" t="s">
        <v>970</v>
      </c>
      <c r="B505" s="6">
        <v>45717</v>
      </c>
      <c r="C505" s="11" t="s">
        <v>971</v>
      </c>
      <c r="D505" s="11" t="s">
        <v>14</v>
      </c>
      <c r="E505" s="11" t="s">
        <v>835</v>
      </c>
      <c r="F505" s="11" t="s">
        <v>833</v>
      </c>
      <c r="G505" s="7">
        <v>2</v>
      </c>
      <c r="H505" s="8">
        <v>52.07</v>
      </c>
      <c r="I505" s="13">
        <v>0</v>
      </c>
      <c r="J505" s="8">
        <f>(Table23[[#This Row],[Quantity]]*Table23[[#This Row],[Unit Price]])-(Table23[[#This Row],[Unit Price]]*Table23[[#This Row],[Dscount]])*Table23[[#This Row],[Quantity]]</f>
        <v>104.14</v>
      </c>
      <c r="K505" s="8">
        <v>83.28</v>
      </c>
      <c r="L505" s="8">
        <f>Table23[[#This Row],[Revenue]]-Table23[[#This Row],[Total Cost]]</f>
        <v>20.86</v>
      </c>
      <c r="M505" s="16">
        <f>(Table23[[#This Row],[Profit]]/Table23[[#This Row],[Revenue]])</f>
        <v>0.20030727866333781</v>
      </c>
      <c r="N505" t="s">
        <v>33</v>
      </c>
    </row>
    <row r="506" spans="1:14" x14ac:dyDescent="0.25">
      <c r="A506" s="11" t="s">
        <v>230</v>
      </c>
      <c r="B506" s="6">
        <v>45470</v>
      </c>
      <c r="C506" s="11" t="s">
        <v>231</v>
      </c>
      <c r="D506" s="11" t="s">
        <v>24</v>
      </c>
      <c r="E506" s="11" t="s">
        <v>44</v>
      </c>
      <c r="F506" s="11" t="s">
        <v>16</v>
      </c>
      <c r="G506" s="7">
        <v>1</v>
      </c>
      <c r="H506" s="8">
        <v>40.83</v>
      </c>
      <c r="I506" s="13">
        <v>0.1</v>
      </c>
      <c r="J506" s="8">
        <f>(Table23[[#This Row],[Quantity]]*Table23[[#This Row],[Unit Price]])-(Table23[[#This Row],[Unit Price]]*Table23[[#This Row],[Dscount]])*Table23[[#This Row],[Quantity]]</f>
        <v>36.747</v>
      </c>
      <c r="K506" s="8">
        <v>15.917000000000002</v>
      </c>
      <c r="L506" s="8">
        <f>Table23[[#This Row],[Revenue]]-Table23[[#This Row],[Total Cost]]</f>
        <v>20.83</v>
      </c>
      <c r="M506" s="16">
        <f>(Table23[[#This Row],[Profit]]/Table23[[#This Row],[Revenue]])</f>
        <v>0.56684899447573944</v>
      </c>
      <c r="N506" t="s">
        <v>33</v>
      </c>
    </row>
    <row r="507" spans="1:14" x14ac:dyDescent="0.25">
      <c r="A507" s="11" t="s">
        <v>1290</v>
      </c>
      <c r="B507" s="6">
        <v>45538</v>
      </c>
      <c r="C507" s="11" t="s">
        <v>1041</v>
      </c>
      <c r="D507" s="11" t="s">
        <v>20</v>
      </c>
      <c r="E507" s="11" t="s">
        <v>1128</v>
      </c>
      <c r="F507" s="11" t="s">
        <v>1112</v>
      </c>
      <c r="G507" s="7">
        <v>2</v>
      </c>
      <c r="H507" s="8">
        <v>56.62</v>
      </c>
      <c r="I507" s="13">
        <v>0.1</v>
      </c>
      <c r="J507" s="8">
        <f>(Table23[[#This Row],[Quantity]]*Table23[[#This Row],[Unit Price]])-(Table23[[#This Row],[Unit Price]]*Table23[[#This Row],[Dscount]])*Table23[[#This Row],[Quantity]]</f>
        <v>101.916</v>
      </c>
      <c r="K507" s="8">
        <v>81.085999999999999</v>
      </c>
      <c r="L507" s="8">
        <f>Table23[[#This Row],[Revenue]]-Table23[[#This Row],[Total Cost]]</f>
        <v>20.83</v>
      </c>
      <c r="M507" s="16">
        <f>(Table23[[#This Row],[Profit]]/Table23[[#This Row],[Revenue]])</f>
        <v>0.20438400251187253</v>
      </c>
      <c r="N507" t="s">
        <v>17</v>
      </c>
    </row>
    <row r="508" spans="1:14" x14ac:dyDescent="0.25">
      <c r="A508" s="11" t="s">
        <v>968</v>
      </c>
      <c r="B508" s="6">
        <v>45658</v>
      </c>
      <c r="C508" s="11" t="s">
        <v>969</v>
      </c>
      <c r="D508" s="11" t="s">
        <v>14</v>
      </c>
      <c r="E508" s="11" t="s">
        <v>860</v>
      </c>
      <c r="F508" s="11" t="s">
        <v>833</v>
      </c>
      <c r="G508" s="7">
        <v>1</v>
      </c>
      <c r="H508" s="8">
        <v>121.3</v>
      </c>
      <c r="I508" s="13">
        <v>0</v>
      </c>
      <c r="J508" s="8">
        <f>(Table23[[#This Row],[Quantity]]*Table23[[#This Row],[Unit Price]])-(Table23[[#This Row],[Unit Price]]*Table23[[#This Row],[Dscount]])*Table23[[#This Row],[Quantity]]</f>
        <v>121.3</v>
      </c>
      <c r="K508" s="8">
        <v>100.50999999999999</v>
      </c>
      <c r="L508" s="8">
        <f>Table23[[#This Row],[Revenue]]-Table23[[#This Row],[Total Cost]]</f>
        <v>20.790000000000006</v>
      </c>
      <c r="M508" s="16">
        <f>(Table23[[#This Row],[Profit]]/Table23[[#This Row],[Revenue]])</f>
        <v>0.17139323990107178</v>
      </c>
      <c r="N508" t="s">
        <v>17</v>
      </c>
    </row>
    <row r="509" spans="1:14" x14ac:dyDescent="0.25">
      <c r="A509" s="11" t="s">
        <v>1288</v>
      </c>
      <c r="B509" s="6">
        <v>45713</v>
      </c>
      <c r="C509" s="11" t="s">
        <v>1289</v>
      </c>
      <c r="D509" s="11" t="s">
        <v>31</v>
      </c>
      <c r="E509" s="11" t="s">
        <v>1124</v>
      </c>
      <c r="F509" s="11" t="s">
        <v>1112</v>
      </c>
      <c r="G509" s="7">
        <v>2</v>
      </c>
      <c r="H509" s="8">
        <v>46.25</v>
      </c>
      <c r="I509" s="13">
        <v>0.1</v>
      </c>
      <c r="J509" s="8">
        <f>(Table23[[#This Row],[Quantity]]*Table23[[#This Row],[Unit Price]])-(Table23[[#This Row],[Unit Price]]*Table23[[#This Row],[Dscount]])*Table23[[#This Row],[Quantity]]</f>
        <v>83.25</v>
      </c>
      <c r="K509" s="8">
        <v>62.47</v>
      </c>
      <c r="L509" s="8">
        <f>Table23[[#This Row],[Revenue]]-Table23[[#This Row],[Total Cost]]</f>
        <v>20.78</v>
      </c>
      <c r="M509" s="16">
        <f>(Table23[[#This Row],[Profit]]/Table23[[#This Row],[Revenue]])</f>
        <v>0.24960960960960962</v>
      </c>
      <c r="N509" t="s">
        <v>33</v>
      </c>
    </row>
    <row r="510" spans="1:14" x14ac:dyDescent="0.25">
      <c r="A510" s="11" t="s">
        <v>582</v>
      </c>
      <c r="B510" s="6">
        <v>45593</v>
      </c>
      <c r="C510" s="11" t="s">
        <v>583</v>
      </c>
      <c r="D510" s="11" t="s">
        <v>20</v>
      </c>
      <c r="E510" s="11" t="s">
        <v>489</v>
      </c>
      <c r="F510" s="11" t="s">
        <v>480</v>
      </c>
      <c r="G510" s="7">
        <v>1</v>
      </c>
      <c r="H510" s="8">
        <v>57.81</v>
      </c>
      <c r="I510" s="13">
        <v>0.05</v>
      </c>
      <c r="J510" s="8">
        <f>(Table23[[#This Row],[Quantity]]*Table23[[#This Row],[Unit Price]])-(Table23[[#This Row],[Unit Price]]*Table23[[#This Row],[Dscount]])*Table23[[#This Row],[Quantity]]</f>
        <v>54.919499999999999</v>
      </c>
      <c r="K510" s="8">
        <v>34.149500000000003</v>
      </c>
      <c r="L510" s="8">
        <f>Table23[[#This Row],[Revenue]]-Table23[[#This Row],[Total Cost]]</f>
        <v>20.769999999999996</v>
      </c>
      <c r="M510" s="16">
        <f>(Table23[[#This Row],[Profit]]/Table23[[#This Row],[Revenue]])</f>
        <v>0.37818989612068565</v>
      </c>
      <c r="N510" t="s">
        <v>33</v>
      </c>
    </row>
    <row r="511" spans="1:14" x14ac:dyDescent="0.25">
      <c r="A511" s="11" t="s">
        <v>1655</v>
      </c>
      <c r="B511" s="6">
        <v>45473</v>
      </c>
      <c r="C511" s="11" t="s">
        <v>1268</v>
      </c>
      <c r="D511" s="11" t="s">
        <v>24</v>
      </c>
      <c r="E511" s="11" t="s">
        <v>1416</v>
      </c>
      <c r="F511" s="11" t="s">
        <v>1417</v>
      </c>
      <c r="G511" s="7">
        <v>4</v>
      </c>
      <c r="H511" s="8">
        <v>20.67</v>
      </c>
      <c r="I511" s="13">
        <v>0.05</v>
      </c>
      <c r="J511" s="8">
        <f>(Table23[[#This Row],[Quantity]]*Table23[[#This Row],[Unit Price]])-(Table23[[#This Row],[Unit Price]]*Table23[[#This Row],[Dscount]])*Table23[[#This Row],[Quantity]]</f>
        <v>78.546000000000006</v>
      </c>
      <c r="K511" s="8">
        <v>57.846000000000004</v>
      </c>
      <c r="L511" s="8">
        <f>Table23[[#This Row],[Revenue]]-Table23[[#This Row],[Total Cost]]</f>
        <v>20.700000000000003</v>
      </c>
      <c r="M511" s="16">
        <f>(Table23[[#This Row],[Profit]]/Table23[[#This Row],[Revenue]])</f>
        <v>0.263539836528913</v>
      </c>
      <c r="N511" t="s">
        <v>33</v>
      </c>
    </row>
    <row r="512" spans="1:14" x14ac:dyDescent="0.25">
      <c r="A512" s="11" t="s">
        <v>580</v>
      </c>
      <c r="B512" s="6">
        <v>45736</v>
      </c>
      <c r="C512" s="11" t="s">
        <v>581</v>
      </c>
      <c r="D512" s="11" t="s">
        <v>20</v>
      </c>
      <c r="E512" s="11" t="s">
        <v>546</v>
      </c>
      <c r="F512" s="11" t="s">
        <v>480</v>
      </c>
      <c r="G512" s="7">
        <v>2</v>
      </c>
      <c r="H512" s="8">
        <v>30.53</v>
      </c>
      <c r="I512" s="13">
        <v>0.1</v>
      </c>
      <c r="J512" s="8">
        <f>(Table23[[#This Row],[Quantity]]*Table23[[#This Row],[Unit Price]])-(Table23[[#This Row],[Unit Price]]*Table23[[#This Row],[Dscount]])*Table23[[#This Row],[Quantity]]</f>
        <v>54.954000000000001</v>
      </c>
      <c r="K512" s="8">
        <v>34.283999999999999</v>
      </c>
      <c r="L512" s="8">
        <f>Table23[[#This Row],[Revenue]]-Table23[[#This Row],[Total Cost]]</f>
        <v>20.67</v>
      </c>
      <c r="M512" s="16">
        <f>(Table23[[#This Row],[Profit]]/Table23[[#This Row],[Revenue]])</f>
        <v>0.37613276558576264</v>
      </c>
      <c r="N512" t="s">
        <v>48</v>
      </c>
    </row>
    <row r="513" spans="1:14" x14ac:dyDescent="0.25">
      <c r="A513" s="11" t="s">
        <v>967</v>
      </c>
      <c r="B513" s="6">
        <v>46009</v>
      </c>
      <c r="C513" s="11" t="s">
        <v>523</v>
      </c>
      <c r="D513" s="11" t="s">
        <v>31</v>
      </c>
      <c r="E513" s="11" t="s">
        <v>835</v>
      </c>
      <c r="F513" s="11" t="s">
        <v>833</v>
      </c>
      <c r="G513" s="7">
        <v>2</v>
      </c>
      <c r="H513" s="8">
        <v>84.53</v>
      </c>
      <c r="I513" s="13">
        <v>0.05</v>
      </c>
      <c r="J513" s="8">
        <f>(Table23[[#This Row],[Quantity]]*Table23[[#This Row],[Unit Price]])-(Table23[[#This Row],[Unit Price]]*Table23[[#This Row],[Dscount]])*Table23[[#This Row],[Quantity]]</f>
        <v>160.607</v>
      </c>
      <c r="K513" s="8">
        <v>139.95699999999999</v>
      </c>
      <c r="L513" s="8">
        <f>Table23[[#This Row],[Revenue]]-Table23[[#This Row],[Total Cost]]</f>
        <v>20.650000000000006</v>
      </c>
      <c r="M513" s="16">
        <f>(Table23[[#This Row],[Profit]]/Table23[[#This Row],[Revenue]])</f>
        <v>0.12857471965730016</v>
      </c>
      <c r="N513" t="s">
        <v>33</v>
      </c>
    </row>
    <row r="514" spans="1:14" x14ac:dyDescent="0.25">
      <c r="A514" s="11" t="s">
        <v>229</v>
      </c>
      <c r="B514" s="6">
        <v>45644</v>
      </c>
      <c r="C514" s="11" t="s">
        <v>204</v>
      </c>
      <c r="D514" s="11" t="s">
        <v>14</v>
      </c>
      <c r="E514" s="11" t="s">
        <v>68</v>
      </c>
      <c r="F514" s="11" t="s">
        <v>16</v>
      </c>
      <c r="G514" s="7">
        <v>1</v>
      </c>
      <c r="H514" s="8">
        <v>42.6</v>
      </c>
      <c r="I514" s="13">
        <v>0.1</v>
      </c>
      <c r="J514" s="8">
        <f>(Table23[[#This Row],[Quantity]]*Table23[[#This Row],[Unit Price]])-(Table23[[#This Row],[Unit Price]]*Table23[[#This Row],[Dscount]])*Table23[[#This Row],[Quantity]]</f>
        <v>38.340000000000003</v>
      </c>
      <c r="K514" s="8">
        <v>17.760000000000005</v>
      </c>
      <c r="L514" s="8">
        <f>Table23[[#This Row],[Revenue]]-Table23[[#This Row],[Total Cost]]</f>
        <v>20.58</v>
      </c>
      <c r="M514" s="16">
        <f>(Table23[[#This Row],[Profit]]/Table23[[#This Row],[Revenue]])</f>
        <v>0.53677621283255073</v>
      </c>
      <c r="N514" t="s">
        <v>33</v>
      </c>
    </row>
    <row r="515" spans="1:14" x14ac:dyDescent="0.25">
      <c r="A515" s="11" t="s">
        <v>227</v>
      </c>
      <c r="B515" s="6">
        <v>45574</v>
      </c>
      <c r="C515" s="11" t="s">
        <v>228</v>
      </c>
      <c r="D515" s="11" t="s">
        <v>20</v>
      </c>
      <c r="E515" s="11" t="s">
        <v>32</v>
      </c>
      <c r="F515" s="11" t="s">
        <v>16</v>
      </c>
      <c r="G515" s="7">
        <v>1</v>
      </c>
      <c r="H515" s="8">
        <v>38.26</v>
      </c>
      <c r="I515" s="13">
        <v>0.05</v>
      </c>
      <c r="J515" s="8">
        <f>(Table23[[#This Row],[Quantity]]*Table23[[#This Row],[Unit Price]])-(Table23[[#This Row],[Unit Price]]*Table23[[#This Row],[Dscount]])*Table23[[#This Row],[Quantity]]</f>
        <v>36.347000000000001</v>
      </c>
      <c r="K515" s="8">
        <v>15.807000000000002</v>
      </c>
      <c r="L515" s="8">
        <f>Table23[[#This Row],[Revenue]]-Table23[[#This Row],[Total Cost]]</f>
        <v>20.54</v>
      </c>
      <c r="M515" s="16">
        <f>(Table23[[#This Row],[Profit]]/Table23[[#This Row],[Revenue]])</f>
        <v>0.56510853715574871</v>
      </c>
      <c r="N515" t="s">
        <v>33</v>
      </c>
    </row>
    <row r="516" spans="1:14" x14ac:dyDescent="0.25">
      <c r="A516" s="11" t="s">
        <v>966</v>
      </c>
      <c r="B516" s="6">
        <v>45940</v>
      </c>
      <c r="C516" s="11" t="s">
        <v>554</v>
      </c>
      <c r="D516" s="11" t="s">
        <v>24</v>
      </c>
      <c r="E516" s="11" t="s">
        <v>843</v>
      </c>
      <c r="F516" s="11" t="s">
        <v>833</v>
      </c>
      <c r="G516" s="7">
        <v>2</v>
      </c>
      <c r="H516" s="8">
        <v>112.49</v>
      </c>
      <c r="I516" s="13">
        <v>0</v>
      </c>
      <c r="J516" s="8">
        <f>(Table23[[#This Row],[Quantity]]*Table23[[#This Row],[Unit Price]])-(Table23[[#This Row],[Unit Price]]*Table23[[#This Row],[Dscount]])*Table23[[#This Row],[Quantity]]</f>
        <v>224.98</v>
      </c>
      <c r="K516" s="8">
        <v>204.54</v>
      </c>
      <c r="L516" s="8">
        <f>Table23[[#This Row],[Revenue]]-Table23[[#This Row],[Total Cost]]</f>
        <v>20.439999999999998</v>
      </c>
      <c r="M516" s="16">
        <f>(Table23[[#This Row],[Profit]]/Table23[[#This Row],[Revenue]])</f>
        <v>9.0852520224019906E-2</v>
      </c>
      <c r="N516" t="s">
        <v>33</v>
      </c>
    </row>
    <row r="517" spans="1:14" x14ac:dyDescent="0.25">
      <c r="A517" s="11" t="s">
        <v>965</v>
      </c>
      <c r="B517" s="6">
        <v>45711</v>
      </c>
      <c r="C517" s="11" t="s">
        <v>258</v>
      </c>
      <c r="D517" s="11" t="s">
        <v>36</v>
      </c>
      <c r="E517" s="11" t="s">
        <v>843</v>
      </c>
      <c r="F517" s="11" t="s">
        <v>833</v>
      </c>
      <c r="G517" s="7">
        <v>2</v>
      </c>
      <c r="H517" s="8">
        <v>43.95</v>
      </c>
      <c r="I517" s="13">
        <v>0</v>
      </c>
      <c r="J517" s="8">
        <f>(Table23[[#This Row],[Quantity]]*Table23[[#This Row],[Unit Price]])-(Table23[[#This Row],[Unit Price]]*Table23[[#This Row],[Dscount]])*Table23[[#This Row],[Quantity]]</f>
        <v>87.9</v>
      </c>
      <c r="K517" s="8">
        <v>67.490000000000009</v>
      </c>
      <c r="L517" s="8">
        <f>Table23[[#This Row],[Revenue]]-Table23[[#This Row],[Total Cost]]</f>
        <v>20.409999999999997</v>
      </c>
      <c r="M517" s="16">
        <f>(Table23[[#This Row],[Profit]]/Table23[[#This Row],[Revenue]])</f>
        <v>0.23219567690557447</v>
      </c>
      <c r="N517" t="s">
        <v>33</v>
      </c>
    </row>
    <row r="518" spans="1:14" x14ac:dyDescent="0.25">
      <c r="A518" s="11" t="s">
        <v>1286</v>
      </c>
      <c r="B518" s="6">
        <v>45775</v>
      </c>
      <c r="C518" s="11" t="s">
        <v>1287</v>
      </c>
      <c r="D518" s="11" t="s">
        <v>31</v>
      </c>
      <c r="E518" s="11" t="s">
        <v>1134</v>
      </c>
      <c r="F518" s="11" t="s">
        <v>1112</v>
      </c>
      <c r="G518" s="7">
        <v>1</v>
      </c>
      <c r="H518" s="8">
        <v>78.67</v>
      </c>
      <c r="I518" s="13">
        <v>0.1</v>
      </c>
      <c r="J518" s="8">
        <f>(Table23[[#This Row],[Quantity]]*Table23[[#This Row],[Unit Price]])-(Table23[[#This Row],[Unit Price]]*Table23[[#This Row],[Dscount]])*Table23[[#This Row],[Quantity]]</f>
        <v>70.802999999999997</v>
      </c>
      <c r="K518" s="8">
        <v>50.393000000000001</v>
      </c>
      <c r="L518" s="8">
        <f>Table23[[#This Row],[Revenue]]-Table23[[#This Row],[Total Cost]]</f>
        <v>20.409999999999997</v>
      </c>
      <c r="M518" s="16">
        <f>(Table23[[#This Row],[Profit]]/Table23[[#This Row],[Revenue]])</f>
        <v>0.28826462155558374</v>
      </c>
      <c r="N518" t="s">
        <v>33</v>
      </c>
    </row>
    <row r="519" spans="1:14" x14ac:dyDescent="0.25">
      <c r="A519" s="11" t="s">
        <v>225</v>
      </c>
      <c r="B519" s="6">
        <v>45753</v>
      </c>
      <c r="C519" s="11" t="s">
        <v>226</v>
      </c>
      <c r="D519" s="11" t="s">
        <v>31</v>
      </c>
      <c r="E519" s="11" t="s">
        <v>25</v>
      </c>
      <c r="F519" s="11" t="s">
        <v>16</v>
      </c>
      <c r="G519" s="7">
        <v>1</v>
      </c>
      <c r="H519" s="8">
        <v>38.82</v>
      </c>
      <c r="I519" s="13">
        <v>0</v>
      </c>
      <c r="J519" s="8">
        <f>(Table23[[#This Row],[Quantity]]*Table23[[#This Row],[Unit Price]])-(Table23[[#This Row],[Unit Price]]*Table23[[#This Row],[Dscount]])*Table23[[#This Row],[Quantity]]</f>
        <v>38.82</v>
      </c>
      <c r="K519" s="8">
        <v>18.43</v>
      </c>
      <c r="L519" s="8">
        <f>Table23[[#This Row],[Revenue]]-Table23[[#This Row],[Total Cost]]</f>
        <v>20.39</v>
      </c>
      <c r="M519" s="16">
        <f>(Table23[[#This Row],[Profit]]/Table23[[#This Row],[Revenue]])</f>
        <v>0.52524471921689853</v>
      </c>
      <c r="N519" t="s">
        <v>48</v>
      </c>
    </row>
    <row r="520" spans="1:14" x14ac:dyDescent="0.25">
      <c r="A520" s="11" t="s">
        <v>963</v>
      </c>
      <c r="B520" s="6">
        <v>45636</v>
      </c>
      <c r="C520" s="11" t="s">
        <v>964</v>
      </c>
      <c r="D520" s="11" t="s">
        <v>24</v>
      </c>
      <c r="E520" s="11" t="s">
        <v>858</v>
      </c>
      <c r="F520" s="11" t="s">
        <v>833</v>
      </c>
      <c r="G520" s="7">
        <v>1</v>
      </c>
      <c r="H520" s="8">
        <v>90.33</v>
      </c>
      <c r="I520" s="13">
        <v>0</v>
      </c>
      <c r="J520" s="8">
        <f>(Table23[[#This Row],[Quantity]]*Table23[[#This Row],[Unit Price]])-(Table23[[#This Row],[Unit Price]]*Table23[[#This Row],[Dscount]])*Table23[[#This Row],[Quantity]]</f>
        <v>90.33</v>
      </c>
      <c r="K520" s="8">
        <v>70.02</v>
      </c>
      <c r="L520" s="8">
        <f>Table23[[#This Row],[Revenue]]-Table23[[#This Row],[Total Cost]]</f>
        <v>20.310000000000002</v>
      </c>
      <c r="M520" s="16">
        <f>(Table23[[#This Row],[Profit]]/Table23[[#This Row],[Revenue]])</f>
        <v>0.22484224510129527</v>
      </c>
      <c r="N520" t="s">
        <v>17</v>
      </c>
    </row>
    <row r="521" spans="1:14" x14ac:dyDescent="0.25">
      <c r="A521" s="11" t="s">
        <v>1285</v>
      </c>
      <c r="B521" s="6">
        <v>45790</v>
      </c>
      <c r="C521" s="11" t="s">
        <v>790</v>
      </c>
      <c r="D521" s="11" t="s">
        <v>24</v>
      </c>
      <c r="E521" s="11" t="s">
        <v>1120</v>
      </c>
      <c r="F521" s="11" t="s">
        <v>1112</v>
      </c>
      <c r="G521" s="7">
        <v>2</v>
      </c>
      <c r="H521" s="8">
        <v>39.549999999999997</v>
      </c>
      <c r="I521" s="13">
        <v>0.05</v>
      </c>
      <c r="J521" s="8">
        <f>(Table23[[#This Row],[Quantity]]*Table23[[#This Row],[Unit Price]])-(Table23[[#This Row],[Unit Price]]*Table23[[#This Row],[Dscount]])*Table23[[#This Row],[Quantity]]</f>
        <v>75.144999999999996</v>
      </c>
      <c r="K521" s="8">
        <v>54.854999999999997</v>
      </c>
      <c r="L521" s="8">
        <f>Table23[[#This Row],[Revenue]]-Table23[[#This Row],[Total Cost]]</f>
        <v>20.29</v>
      </c>
      <c r="M521" s="16">
        <f>(Table23[[#This Row],[Profit]]/Table23[[#This Row],[Revenue]])</f>
        <v>0.27001131146450197</v>
      </c>
      <c r="N521" t="s">
        <v>33</v>
      </c>
    </row>
    <row r="522" spans="1:14" x14ac:dyDescent="0.25">
      <c r="A522" s="11" t="s">
        <v>578</v>
      </c>
      <c r="B522" s="6">
        <v>45466</v>
      </c>
      <c r="C522" s="11" t="s">
        <v>579</v>
      </c>
      <c r="D522" s="11" t="s">
        <v>31</v>
      </c>
      <c r="E522" s="11" t="s">
        <v>486</v>
      </c>
      <c r="F522" s="11" t="s">
        <v>480</v>
      </c>
      <c r="G522" s="7">
        <v>2</v>
      </c>
      <c r="H522" s="8">
        <v>44.37</v>
      </c>
      <c r="I522" s="13">
        <v>0.25</v>
      </c>
      <c r="J522" s="8">
        <f>(Table23[[#This Row],[Quantity]]*Table23[[#This Row],[Unit Price]])-(Table23[[#This Row],[Unit Price]]*Table23[[#This Row],[Dscount]])*Table23[[#This Row],[Quantity]]</f>
        <v>66.554999999999993</v>
      </c>
      <c r="K522" s="8">
        <v>46.274999999999991</v>
      </c>
      <c r="L522" s="8">
        <f>Table23[[#This Row],[Revenue]]-Table23[[#This Row],[Total Cost]]</f>
        <v>20.28</v>
      </c>
      <c r="M522" s="16">
        <f>(Table23[[#This Row],[Profit]]/Table23[[#This Row],[Revenue]])</f>
        <v>0.30471038990308774</v>
      </c>
      <c r="N522" t="s">
        <v>33</v>
      </c>
    </row>
    <row r="523" spans="1:14" x14ac:dyDescent="0.25">
      <c r="A523" s="11" t="s">
        <v>223</v>
      </c>
      <c r="B523" s="6">
        <v>45996</v>
      </c>
      <c r="C523" s="11" t="s">
        <v>224</v>
      </c>
      <c r="D523" s="11" t="s">
        <v>31</v>
      </c>
      <c r="E523" s="11" t="s">
        <v>44</v>
      </c>
      <c r="F523" s="11" t="s">
        <v>16</v>
      </c>
      <c r="G523" s="7">
        <v>1</v>
      </c>
      <c r="H523" s="8">
        <v>44.94</v>
      </c>
      <c r="I523" s="13">
        <v>0</v>
      </c>
      <c r="J523" s="8">
        <f>(Table23[[#This Row],[Quantity]]*Table23[[#This Row],[Unit Price]])-(Table23[[#This Row],[Unit Price]]*Table23[[#This Row],[Dscount]])*Table23[[#This Row],[Quantity]]</f>
        <v>44.94</v>
      </c>
      <c r="K523" s="8">
        <v>24.72</v>
      </c>
      <c r="L523" s="8">
        <f>Table23[[#This Row],[Revenue]]-Table23[[#This Row],[Total Cost]]</f>
        <v>20.22</v>
      </c>
      <c r="M523" s="16">
        <f>(Table23[[#This Row],[Profit]]/Table23[[#This Row],[Revenue]])</f>
        <v>0.4499332443257677</v>
      </c>
      <c r="N523" t="s">
        <v>33</v>
      </c>
    </row>
    <row r="524" spans="1:14" x14ac:dyDescent="0.25">
      <c r="A524" s="11" t="s">
        <v>576</v>
      </c>
      <c r="B524" s="6">
        <v>45987</v>
      </c>
      <c r="C524" s="11" t="s">
        <v>577</v>
      </c>
      <c r="D524" s="11" t="s">
        <v>24</v>
      </c>
      <c r="E524" s="11" t="s">
        <v>489</v>
      </c>
      <c r="F524" s="11" t="s">
        <v>480</v>
      </c>
      <c r="G524" s="7">
        <v>1</v>
      </c>
      <c r="H524" s="8">
        <v>43.57</v>
      </c>
      <c r="I524" s="13">
        <v>0</v>
      </c>
      <c r="J524" s="8">
        <f>(Table23[[#This Row],[Quantity]]*Table23[[#This Row],[Unit Price]])-(Table23[[#This Row],[Unit Price]]*Table23[[#This Row],[Dscount]])*Table23[[#This Row],[Quantity]]</f>
        <v>43.57</v>
      </c>
      <c r="K524" s="8">
        <v>23.35</v>
      </c>
      <c r="L524" s="8">
        <f>Table23[[#This Row],[Revenue]]-Table23[[#This Row],[Total Cost]]</f>
        <v>20.22</v>
      </c>
      <c r="M524" s="16">
        <f>(Table23[[#This Row],[Profit]]/Table23[[#This Row],[Revenue]])</f>
        <v>0.46408078953408305</v>
      </c>
      <c r="N524" t="s">
        <v>33</v>
      </c>
    </row>
    <row r="525" spans="1:14" x14ac:dyDescent="0.25">
      <c r="A525" s="11" t="s">
        <v>962</v>
      </c>
      <c r="B525" s="6">
        <v>45350</v>
      </c>
      <c r="C525" s="11" t="s">
        <v>757</v>
      </c>
      <c r="D525" s="11" t="s">
        <v>20</v>
      </c>
      <c r="E525" s="11" t="s">
        <v>835</v>
      </c>
      <c r="F525" s="11" t="s">
        <v>833</v>
      </c>
      <c r="G525" s="7">
        <v>2</v>
      </c>
      <c r="H525" s="8">
        <v>128.4</v>
      </c>
      <c r="I525" s="13">
        <v>0.1</v>
      </c>
      <c r="J525" s="8">
        <f>(Table23[[#This Row],[Quantity]]*Table23[[#This Row],[Unit Price]])-(Table23[[#This Row],[Unit Price]]*Table23[[#This Row],[Dscount]])*Table23[[#This Row],[Quantity]]</f>
        <v>231.12</v>
      </c>
      <c r="K525" s="8">
        <v>210.94</v>
      </c>
      <c r="L525" s="8">
        <f>Table23[[#This Row],[Revenue]]-Table23[[#This Row],[Total Cost]]</f>
        <v>20.180000000000007</v>
      </c>
      <c r="M525" s="16">
        <f>(Table23[[#This Row],[Profit]]/Table23[[#This Row],[Revenue]])</f>
        <v>8.7313949463482199E-2</v>
      </c>
      <c r="N525" t="s">
        <v>33</v>
      </c>
    </row>
    <row r="526" spans="1:14" x14ac:dyDescent="0.25">
      <c r="A526" s="11" t="s">
        <v>960</v>
      </c>
      <c r="B526" s="6">
        <v>45427</v>
      </c>
      <c r="C526" s="11" t="s">
        <v>961</v>
      </c>
      <c r="D526" s="11" t="s">
        <v>31</v>
      </c>
      <c r="E526" s="11" t="s">
        <v>835</v>
      </c>
      <c r="F526" s="11" t="s">
        <v>833</v>
      </c>
      <c r="G526" s="7">
        <v>1</v>
      </c>
      <c r="H526" s="8">
        <v>146.01</v>
      </c>
      <c r="I526" s="13">
        <v>0</v>
      </c>
      <c r="J526" s="8">
        <f>(Table23[[#This Row],[Quantity]]*Table23[[#This Row],[Unit Price]])-(Table23[[#This Row],[Unit Price]]*Table23[[#This Row],[Dscount]])*Table23[[#This Row],[Quantity]]</f>
        <v>146.01</v>
      </c>
      <c r="K526" s="8">
        <v>125.86999999999999</v>
      </c>
      <c r="L526" s="8">
        <f>Table23[[#This Row],[Revenue]]-Table23[[#This Row],[Total Cost]]</f>
        <v>20.14</v>
      </c>
      <c r="M526" s="16">
        <f>(Table23[[#This Row],[Profit]]/Table23[[#This Row],[Revenue]])</f>
        <v>0.13793575782480652</v>
      </c>
      <c r="N526" t="s">
        <v>33</v>
      </c>
    </row>
    <row r="527" spans="1:14" x14ac:dyDescent="0.25">
      <c r="A527" s="11" t="s">
        <v>574</v>
      </c>
      <c r="B527" s="6">
        <v>45620</v>
      </c>
      <c r="C527" s="11" t="s">
        <v>575</v>
      </c>
      <c r="D527" s="11" t="s">
        <v>24</v>
      </c>
      <c r="E527" s="11" t="s">
        <v>546</v>
      </c>
      <c r="F527" s="11" t="s">
        <v>480</v>
      </c>
      <c r="G527" s="7">
        <v>1</v>
      </c>
      <c r="H527" s="8">
        <v>55.97</v>
      </c>
      <c r="I527" s="13">
        <v>0.15</v>
      </c>
      <c r="J527" s="8">
        <f>(Table23[[#This Row],[Quantity]]*Table23[[#This Row],[Unit Price]])-(Table23[[#This Row],[Unit Price]]*Table23[[#This Row],[Dscount]])*Table23[[#This Row],[Quantity]]</f>
        <v>47.5745</v>
      </c>
      <c r="K527" s="8">
        <v>27.444500000000001</v>
      </c>
      <c r="L527" s="8">
        <f>Table23[[#This Row],[Revenue]]-Table23[[#This Row],[Total Cost]]</f>
        <v>20.13</v>
      </c>
      <c r="M527" s="16">
        <f>(Table23[[#This Row],[Profit]]/Table23[[#This Row],[Revenue]])</f>
        <v>0.42312583421791083</v>
      </c>
      <c r="N527" t="s">
        <v>33</v>
      </c>
    </row>
    <row r="528" spans="1:14" x14ac:dyDescent="0.25">
      <c r="A528" s="11" t="s">
        <v>221</v>
      </c>
      <c r="B528" s="6">
        <v>45746</v>
      </c>
      <c r="C528" s="11" t="s">
        <v>222</v>
      </c>
      <c r="D528" s="11" t="s">
        <v>20</v>
      </c>
      <c r="E528" s="11" t="s">
        <v>68</v>
      </c>
      <c r="F528" s="11" t="s">
        <v>16</v>
      </c>
      <c r="G528" s="7">
        <v>2</v>
      </c>
      <c r="H528" s="8">
        <v>25.7</v>
      </c>
      <c r="I528" s="13">
        <v>0.05</v>
      </c>
      <c r="J528" s="8">
        <f>(Table23[[#This Row],[Quantity]]*Table23[[#This Row],[Unit Price]])-(Table23[[#This Row],[Unit Price]]*Table23[[#This Row],[Dscount]])*Table23[[#This Row],[Quantity]]</f>
        <v>48.83</v>
      </c>
      <c r="K528" s="8">
        <v>28.709999999999997</v>
      </c>
      <c r="L528" s="8">
        <f>Table23[[#This Row],[Revenue]]-Table23[[#This Row],[Total Cost]]</f>
        <v>20.12</v>
      </c>
      <c r="M528" s="16">
        <f>(Table23[[#This Row],[Profit]]/Table23[[#This Row],[Revenue]])</f>
        <v>0.41204177759574034</v>
      </c>
      <c r="N528" t="s">
        <v>48</v>
      </c>
    </row>
    <row r="529" spans="1:14" x14ac:dyDescent="0.25">
      <c r="A529" s="11" t="s">
        <v>219</v>
      </c>
      <c r="B529" s="6">
        <v>45972</v>
      </c>
      <c r="C529" s="11" t="s">
        <v>220</v>
      </c>
      <c r="D529" s="11" t="s">
        <v>31</v>
      </c>
      <c r="E529" s="11" t="s">
        <v>21</v>
      </c>
      <c r="F529" s="11" t="s">
        <v>16</v>
      </c>
      <c r="G529" s="7">
        <v>1</v>
      </c>
      <c r="H529" s="8">
        <v>38.93</v>
      </c>
      <c r="I529" s="13">
        <v>0.15</v>
      </c>
      <c r="J529" s="8">
        <f>(Table23[[#This Row],[Quantity]]*Table23[[#This Row],[Unit Price]])-(Table23[[#This Row],[Unit Price]]*Table23[[#This Row],[Dscount]])*Table23[[#This Row],[Quantity]]</f>
        <v>33.090499999999999</v>
      </c>
      <c r="K529" s="8">
        <v>12.980499999999999</v>
      </c>
      <c r="L529" s="8">
        <f>Table23[[#This Row],[Revenue]]-Table23[[#This Row],[Total Cost]]</f>
        <v>20.11</v>
      </c>
      <c r="M529" s="16">
        <f>(Table23[[#This Row],[Profit]]/Table23[[#This Row],[Revenue]])</f>
        <v>0.6077272933319231</v>
      </c>
      <c r="N529" t="s">
        <v>33</v>
      </c>
    </row>
    <row r="530" spans="1:14" x14ac:dyDescent="0.25">
      <c r="A530" s="11" t="s">
        <v>1283</v>
      </c>
      <c r="B530" s="6">
        <v>45444</v>
      </c>
      <c r="C530" s="11" t="s">
        <v>1284</v>
      </c>
      <c r="D530" s="11" t="s">
        <v>20</v>
      </c>
      <c r="E530" s="11" t="s">
        <v>1124</v>
      </c>
      <c r="F530" s="11" t="s">
        <v>1112</v>
      </c>
      <c r="G530" s="7">
        <v>1</v>
      </c>
      <c r="H530" s="8">
        <v>65.95</v>
      </c>
      <c r="I530" s="13">
        <v>0.1</v>
      </c>
      <c r="J530" s="8">
        <f>(Table23[[#This Row],[Quantity]]*Table23[[#This Row],[Unit Price]])-(Table23[[#This Row],[Unit Price]]*Table23[[#This Row],[Dscount]])*Table23[[#This Row],[Quantity]]</f>
        <v>59.355000000000004</v>
      </c>
      <c r="K530" s="8">
        <v>39.245000000000005</v>
      </c>
      <c r="L530" s="8">
        <f>Table23[[#This Row],[Revenue]]-Table23[[#This Row],[Total Cost]]</f>
        <v>20.11</v>
      </c>
      <c r="M530" s="16">
        <f>(Table23[[#This Row],[Profit]]/Table23[[#This Row],[Revenue]])</f>
        <v>0.33880886193244036</v>
      </c>
      <c r="N530" t="s">
        <v>33</v>
      </c>
    </row>
    <row r="531" spans="1:14" x14ac:dyDescent="0.25">
      <c r="A531" s="11" t="s">
        <v>217</v>
      </c>
      <c r="B531" s="6">
        <v>45506</v>
      </c>
      <c r="C531" s="11" t="s">
        <v>218</v>
      </c>
      <c r="D531" s="11" t="s">
        <v>24</v>
      </c>
      <c r="E531" s="11" t="s">
        <v>25</v>
      </c>
      <c r="F531" s="11" t="s">
        <v>16</v>
      </c>
      <c r="G531" s="7">
        <v>3</v>
      </c>
      <c r="H531" s="8">
        <v>12.27</v>
      </c>
      <c r="I531" s="13">
        <v>0</v>
      </c>
      <c r="J531" s="8">
        <f>(Table23[[#This Row],[Quantity]]*Table23[[#This Row],[Unit Price]])-(Table23[[#This Row],[Unit Price]]*Table23[[#This Row],[Dscount]])*Table23[[#This Row],[Quantity]]</f>
        <v>36.81</v>
      </c>
      <c r="K531" s="8">
        <v>16.770000000000003</v>
      </c>
      <c r="L531" s="8">
        <f>Table23[[#This Row],[Revenue]]-Table23[[#This Row],[Total Cost]]</f>
        <v>20.04</v>
      </c>
      <c r="M531" s="16">
        <f>(Table23[[#This Row],[Profit]]/Table23[[#This Row],[Revenue]])</f>
        <v>0.54441727791361039</v>
      </c>
      <c r="N531" t="s">
        <v>33</v>
      </c>
    </row>
    <row r="532" spans="1:14" x14ac:dyDescent="0.25">
      <c r="A532" s="11" t="s">
        <v>1282</v>
      </c>
      <c r="B532" s="6">
        <v>45754</v>
      </c>
      <c r="C532" s="11" t="s">
        <v>1056</v>
      </c>
      <c r="D532" s="11" t="s">
        <v>20</v>
      </c>
      <c r="E532" s="11" t="s">
        <v>1155</v>
      </c>
      <c r="F532" s="11" t="s">
        <v>1112</v>
      </c>
      <c r="G532" s="7">
        <v>1</v>
      </c>
      <c r="H532" s="8">
        <v>76.88</v>
      </c>
      <c r="I532" s="13">
        <v>0.1</v>
      </c>
      <c r="J532" s="8">
        <f>(Table23[[#This Row],[Quantity]]*Table23[[#This Row],[Unit Price]])-(Table23[[#This Row],[Unit Price]]*Table23[[#This Row],[Dscount]])*Table23[[#This Row],[Quantity]]</f>
        <v>69.191999999999993</v>
      </c>
      <c r="K532" s="8">
        <v>49.171999999999997</v>
      </c>
      <c r="L532" s="8">
        <f>Table23[[#This Row],[Revenue]]-Table23[[#This Row],[Total Cost]]</f>
        <v>20.019999999999996</v>
      </c>
      <c r="M532" s="16">
        <f>(Table23[[#This Row],[Profit]]/Table23[[#This Row],[Revenue]])</f>
        <v>0.28933980807029713</v>
      </c>
      <c r="N532" t="s">
        <v>17</v>
      </c>
    </row>
    <row r="533" spans="1:14" x14ac:dyDescent="0.25">
      <c r="A533" s="11" t="s">
        <v>215</v>
      </c>
      <c r="B533" s="6">
        <v>46000</v>
      </c>
      <c r="C533" s="11" t="s">
        <v>216</v>
      </c>
      <c r="D533" s="11" t="s">
        <v>31</v>
      </c>
      <c r="E533" s="11" t="s">
        <v>32</v>
      </c>
      <c r="F533" s="11" t="s">
        <v>16</v>
      </c>
      <c r="G533" s="7">
        <v>1</v>
      </c>
      <c r="H533" s="8">
        <v>38.64</v>
      </c>
      <c r="I533" s="13">
        <v>0.1</v>
      </c>
      <c r="J533" s="8">
        <f>(Table23[[#This Row],[Quantity]]*Table23[[#This Row],[Unit Price]])-(Table23[[#This Row],[Unit Price]]*Table23[[#This Row],[Dscount]])*Table23[[#This Row],[Quantity]]</f>
        <v>34.776000000000003</v>
      </c>
      <c r="K533" s="8">
        <v>14.846000000000004</v>
      </c>
      <c r="L533" s="8">
        <f>Table23[[#This Row],[Revenue]]-Table23[[#This Row],[Total Cost]]</f>
        <v>19.93</v>
      </c>
      <c r="M533" s="16">
        <f>(Table23[[#This Row],[Profit]]/Table23[[#This Row],[Revenue]])</f>
        <v>0.57309638831377951</v>
      </c>
      <c r="N533" t="s">
        <v>48</v>
      </c>
    </row>
    <row r="534" spans="1:14" x14ac:dyDescent="0.25">
      <c r="A534" s="11" t="s">
        <v>1281</v>
      </c>
      <c r="B534" s="6">
        <v>46005</v>
      </c>
      <c r="C534" s="11" t="s">
        <v>416</v>
      </c>
      <c r="D534" s="11" t="s">
        <v>31</v>
      </c>
      <c r="E534" s="11" t="s">
        <v>1114</v>
      </c>
      <c r="F534" s="11" t="s">
        <v>1112</v>
      </c>
      <c r="G534" s="7">
        <v>1</v>
      </c>
      <c r="H534" s="8">
        <v>51.75</v>
      </c>
      <c r="I534" s="13">
        <v>0</v>
      </c>
      <c r="J534" s="8">
        <f>(Table23[[#This Row],[Quantity]]*Table23[[#This Row],[Unit Price]])-(Table23[[#This Row],[Unit Price]]*Table23[[#This Row],[Dscount]])*Table23[[#This Row],[Quantity]]</f>
        <v>51.75</v>
      </c>
      <c r="K534" s="8">
        <v>31.82</v>
      </c>
      <c r="L534" s="8">
        <f>Table23[[#This Row],[Revenue]]-Table23[[#This Row],[Total Cost]]</f>
        <v>19.93</v>
      </c>
      <c r="M534" s="16">
        <f>(Table23[[#This Row],[Profit]]/Table23[[#This Row],[Revenue]])</f>
        <v>0.38512077294685992</v>
      </c>
      <c r="N534" t="s">
        <v>33</v>
      </c>
    </row>
    <row r="535" spans="1:14" x14ac:dyDescent="0.25">
      <c r="A535" s="11" t="s">
        <v>213</v>
      </c>
      <c r="B535" s="6">
        <v>45664</v>
      </c>
      <c r="C535" s="11" t="s">
        <v>214</v>
      </c>
      <c r="D535" s="11" t="s">
        <v>31</v>
      </c>
      <c r="E535" s="11" t="s">
        <v>68</v>
      </c>
      <c r="F535" s="11" t="s">
        <v>16</v>
      </c>
      <c r="G535" s="7">
        <v>1</v>
      </c>
      <c r="H535" s="8">
        <v>46.94</v>
      </c>
      <c r="I535" s="13">
        <v>0.25</v>
      </c>
      <c r="J535" s="8">
        <f>(Table23[[#This Row],[Quantity]]*Table23[[#This Row],[Unit Price]])-(Table23[[#This Row],[Unit Price]]*Table23[[#This Row],[Dscount]])*Table23[[#This Row],[Quantity]]</f>
        <v>35.204999999999998</v>
      </c>
      <c r="K535" s="8">
        <v>15.294999999999998</v>
      </c>
      <c r="L535" s="8">
        <f>Table23[[#This Row],[Revenue]]-Table23[[#This Row],[Total Cost]]</f>
        <v>19.91</v>
      </c>
      <c r="M535" s="16">
        <f>(Table23[[#This Row],[Profit]]/Table23[[#This Row],[Revenue]])</f>
        <v>0.56554466695071726</v>
      </c>
      <c r="N535" t="s">
        <v>17</v>
      </c>
    </row>
    <row r="536" spans="1:14" x14ac:dyDescent="0.25">
      <c r="A536" s="11" t="s">
        <v>211</v>
      </c>
      <c r="B536" s="6">
        <v>45965</v>
      </c>
      <c r="C536" s="11" t="s">
        <v>212</v>
      </c>
      <c r="D536" s="11" t="s">
        <v>20</v>
      </c>
      <c r="E536" s="11" t="s">
        <v>15</v>
      </c>
      <c r="F536" s="11" t="s">
        <v>16</v>
      </c>
      <c r="G536" s="7">
        <v>1</v>
      </c>
      <c r="H536" s="8">
        <v>41.2</v>
      </c>
      <c r="I536" s="13">
        <v>0.15</v>
      </c>
      <c r="J536" s="8">
        <f>(Table23[[#This Row],[Quantity]]*Table23[[#This Row],[Unit Price]])-(Table23[[#This Row],[Unit Price]]*Table23[[#This Row],[Dscount]])*Table23[[#This Row],[Quantity]]</f>
        <v>35.020000000000003</v>
      </c>
      <c r="K536" s="8">
        <v>15.170000000000002</v>
      </c>
      <c r="L536" s="8">
        <f>Table23[[#This Row],[Revenue]]-Table23[[#This Row],[Total Cost]]</f>
        <v>19.850000000000001</v>
      </c>
      <c r="M536" s="16">
        <f>(Table23[[#This Row],[Profit]]/Table23[[#This Row],[Revenue]])</f>
        <v>0.56681896059394632</v>
      </c>
      <c r="N536" t="s">
        <v>33</v>
      </c>
    </row>
    <row r="537" spans="1:14" x14ac:dyDescent="0.25">
      <c r="A537" s="11" t="s">
        <v>959</v>
      </c>
      <c r="B537" s="6">
        <v>45820</v>
      </c>
      <c r="C537" s="11" t="s">
        <v>757</v>
      </c>
      <c r="D537" s="11" t="s">
        <v>20</v>
      </c>
      <c r="E537" s="11" t="s">
        <v>835</v>
      </c>
      <c r="F537" s="11" t="s">
        <v>833</v>
      </c>
      <c r="G537" s="7">
        <v>2</v>
      </c>
      <c r="H537" s="8">
        <v>139.47</v>
      </c>
      <c r="I537" s="13">
        <v>0.15</v>
      </c>
      <c r="J537" s="8">
        <f>(Table23[[#This Row],[Quantity]]*Table23[[#This Row],[Unit Price]])-(Table23[[#This Row],[Unit Price]]*Table23[[#This Row],[Dscount]])*Table23[[#This Row],[Quantity]]</f>
        <v>237.09899999999999</v>
      </c>
      <c r="K537" s="8">
        <v>217.32899999999998</v>
      </c>
      <c r="L537" s="8">
        <f>Table23[[#This Row],[Revenue]]-Table23[[#This Row],[Total Cost]]</f>
        <v>19.77000000000001</v>
      </c>
      <c r="M537" s="16">
        <f>(Table23[[#This Row],[Profit]]/Table23[[#This Row],[Revenue]])</f>
        <v>8.3382890691230296E-2</v>
      </c>
      <c r="N537" t="s">
        <v>33</v>
      </c>
    </row>
    <row r="538" spans="1:14" x14ac:dyDescent="0.25">
      <c r="A538" s="11" t="s">
        <v>209</v>
      </c>
      <c r="B538" s="6">
        <v>45470</v>
      </c>
      <c r="C538" s="11" t="s">
        <v>210</v>
      </c>
      <c r="D538" s="11" t="s">
        <v>36</v>
      </c>
      <c r="E538" s="11" t="s">
        <v>25</v>
      </c>
      <c r="F538" s="11" t="s">
        <v>16</v>
      </c>
      <c r="G538" s="7">
        <v>2</v>
      </c>
      <c r="H538" s="8">
        <v>23.05</v>
      </c>
      <c r="I538" s="13">
        <v>0</v>
      </c>
      <c r="J538" s="8">
        <f>(Table23[[#This Row],[Quantity]]*Table23[[#This Row],[Unit Price]])-(Table23[[#This Row],[Unit Price]]*Table23[[#This Row],[Dscount]])*Table23[[#This Row],[Quantity]]</f>
        <v>46.1</v>
      </c>
      <c r="K538" s="8">
        <v>26.43</v>
      </c>
      <c r="L538" s="8">
        <f>Table23[[#This Row],[Revenue]]-Table23[[#This Row],[Total Cost]]</f>
        <v>19.670000000000002</v>
      </c>
      <c r="M538" s="16">
        <f>(Table23[[#This Row],[Profit]]/Table23[[#This Row],[Revenue]])</f>
        <v>0.42668112798264646</v>
      </c>
      <c r="N538" t="s">
        <v>48</v>
      </c>
    </row>
    <row r="539" spans="1:14" x14ac:dyDescent="0.25">
      <c r="A539" s="11" t="s">
        <v>1278</v>
      </c>
      <c r="B539" s="6">
        <v>45855</v>
      </c>
      <c r="C539" s="11" t="s">
        <v>1279</v>
      </c>
      <c r="D539" s="11" t="s">
        <v>36</v>
      </c>
      <c r="E539" s="11" t="s">
        <v>1120</v>
      </c>
      <c r="F539" s="11" t="s">
        <v>1112</v>
      </c>
      <c r="G539" s="7">
        <v>1</v>
      </c>
      <c r="H539" s="8">
        <v>56.6</v>
      </c>
      <c r="I539" s="13">
        <v>0.1</v>
      </c>
      <c r="J539" s="8">
        <f>(Table23[[#This Row],[Quantity]]*Table23[[#This Row],[Unit Price]])-(Table23[[#This Row],[Unit Price]]*Table23[[#This Row],[Dscount]])*Table23[[#This Row],[Quantity]]</f>
        <v>50.94</v>
      </c>
      <c r="K539" s="8">
        <v>31.31</v>
      </c>
      <c r="L539" s="8">
        <f>Table23[[#This Row],[Revenue]]-Table23[[#This Row],[Total Cost]]</f>
        <v>19.63</v>
      </c>
      <c r="M539" s="16">
        <f>(Table23[[#This Row],[Profit]]/Table23[[#This Row],[Revenue]])</f>
        <v>0.38535531998429523</v>
      </c>
      <c r="N539" t="s">
        <v>33</v>
      </c>
    </row>
    <row r="540" spans="1:14" x14ac:dyDescent="0.25">
      <c r="A540" s="11" t="s">
        <v>1280</v>
      </c>
      <c r="B540" s="6">
        <v>45400</v>
      </c>
      <c r="C540" s="11" t="s">
        <v>366</v>
      </c>
      <c r="D540" s="11" t="s">
        <v>36</v>
      </c>
      <c r="E540" s="11" t="s">
        <v>1111</v>
      </c>
      <c r="F540" s="11" t="s">
        <v>1112</v>
      </c>
      <c r="G540" s="7">
        <v>3</v>
      </c>
      <c r="H540" s="8">
        <v>22.26</v>
      </c>
      <c r="I540" s="13">
        <v>0.05</v>
      </c>
      <c r="J540" s="8">
        <f>(Table23[[#This Row],[Quantity]]*Table23[[#This Row],[Unit Price]])-(Table23[[#This Row],[Unit Price]]*Table23[[#This Row],[Dscount]])*Table23[[#This Row],[Quantity]]</f>
        <v>63.441000000000003</v>
      </c>
      <c r="K540" s="8">
        <v>43.811000000000007</v>
      </c>
      <c r="L540" s="8">
        <f>Table23[[#This Row],[Revenue]]-Table23[[#This Row],[Total Cost]]</f>
        <v>19.629999999999995</v>
      </c>
      <c r="M540" s="16">
        <f>(Table23[[#This Row],[Profit]]/Table23[[#This Row],[Revenue]])</f>
        <v>0.30942135212244437</v>
      </c>
      <c r="N540" t="s">
        <v>17</v>
      </c>
    </row>
    <row r="541" spans="1:14" x14ac:dyDescent="0.25">
      <c r="A541" s="11" t="s">
        <v>1277</v>
      </c>
      <c r="B541" s="6">
        <v>45476</v>
      </c>
      <c r="C541" s="11" t="s">
        <v>460</v>
      </c>
      <c r="D541" s="11" t="s">
        <v>20</v>
      </c>
      <c r="E541" s="11" t="s">
        <v>1128</v>
      </c>
      <c r="F541" s="11" t="s">
        <v>1112</v>
      </c>
      <c r="G541" s="7">
        <v>5</v>
      </c>
      <c r="H541" s="8">
        <v>16.48</v>
      </c>
      <c r="I541" s="13">
        <v>0.05</v>
      </c>
      <c r="J541" s="8">
        <f>(Table23[[#This Row],[Quantity]]*Table23[[#This Row],[Unit Price]])-(Table23[[#This Row],[Unit Price]]*Table23[[#This Row],[Dscount]])*Table23[[#This Row],[Quantity]]</f>
        <v>78.28</v>
      </c>
      <c r="K541" s="8">
        <v>58.67</v>
      </c>
      <c r="L541" s="8">
        <f>Table23[[#This Row],[Revenue]]-Table23[[#This Row],[Total Cost]]</f>
        <v>19.61</v>
      </c>
      <c r="M541" s="16">
        <f>(Table23[[#This Row],[Profit]]/Table23[[#This Row],[Revenue]])</f>
        <v>0.25051098620337248</v>
      </c>
      <c r="N541" t="s">
        <v>17</v>
      </c>
    </row>
    <row r="542" spans="1:14" x14ac:dyDescent="0.25">
      <c r="A542" s="11" t="s">
        <v>207</v>
      </c>
      <c r="B542" s="6">
        <v>45916</v>
      </c>
      <c r="C542" s="11" t="s">
        <v>208</v>
      </c>
      <c r="D542" s="11" t="s">
        <v>24</v>
      </c>
      <c r="E542" s="11" t="s">
        <v>21</v>
      </c>
      <c r="F542" s="11" t="s">
        <v>16</v>
      </c>
      <c r="G542" s="7">
        <v>1</v>
      </c>
      <c r="H542" s="8">
        <v>43.54</v>
      </c>
      <c r="I542" s="13">
        <v>0</v>
      </c>
      <c r="J542" s="8">
        <f>(Table23[[#This Row],[Quantity]]*Table23[[#This Row],[Unit Price]])-(Table23[[#This Row],[Unit Price]]*Table23[[#This Row],[Dscount]])*Table23[[#This Row],[Quantity]]</f>
        <v>43.54</v>
      </c>
      <c r="K542" s="8">
        <v>24.02</v>
      </c>
      <c r="L542" s="8">
        <f>Table23[[#This Row],[Revenue]]-Table23[[#This Row],[Total Cost]]</f>
        <v>19.52</v>
      </c>
      <c r="M542" s="16">
        <f>(Table23[[#This Row],[Profit]]/Table23[[#This Row],[Revenue]])</f>
        <v>0.44832338079926504</v>
      </c>
      <c r="N542" t="s">
        <v>33</v>
      </c>
    </row>
    <row r="543" spans="1:14" x14ac:dyDescent="0.25">
      <c r="A543" s="11" t="s">
        <v>205</v>
      </c>
      <c r="B543" s="6">
        <v>45727</v>
      </c>
      <c r="C543" s="11" t="s">
        <v>206</v>
      </c>
      <c r="D543" s="11" t="s">
        <v>36</v>
      </c>
      <c r="E543" s="11" t="s">
        <v>68</v>
      </c>
      <c r="F543" s="11" t="s">
        <v>16</v>
      </c>
      <c r="G543" s="7">
        <v>1</v>
      </c>
      <c r="H543" s="8">
        <v>30.64</v>
      </c>
      <c r="I543" s="13">
        <v>0</v>
      </c>
      <c r="J543" s="8">
        <f>(Table23[[#This Row],[Quantity]]*Table23[[#This Row],[Unit Price]])-(Table23[[#This Row],[Unit Price]]*Table23[[#This Row],[Dscount]])*Table23[[#This Row],[Quantity]]</f>
        <v>30.64</v>
      </c>
      <c r="K543" s="8">
        <v>11.16</v>
      </c>
      <c r="L543" s="8">
        <f>Table23[[#This Row],[Revenue]]-Table23[[#This Row],[Total Cost]]</f>
        <v>19.48</v>
      </c>
      <c r="M543" s="16">
        <f>(Table23[[#This Row],[Profit]]/Table23[[#This Row],[Revenue]])</f>
        <v>0.63577023498694518</v>
      </c>
      <c r="N543" t="s">
        <v>17</v>
      </c>
    </row>
    <row r="544" spans="1:14" x14ac:dyDescent="0.25">
      <c r="A544" s="11" t="s">
        <v>572</v>
      </c>
      <c r="B544" s="6">
        <v>45632</v>
      </c>
      <c r="C544" s="11" t="s">
        <v>573</v>
      </c>
      <c r="D544" s="11" t="s">
        <v>36</v>
      </c>
      <c r="E544" s="11" t="s">
        <v>546</v>
      </c>
      <c r="F544" s="11" t="s">
        <v>480</v>
      </c>
      <c r="G544" s="7">
        <v>1</v>
      </c>
      <c r="H544" s="8">
        <v>59.95</v>
      </c>
      <c r="I544" s="13">
        <v>0</v>
      </c>
      <c r="J544" s="8">
        <f>(Table23[[#This Row],[Quantity]]*Table23[[#This Row],[Unit Price]])-(Table23[[#This Row],[Unit Price]]*Table23[[#This Row],[Dscount]])*Table23[[#This Row],[Quantity]]</f>
        <v>59.95</v>
      </c>
      <c r="K544" s="8">
        <v>40.540000000000006</v>
      </c>
      <c r="L544" s="8">
        <f>Table23[[#This Row],[Revenue]]-Table23[[#This Row],[Total Cost]]</f>
        <v>19.409999999999997</v>
      </c>
      <c r="M544" s="16">
        <f>(Table23[[#This Row],[Profit]]/Table23[[#This Row],[Revenue]])</f>
        <v>0.32376980817347784</v>
      </c>
      <c r="N544" t="s">
        <v>33</v>
      </c>
    </row>
    <row r="545" spans="1:14" x14ac:dyDescent="0.25">
      <c r="A545" s="11" t="s">
        <v>203</v>
      </c>
      <c r="B545" s="6">
        <v>45865</v>
      </c>
      <c r="C545" s="11" t="s">
        <v>204</v>
      </c>
      <c r="D545" s="11" t="s">
        <v>14</v>
      </c>
      <c r="E545" s="11" t="s">
        <v>47</v>
      </c>
      <c r="F545" s="11" t="s">
        <v>16</v>
      </c>
      <c r="G545" s="7">
        <v>1</v>
      </c>
      <c r="H545" s="8">
        <v>33.229999999999997</v>
      </c>
      <c r="I545" s="13">
        <v>0</v>
      </c>
      <c r="J545" s="8">
        <f>(Table23[[#This Row],[Quantity]]*Table23[[#This Row],[Unit Price]])-(Table23[[#This Row],[Unit Price]]*Table23[[#This Row],[Dscount]])*Table23[[#This Row],[Quantity]]</f>
        <v>33.229999999999997</v>
      </c>
      <c r="K545" s="8">
        <v>13.829999999999998</v>
      </c>
      <c r="L545" s="8">
        <f>Table23[[#This Row],[Revenue]]-Table23[[#This Row],[Total Cost]]</f>
        <v>19.399999999999999</v>
      </c>
      <c r="M545" s="16">
        <f>(Table23[[#This Row],[Profit]]/Table23[[#This Row],[Revenue]])</f>
        <v>0.58380981041227809</v>
      </c>
      <c r="N545" t="s">
        <v>33</v>
      </c>
    </row>
    <row r="546" spans="1:14" x14ac:dyDescent="0.25">
      <c r="A546" s="11" t="s">
        <v>570</v>
      </c>
      <c r="B546" s="6">
        <v>45993</v>
      </c>
      <c r="C546" s="11" t="s">
        <v>571</v>
      </c>
      <c r="D546" s="11" t="s">
        <v>14</v>
      </c>
      <c r="E546" s="11" t="s">
        <v>546</v>
      </c>
      <c r="F546" s="11" t="s">
        <v>480</v>
      </c>
      <c r="G546" s="7">
        <v>2</v>
      </c>
      <c r="H546" s="8">
        <v>19.690000000000001</v>
      </c>
      <c r="I546" s="13">
        <v>0.05</v>
      </c>
      <c r="J546" s="8">
        <f>(Table23[[#This Row],[Quantity]]*Table23[[#This Row],[Unit Price]])-(Table23[[#This Row],[Unit Price]]*Table23[[#This Row],[Dscount]])*Table23[[#This Row],[Quantity]]</f>
        <v>37.411000000000001</v>
      </c>
      <c r="K546" s="8">
        <v>18.011000000000003</v>
      </c>
      <c r="L546" s="8">
        <f>Table23[[#This Row],[Revenue]]-Table23[[#This Row],[Total Cost]]</f>
        <v>19.399999999999999</v>
      </c>
      <c r="M546" s="16">
        <f>(Table23[[#This Row],[Profit]]/Table23[[#This Row],[Revenue]])</f>
        <v>0.51856405869931299</v>
      </c>
      <c r="N546" t="s">
        <v>33</v>
      </c>
    </row>
    <row r="547" spans="1:14" x14ac:dyDescent="0.25">
      <c r="A547" s="11" t="s">
        <v>1653</v>
      </c>
      <c r="B547" s="6">
        <v>45379</v>
      </c>
      <c r="C547" s="11" t="s">
        <v>1654</v>
      </c>
      <c r="D547" s="11" t="s">
        <v>31</v>
      </c>
      <c r="E547" s="11" t="s">
        <v>1478</v>
      </c>
      <c r="F547" s="11" t="s">
        <v>1417</v>
      </c>
      <c r="G547" s="7">
        <v>2</v>
      </c>
      <c r="H547" s="8">
        <v>49.98</v>
      </c>
      <c r="I547" s="13">
        <v>0.1</v>
      </c>
      <c r="J547" s="8">
        <f>(Table23[[#This Row],[Quantity]]*Table23[[#This Row],[Unit Price]])-(Table23[[#This Row],[Unit Price]]*Table23[[#This Row],[Dscount]])*Table23[[#This Row],[Quantity]]</f>
        <v>89.963999999999999</v>
      </c>
      <c r="K547" s="8">
        <v>70.603999999999999</v>
      </c>
      <c r="L547" s="8">
        <f>Table23[[#This Row],[Revenue]]-Table23[[#This Row],[Total Cost]]</f>
        <v>19.36</v>
      </c>
      <c r="M547" s="16">
        <f>(Table23[[#This Row],[Profit]]/Table23[[#This Row],[Revenue]])</f>
        <v>0.21519718998710596</v>
      </c>
      <c r="N547" t="s">
        <v>17</v>
      </c>
    </row>
    <row r="548" spans="1:14" x14ac:dyDescent="0.25">
      <c r="A548" s="11" t="s">
        <v>1275</v>
      </c>
      <c r="B548" s="6">
        <v>45313</v>
      </c>
      <c r="C548" s="11" t="s">
        <v>1276</v>
      </c>
      <c r="D548" s="11" t="s">
        <v>20</v>
      </c>
      <c r="E548" s="11" t="s">
        <v>1132</v>
      </c>
      <c r="F548" s="11" t="s">
        <v>1112</v>
      </c>
      <c r="G548" s="7">
        <v>2</v>
      </c>
      <c r="H548" s="8">
        <v>28.99</v>
      </c>
      <c r="I548" s="13">
        <v>0.05</v>
      </c>
      <c r="J548" s="8">
        <f>(Table23[[#This Row],[Quantity]]*Table23[[#This Row],[Unit Price]])-(Table23[[#This Row],[Unit Price]]*Table23[[#This Row],[Dscount]])*Table23[[#This Row],[Quantity]]</f>
        <v>55.080999999999996</v>
      </c>
      <c r="K548" s="8">
        <v>35.760999999999996</v>
      </c>
      <c r="L548" s="8">
        <f>Table23[[#This Row],[Revenue]]-Table23[[#This Row],[Total Cost]]</f>
        <v>19.32</v>
      </c>
      <c r="M548" s="16">
        <f>(Table23[[#This Row],[Profit]]/Table23[[#This Row],[Revenue]])</f>
        <v>0.35075615911112729</v>
      </c>
      <c r="N548" t="s">
        <v>33</v>
      </c>
    </row>
    <row r="549" spans="1:14" x14ac:dyDescent="0.25">
      <c r="A549" s="11" t="s">
        <v>201</v>
      </c>
      <c r="B549" s="6">
        <v>45880</v>
      </c>
      <c r="C549" s="11" t="s">
        <v>202</v>
      </c>
      <c r="D549" s="11" t="s">
        <v>36</v>
      </c>
      <c r="E549" s="11" t="s">
        <v>32</v>
      </c>
      <c r="F549" s="11" t="s">
        <v>16</v>
      </c>
      <c r="G549" s="7">
        <v>1</v>
      </c>
      <c r="H549" s="8">
        <v>46.85</v>
      </c>
      <c r="I549" s="13">
        <v>0</v>
      </c>
      <c r="J549" s="8">
        <f>(Table23[[#This Row],[Quantity]]*Table23[[#This Row],[Unit Price]])-(Table23[[#This Row],[Unit Price]]*Table23[[#This Row],[Dscount]])*Table23[[#This Row],[Quantity]]</f>
        <v>46.85</v>
      </c>
      <c r="K549" s="8">
        <v>27.540000000000003</v>
      </c>
      <c r="L549" s="8">
        <f>Table23[[#This Row],[Revenue]]-Table23[[#This Row],[Total Cost]]</f>
        <v>19.309999999999999</v>
      </c>
      <c r="M549" s="16">
        <f>(Table23[[#This Row],[Profit]]/Table23[[#This Row],[Revenue]])</f>
        <v>0.41216648879402346</v>
      </c>
      <c r="N549" t="s">
        <v>48</v>
      </c>
    </row>
    <row r="550" spans="1:14" x14ac:dyDescent="0.25">
      <c r="A550" s="11" t="s">
        <v>568</v>
      </c>
      <c r="B550" s="6">
        <v>45595</v>
      </c>
      <c r="C550" s="11" t="s">
        <v>569</v>
      </c>
      <c r="D550" s="11" t="s">
        <v>20</v>
      </c>
      <c r="E550" s="11" t="s">
        <v>483</v>
      </c>
      <c r="F550" s="11" t="s">
        <v>480</v>
      </c>
      <c r="G550" s="7">
        <v>1</v>
      </c>
      <c r="H550" s="8">
        <v>42.57</v>
      </c>
      <c r="I550" s="13">
        <v>0.1</v>
      </c>
      <c r="J550" s="8">
        <f>(Table23[[#This Row],[Quantity]]*Table23[[#This Row],[Unit Price]])-(Table23[[#This Row],[Unit Price]]*Table23[[#This Row],[Dscount]])*Table23[[#This Row],[Quantity]]</f>
        <v>38.313000000000002</v>
      </c>
      <c r="K550" s="8">
        <v>19.003000000000004</v>
      </c>
      <c r="L550" s="8">
        <f>Table23[[#This Row],[Revenue]]-Table23[[#This Row],[Total Cost]]</f>
        <v>19.309999999999999</v>
      </c>
      <c r="M550" s="16">
        <f>(Table23[[#This Row],[Profit]]/Table23[[#This Row],[Revenue]])</f>
        <v>0.50400647299872103</v>
      </c>
      <c r="N550" t="s">
        <v>33</v>
      </c>
    </row>
    <row r="551" spans="1:14" x14ac:dyDescent="0.25">
      <c r="A551" s="11" t="s">
        <v>1274</v>
      </c>
      <c r="B551" s="6">
        <v>45619</v>
      </c>
      <c r="C551" s="11" t="s">
        <v>794</v>
      </c>
      <c r="D551" s="11" t="s">
        <v>36</v>
      </c>
      <c r="E551" s="11" t="s">
        <v>1184</v>
      </c>
      <c r="F551" s="11" t="s">
        <v>1112</v>
      </c>
      <c r="G551" s="7">
        <v>2</v>
      </c>
      <c r="H551" s="8">
        <v>48.89</v>
      </c>
      <c r="I551" s="13">
        <v>0.15</v>
      </c>
      <c r="J551" s="8">
        <f>(Table23[[#This Row],[Quantity]]*Table23[[#This Row],[Unit Price]])-(Table23[[#This Row],[Unit Price]]*Table23[[#This Row],[Dscount]])*Table23[[#This Row],[Quantity]]</f>
        <v>83.113</v>
      </c>
      <c r="K551" s="8">
        <v>63.813000000000002</v>
      </c>
      <c r="L551" s="8">
        <f>Table23[[#This Row],[Revenue]]-Table23[[#This Row],[Total Cost]]</f>
        <v>19.299999999999997</v>
      </c>
      <c r="M551" s="16">
        <f>(Table23[[#This Row],[Profit]]/Table23[[#This Row],[Revenue]])</f>
        <v>0.23221397374658595</v>
      </c>
      <c r="N551" t="s">
        <v>48</v>
      </c>
    </row>
    <row r="552" spans="1:14" x14ac:dyDescent="0.25">
      <c r="A552" s="11" t="s">
        <v>199</v>
      </c>
      <c r="B552" s="6">
        <v>45369</v>
      </c>
      <c r="C552" s="11" t="s">
        <v>200</v>
      </c>
      <c r="D552" s="11" t="s">
        <v>20</v>
      </c>
      <c r="E552" s="11" t="s">
        <v>53</v>
      </c>
      <c r="F552" s="11" t="s">
        <v>16</v>
      </c>
      <c r="G552" s="7">
        <v>1</v>
      </c>
      <c r="H552" s="8">
        <v>41.62</v>
      </c>
      <c r="I552" s="13">
        <v>0.1</v>
      </c>
      <c r="J552" s="8">
        <f>(Table23[[#This Row],[Quantity]]*Table23[[#This Row],[Unit Price]])-(Table23[[#This Row],[Unit Price]]*Table23[[#This Row],[Dscount]])*Table23[[#This Row],[Quantity]]</f>
        <v>37.457999999999998</v>
      </c>
      <c r="K552" s="8">
        <v>18.177999999999997</v>
      </c>
      <c r="L552" s="8">
        <f>Table23[[#This Row],[Revenue]]-Table23[[#This Row],[Total Cost]]</f>
        <v>19.28</v>
      </c>
      <c r="M552" s="16">
        <f>(Table23[[#This Row],[Profit]]/Table23[[#This Row],[Revenue]])</f>
        <v>0.51470980831865032</v>
      </c>
      <c r="N552" t="s">
        <v>33</v>
      </c>
    </row>
    <row r="553" spans="1:14" x14ac:dyDescent="0.25">
      <c r="A553" s="11" t="s">
        <v>566</v>
      </c>
      <c r="B553" s="6">
        <v>45629</v>
      </c>
      <c r="C553" s="11" t="s">
        <v>567</v>
      </c>
      <c r="D553" s="11" t="s">
        <v>31</v>
      </c>
      <c r="E553" s="11" t="s">
        <v>514</v>
      </c>
      <c r="F553" s="11" t="s">
        <v>480</v>
      </c>
      <c r="G553" s="7">
        <v>2</v>
      </c>
      <c r="H553" s="8">
        <v>20.9</v>
      </c>
      <c r="I553" s="13">
        <v>0.05</v>
      </c>
      <c r="J553" s="8">
        <f>(Table23[[#This Row],[Quantity]]*Table23[[#This Row],[Unit Price]])-(Table23[[#This Row],[Unit Price]]*Table23[[#This Row],[Dscount]])*Table23[[#This Row],[Quantity]]</f>
        <v>39.709999999999994</v>
      </c>
      <c r="K553" s="8">
        <v>20.479999999999993</v>
      </c>
      <c r="L553" s="8">
        <f>Table23[[#This Row],[Revenue]]-Table23[[#This Row],[Total Cost]]</f>
        <v>19.23</v>
      </c>
      <c r="M553" s="16">
        <f>(Table23[[#This Row],[Profit]]/Table23[[#This Row],[Revenue]])</f>
        <v>0.48426089146310763</v>
      </c>
      <c r="N553" t="s">
        <v>17</v>
      </c>
    </row>
    <row r="554" spans="1:14" x14ac:dyDescent="0.25">
      <c r="A554" s="11" t="s">
        <v>1651</v>
      </c>
      <c r="B554" s="6">
        <v>45718</v>
      </c>
      <c r="C554" s="11" t="s">
        <v>1652</v>
      </c>
      <c r="D554" s="11" t="s">
        <v>20</v>
      </c>
      <c r="E554" s="11" t="s">
        <v>1429</v>
      </c>
      <c r="F554" s="11" t="s">
        <v>1417</v>
      </c>
      <c r="G554" s="7">
        <v>2</v>
      </c>
      <c r="H554" s="8">
        <v>36.630000000000003</v>
      </c>
      <c r="I554" s="13">
        <v>0.05</v>
      </c>
      <c r="J554" s="8">
        <f>(Table23[[#This Row],[Quantity]]*Table23[[#This Row],[Unit Price]])-(Table23[[#This Row],[Unit Price]]*Table23[[#This Row],[Dscount]])*Table23[[#This Row],[Quantity]]</f>
        <v>69.597000000000008</v>
      </c>
      <c r="K554" s="8">
        <v>50.437000000000012</v>
      </c>
      <c r="L554" s="8">
        <f>Table23[[#This Row],[Revenue]]-Table23[[#This Row],[Total Cost]]</f>
        <v>19.159999999999997</v>
      </c>
      <c r="M554" s="16">
        <f>(Table23[[#This Row],[Profit]]/Table23[[#This Row],[Revenue]])</f>
        <v>0.27529922266764362</v>
      </c>
      <c r="N554" t="s">
        <v>33</v>
      </c>
    </row>
    <row r="555" spans="1:14" x14ac:dyDescent="0.25">
      <c r="A555" s="11" t="s">
        <v>1272</v>
      </c>
      <c r="B555" s="6">
        <v>45518</v>
      </c>
      <c r="C555" s="11" t="s">
        <v>1273</v>
      </c>
      <c r="D555" s="11" t="s">
        <v>20</v>
      </c>
      <c r="E555" s="11" t="s">
        <v>1117</v>
      </c>
      <c r="F555" s="11" t="s">
        <v>1112</v>
      </c>
      <c r="G555" s="7">
        <v>1</v>
      </c>
      <c r="H555" s="8">
        <v>55.66</v>
      </c>
      <c r="I555" s="13">
        <v>0.1</v>
      </c>
      <c r="J555" s="8">
        <f>(Table23[[#This Row],[Quantity]]*Table23[[#This Row],[Unit Price]])-(Table23[[#This Row],[Unit Price]]*Table23[[#This Row],[Dscount]])*Table23[[#This Row],[Quantity]]</f>
        <v>50.093999999999994</v>
      </c>
      <c r="K555" s="8">
        <v>31.043999999999993</v>
      </c>
      <c r="L555" s="8">
        <f>Table23[[#This Row],[Revenue]]-Table23[[#This Row],[Total Cost]]</f>
        <v>19.05</v>
      </c>
      <c r="M555" s="16">
        <f>(Table23[[#This Row],[Profit]]/Table23[[#This Row],[Revenue]])</f>
        <v>0.38028506407953055</v>
      </c>
      <c r="N555" t="s">
        <v>17</v>
      </c>
    </row>
    <row r="556" spans="1:14" x14ac:dyDescent="0.25">
      <c r="A556" s="11" t="s">
        <v>1650</v>
      </c>
      <c r="B556" s="6">
        <v>45605</v>
      </c>
      <c r="C556" s="11" t="s">
        <v>1292</v>
      </c>
      <c r="D556" s="11" t="s">
        <v>36</v>
      </c>
      <c r="E556" s="11" t="s">
        <v>1436</v>
      </c>
      <c r="F556" s="11" t="s">
        <v>1417</v>
      </c>
      <c r="G556" s="7">
        <v>2</v>
      </c>
      <c r="H556" s="8">
        <v>37.79</v>
      </c>
      <c r="I556" s="13">
        <v>0.05</v>
      </c>
      <c r="J556" s="8">
        <f>(Table23[[#This Row],[Quantity]]*Table23[[#This Row],[Unit Price]])-(Table23[[#This Row],[Unit Price]]*Table23[[#This Row],[Dscount]])*Table23[[#This Row],[Quantity]]</f>
        <v>71.801000000000002</v>
      </c>
      <c r="K556" s="8">
        <v>52.841000000000001</v>
      </c>
      <c r="L556" s="8">
        <f>Table23[[#This Row],[Revenue]]-Table23[[#This Row],[Total Cost]]</f>
        <v>18.96</v>
      </c>
      <c r="M556" s="16">
        <f>(Table23[[#This Row],[Profit]]/Table23[[#This Row],[Revenue]])</f>
        <v>0.26406317460759599</v>
      </c>
      <c r="N556" t="s">
        <v>33</v>
      </c>
    </row>
    <row r="557" spans="1:14" x14ac:dyDescent="0.25">
      <c r="A557" s="11" t="s">
        <v>1648</v>
      </c>
      <c r="B557" s="6">
        <v>45502</v>
      </c>
      <c r="C557" s="11" t="s">
        <v>1649</v>
      </c>
      <c r="D557" s="11" t="s">
        <v>36</v>
      </c>
      <c r="E557" s="11" t="s">
        <v>1426</v>
      </c>
      <c r="F557" s="11" t="s">
        <v>1417</v>
      </c>
      <c r="G557" s="7">
        <v>2</v>
      </c>
      <c r="H557" s="8">
        <v>37.979999999999997</v>
      </c>
      <c r="I557" s="13">
        <v>0.1</v>
      </c>
      <c r="J557" s="8">
        <f>(Table23[[#This Row],[Quantity]]*Table23[[#This Row],[Unit Price]])-(Table23[[#This Row],[Unit Price]]*Table23[[#This Row],[Dscount]])*Table23[[#This Row],[Quantity]]</f>
        <v>68.36399999999999</v>
      </c>
      <c r="K557" s="8">
        <v>49.423999999999992</v>
      </c>
      <c r="L557" s="8">
        <f>Table23[[#This Row],[Revenue]]-Table23[[#This Row],[Total Cost]]</f>
        <v>18.939999999999998</v>
      </c>
      <c r="M557" s="16">
        <f>(Table23[[#This Row],[Profit]]/Table23[[#This Row],[Revenue]])</f>
        <v>0.2770463986893687</v>
      </c>
      <c r="N557" t="s">
        <v>33</v>
      </c>
    </row>
    <row r="558" spans="1:14" x14ac:dyDescent="0.25">
      <c r="A558" s="11" t="s">
        <v>958</v>
      </c>
      <c r="B558" s="6">
        <v>45402</v>
      </c>
      <c r="C558" s="11" t="s">
        <v>297</v>
      </c>
      <c r="D558" s="11" t="s">
        <v>24</v>
      </c>
      <c r="E558" s="11" t="s">
        <v>837</v>
      </c>
      <c r="F558" s="11" t="s">
        <v>833</v>
      </c>
      <c r="G558" s="7">
        <v>1</v>
      </c>
      <c r="H558" s="8">
        <v>147.55000000000001</v>
      </c>
      <c r="I558" s="13">
        <v>0</v>
      </c>
      <c r="J558" s="8">
        <f>(Table23[[#This Row],[Quantity]]*Table23[[#This Row],[Unit Price]])-(Table23[[#This Row],[Unit Price]]*Table23[[#This Row],[Dscount]])*Table23[[#This Row],[Quantity]]</f>
        <v>147.55000000000001</v>
      </c>
      <c r="K558" s="8">
        <v>128.78</v>
      </c>
      <c r="L558" s="8">
        <f>Table23[[#This Row],[Revenue]]-Table23[[#This Row],[Total Cost]]</f>
        <v>18.77000000000001</v>
      </c>
      <c r="M558" s="16">
        <f>(Table23[[#This Row],[Profit]]/Table23[[#This Row],[Revenue]])</f>
        <v>0.12721111487631317</v>
      </c>
      <c r="N558" t="s">
        <v>33</v>
      </c>
    </row>
    <row r="559" spans="1:14" x14ac:dyDescent="0.25">
      <c r="A559" s="11" t="s">
        <v>562</v>
      </c>
      <c r="B559" s="6">
        <v>45384</v>
      </c>
      <c r="C559" s="11" t="s">
        <v>563</v>
      </c>
      <c r="D559" s="11" t="s">
        <v>14</v>
      </c>
      <c r="E559" s="11" t="s">
        <v>496</v>
      </c>
      <c r="F559" s="11" t="s">
        <v>480</v>
      </c>
      <c r="G559" s="7">
        <v>1</v>
      </c>
      <c r="H559" s="8">
        <v>41.16</v>
      </c>
      <c r="I559" s="13">
        <v>0</v>
      </c>
      <c r="J559" s="8">
        <f>(Table23[[#This Row],[Quantity]]*Table23[[#This Row],[Unit Price]])-(Table23[[#This Row],[Unit Price]]*Table23[[#This Row],[Dscount]])*Table23[[#This Row],[Quantity]]</f>
        <v>41.16</v>
      </c>
      <c r="K559" s="8">
        <v>22.399999999999995</v>
      </c>
      <c r="L559" s="8">
        <f>Table23[[#This Row],[Revenue]]-Table23[[#This Row],[Total Cost]]</f>
        <v>18.760000000000002</v>
      </c>
      <c r="M559" s="16">
        <f>(Table23[[#This Row],[Profit]]/Table23[[#This Row],[Revenue]])</f>
        <v>0.45578231292517013</v>
      </c>
      <c r="N559" t="s">
        <v>33</v>
      </c>
    </row>
    <row r="560" spans="1:14" x14ac:dyDescent="0.25">
      <c r="A560" s="11" t="s">
        <v>564</v>
      </c>
      <c r="B560" s="6">
        <v>45991</v>
      </c>
      <c r="C560" s="11" t="s">
        <v>565</v>
      </c>
      <c r="D560" s="11" t="s">
        <v>36</v>
      </c>
      <c r="E560" s="11" t="s">
        <v>496</v>
      </c>
      <c r="F560" s="11" t="s">
        <v>480</v>
      </c>
      <c r="G560" s="7">
        <v>1</v>
      </c>
      <c r="H560" s="8">
        <v>58.99</v>
      </c>
      <c r="I560" s="13">
        <v>0.15</v>
      </c>
      <c r="J560" s="8">
        <f>(Table23[[#This Row],[Quantity]]*Table23[[#This Row],[Unit Price]])-(Table23[[#This Row],[Unit Price]]*Table23[[#This Row],[Dscount]])*Table23[[#This Row],[Quantity]]</f>
        <v>50.141500000000001</v>
      </c>
      <c r="K560" s="8">
        <v>31.381499999999999</v>
      </c>
      <c r="L560" s="8">
        <f>Table23[[#This Row],[Revenue]]-Table23[[#This Row],[Total Cost]]</f>
        <v>18.760000000000002</v>
      </c>
      <c r="M560" s="16">
        <f>(Table23[[#This Row],[Profit]]/Table23[[#This Row],[Revenue]])</f>
        <v>0.37414118045930023</v>
      </c>
      <c r="N560" t="s">
        <v>17</v>
      </c>
    </row>
    <row r="561" spans="1:14" x14ac:dyDescent="0.25">
      <c r="A561" s="11" t="s">
        <v>1647</v>
      </c>
      <c r="B561" s="6">
        <v>45363</v>
      </c>
      <c r="C561" s="11" t="s">
        <v>356</v>
      </c>
      <c r="D561" s="11" t="s">
        <v>31</v>
      </c>
      <c r="E561" s="11" t="s">
        <v>1478</v>
      </c>
      <c r="F561" s="11" t="s">
        <v>1417</v>
      </c>
      <c r="G561" s="7">
        <v>4</v>
      </c>
      <c r="H561" s="8">
        <v>14.87</v>
      </c>
      <c r="I561" s="13">
        <v>0</v>
      </c>
      <c r="J561" s="8">
        <f>(Table23[[#This Row],[Quantity]]*Table23[[#This Row],[Unit Price]])-(Table23[[#This Row],[Unit Price]]*Table23[[#This Row],[Dscount]])*Table23[[#This Row],[Quantity]]</f>
        <v>59.48</v>
      </c>
      <c r="K561" s="8">
        <v>40.739999999999995</v>
      </c>
      <c r="L561" s="8">
        <f>Table23[[#This Row],[Revenue]]-Table23[[#This Row],[Total Cost]]</f>
        <v>18.740000000000002</v>
      </c>
      <c r="M561" s="16">
        <f>(Table23[[#This Row],[Profit]]/Table23[[#This Row],[Revenue]])</f>
        <v>0.31506388702084737</v>
      </c>
      <c r="N561" t="s">
        <v>33</v>
      </c>
    </row>
    <row r="562" spans="1:14" x14ac:dyDescent="0.25">
      <c r="A562" s="11" t="s">
        <v>957</v>
      </c>
      <c r="B562" s="6">
        <v>45376</v>
      </c>
      <c r="C562" s="11" t="s">
        <v>378</v>
      </c>
      <c r="D562" s="11" t="s">
        <v>24</v>
      </c>
      <c r="E562" s="11" t="s">
        <v>860</v>
      </c>
      <c r="F562" s="11" t="s">
        <v>833</v>
      </c>
      <c r="G562" s="7">
        <v>1</v>
      </c>
      <c r="H562" s="8">
        <v>117.26</v>
      </c>
      <c r="I562" s="13">
        <v>0.15</v>
      </c>
      <c r="J562" s="8">
        <f>(Table23[[#This Row],[Quantity]]*Table23[[#This Row],[Unit Price]])-(Table23[[#This Row],[Unit Price]]*Table23[[#This Row],[Dscount]])*Table23[[#This Row],[Quantity]]</f>
        <v>99.671000000000006</v>
      </c>
      <c r="K562" s="8">
        <v>80.971000000000004</v>
      </c>
      <c r="L562" s="8">
        <f>Table23[[#This Row],[Revenue]]-Table23[[#This Row],[Total Cost]]</f>
        <v>18.700000000000003</v>
      </c>
      <c r="M562" s="16">
        <f>(Table23[[#This Row],[Profit]]/Table23[[#This Row],[Revenue]])</f>
        <v>0.18761726078799251</v>
      </c>
      <c r="N562" t="s">
        <v>17</v>
      </c>
    </row>
    <row r="563" spans="1:14" x14ac:dyDescent="0.25">
      <c r="A563" s="11" t="s">
        <v>1643</v>
      </c>
      <c r="B563" s="6">
        <v>45358</v>
      </c>
      <c r="C563" s="11" t="s">
        <v>1644</v>
      </c>
      <c r="D563" s="11" t="s">
        <v>31</v>
      </c>
      <c r="E563" s="11" t="s">
        <v>1426</v>
      </c>
      <c r="F563" s="11" t="s">
        <v>1417</v>
      </c>
      <c r="G563" s="7">
        <v>3</v>
      </c>
      <c r="H563" s="8">
        <v>19.63</v>
      </c>
      <c r="I563" s="13">
        <v>0.05</v>
      </c>
      <c r="J563" s="8">
        <f>(Table23[[#This Row],[Quantity]]*Table23[[#This Row],[Unit Price]])-(Table23[[#This Row],[Unit Price]]*Table23[[#This Row],[Dscount]])*Table23[[#This Row],[Quantity]]</f>
        <v>55.945500000000003</v>
      </c>
      <c r="K563" s="8">
        <v>37.455500000000001</v>
      </c>
      <c r="L563" s="8">
        <f>Table23[[#This Row],[Revenue]]-Table23[[#This Row],[Total Cost]]</f>
        <v>18.490000000000002</v>
      </c>
      <c r="M563" s="16">
        <f>(Table23[[#This Row],[Profit]]/Table23[[#This Row],[Revenue]])</f>
        <v>0.33050021896309806</v>
      </c>
      <c r="N563" t="s">
        <v>48</v>
      </c>
    </row>
    <row r="564" spans="1:14" x14ac:dyDescent="0.25">
      <c r="A564" s="11" t="s">
        <v>1645</v>
      </c>
      <c r="B564" s="6">
        <v>45526</v>
      </c>
      <c r="C564" s="11" t="s">
        <v>1646</v>
      </c>
      <c r="D564" s="11" t="s">
        <v>20</v>
      </c>
      <c r="E564" s="11" t="s">
        <v>1439</v>
      </c>
      <c r="F564" s="11" t="s">
        <v>1417</v>
      </c>
      <c r="G564" s="7">
        <v>2</v>
      </c>
      <c r="H564" s="8">
        <v>37.36</v>
      </c>
      <c r="I564" s="13">
        <v>0.1</v>
      </c>
      <c r="J564" s="8">
        <f>(Table23[[#This Row],[Quantity]]*Table23[[#This Row],[Unit Price]])-(Table23[[#This Row],[Unit Price]]*Table23[[#This Row],[Dscount]])*Table23[[#This Row],[Quantity]]</f>
        <v>67.248000000000005</v>
      </c>
      <c r="K564" s="8">
        <v>48.75800000000001</v>
      </c>
      <c r="L564" s="8">
        <f>Table23[[#This Row],[Revenue]]-Table23[[#This Row],[Total Cost]]</f>
        <v>18.489999999999995</v>
      </c>
      <c r="M564" s="16">
        <f>(Table23[[#This Row],[Profit]]/Table23[[#This Row],[Revenue]])</f>
        <v>0.27495241494170819</v>
      </c>
      <c r="N564" t="s">
        <v>48</v>
      </c>
    </row>
    <row r="565" spans="1:14" x14ac:dyDescent="0.25">
      <c r="A565" s="11" t="s">
        <v>195</v>
      </c>
      <c r="B565" s="6">
        <v>45677</v>
      </c>
      <c r="C565" s="11" t="s">
        <v>196</v>
      </c>
      <c r="D565" s="11" t="s">
        <v>20</v>
      </c>
      <c r="E565" s="11" t="s">
        <v>44</v>
      </c>
      <c r="F565" s="11" t="s">
        <v>16</v>
      </c>
      <c r="G565" s="7">
        <v>2</v>
      </c>
      <c r="H565" s="8">
        <v>15.43</v>
      </c>
      <c r="I565" s="13">
        <v>0.05</v>
      </c>
      <c r="J565" s="8">
        <f>(Table23[[#This Row],[Quantity]]*Table23[[#This Row],[Unit Price]])-(Table23[[#This Row],[Unit Price]]*Table23[[#This Row],[Dscount]])*Table23[[#This Row],[Quantity]]</f>
        <v>29.317</v>
      </c>
      <c r="K565" s="8">
        <v>10.917000000000002</v>
      </c>
      <c r="L565" s="8">
        <f>Table23[[#This Row],[Revenue]]-Table23[[#This Row],[Total Cost]]</f>
        <v>18.399999999999999</v>
      </c>
      <c r="M565" s="16">
        <f>(Table23[[#This Row],[Profit]]/Table23[[#This Row],[Revenue]])</f>
        <v>0.62762219872428959</v>
      </c>
      <c r="N565" t="s">
        <v>33</v>
      </c>
    </row>
    <row r="566" spans="1:14" x14ac:dyDescent="0.25">
      <c r="A566" s="11" t="s">
        <v>197</v>
      </c>
      <c r="B566" s="6">
        <v>45460</v>
      </c>
      <c r="C566" s="11" t="s">
        <v>198</v>
      </c>
      <c r="D566" s="11" t="s">
        <v>14</v>
      </c>
      <c r="E566" s="11" t="s">
        <v>28</v>
      </c>
      <c r="F566" s="11" t="s">
        <v>16</v>
      </c>
      <c r="G566" s="7">
        <v>1</v>
      </c>
      <c r="H566" s="8">
        <v>45.34</v>
      </c>
      <c r="I566" s="13">
        <v>0.1</v>
      </c>
      <c r="J566" s="8">
        <f>(Table23[[#This Row],[Quantity]]*Table23[[#This Row],[Unit Price]])-(Table23[[#This Row],[Unit Price]]*Table23[[#This Row],[Dscount]])*Table23[[#This Row],[Quantity]]</f>
        <v>40.806000000000004</v>
      </c>
      <c r="K566" s="8">
        <v>22.406000000000006</v>
      </c>
      <c r="L566" s="8">
        <f>Table23[[#This Row],[Revenue]]-Table23[[#This Row],[Total Cost]]</f>
        <v>18.399999999999999</v>
      </c>
      <c r="M566" s="16">
        <f>(Table23[[#This Row],[Profit]]/Table23[[#This Row],[Revenue]])</f>
        <v>0.45091408126255933</v>
      </c>
      <c r="N566" t="s">
        <v>33</v>
      </c>
    </row>
    <row r="567" spans="1:14" x14ac:dyDescent="0.25">
      <c r="A567" s="11" t="s">
        <v>1271</v>
      </c>
      <c r="B567" s="6">
        <v>45604</v>
      </c>
      <c r="C567" s="11" t="s">
        <v>982</v>
      </c>
      <c r="D567" s="11" t="s">
        <v>20</v>
      </c>
      <c r="E567" s="11" t="s">
        <v>1134</v>
      </c>
      <c r="F567" s="11" t="s">
        <v>1112</v>
      </c>
      <c r="G567" s="7">
        <v>2</v>
      </c>
      <c r="H567" s="8">
        <v>31.46</v>
      </c>
      <c r="I567" s="13">
        <v>0.05</v>
      </c>
      <c r="J567" s="8">
        <f>(Table23[[#This Row],[Quantity]]*Table23[[#This Row],[Unit Price]])-(Table23[[#This Row],[Unit Price]]*Table23[[#This Row],[Dscount]])*Table23[[#This Row],[Quantity]]</f>
        <v>59.774000000000001</v>
      </c>
      <c r="K567" s="8">
        <v>41.444000000000003</v>
      </c>
      <c r="L567" s="8">
        <f>Table23[[#This Row],[Revenue]]-Table23[[#This Row],[Total Cost]]</f>
        <v>18.329999999999998</v>
      </c>
      <c r="M567" s="16">
        <f>(Table23[[#This Row],[Profit]]/Table23[[#This Row],[Revenue]])</f>
        <v>0.3066550674206176</v>
      </c>
      <c r="N567" t="s">
        <v>33</v>
      </c>
    </row>
    <row r="568" spans="1:14" x14ac:dyDescent="0.25">
      <c r="A568" s="11" t="s">
        <v>193</v>
      </c>
      <c r="B568" s="6">
        <v>45681</v>
      </c>
      <c r="C568" s="11" t="s">
        <v>194</v>
      </c>
      <c r="D568" s="11" t="s">
        <v>31</v>
      </c>
      <c r="E568" s="11" t="s">
        <v>15</v>
      </c>
      <c r="F568" s="11" t="s">
        <v>16</v>
      </c>
      <c r="G568" s="7">
        <v>1</v>
      </c>
      <c r="H568" s="8">
        <v>49.72</v>
      </c>
      <c r="I568" s="13">
        <v>0.1</v>
      </c>
      <c r="J568" s="8">
        <f>(Table23[[#This Row],[Quantity]]*Table23[[#This Row],[Unit Price]])-(Table23[[#This Row],[Unit Price]]*Table23[[#This Row],[Dscount]])*Table23[[#This Row],[Quantity]]</f>
        <v>44.747999999999998</v>
      </c>
      <c r="K568" s="8">
        <v>26.477999999999998</v>
      </c>
      <c r="L568" s="8">
        <f>Table23[[#This Row],[Revenue]]-Table23[[#This Row],[Total Cost]]</f>
        <v>18.27</v>
      </c>
      <c r="M568" s="16">
        <f>(Table23[[#This Row],[Profit]]/Table23[[#This Row],[Revenue]])</f>
        <v>0.40828640386162512</v>
      </c>
      <c r="N568" t="s">
        <v>33</v>
      </c>
    </row>
    <row r="569" spans="1:14" x14ac:dyDescent="0.25">
      <c r="A569" s="11" t="s">
        <v>191</v>
      </c>
      <c r="B569" s="6">
        <v>45458</v>
      </c>
      <c r="C569" s="11" t="s">
        <v>192</v>
      </c>
      <c r="D569" s="11" t="s">
        <v>36</v>
      </c>
      <c r="E569" s="11" t="s">
        <v>21</v>
      </c>
      <c r="F569" s="11" t="s">
        <v>16</v>
      </c>
      <c r="G569" s="7">
        <v>1</v>
      </c>
      <c r="H569" s="8">
        <v>47.72</v>
      </c>
      <c r="I569" s="13">
        <v>0.15</v>
      </c>
      <c r="J569" s="8">
        <f>(Table23[[#This Row],[Quantity]]*Table23[[#This Row],[Unit Price]])-(Table23[[#This Row],[Unit Price]]*Table23[[#This Row],[Dscount]])*Table23[[#This Row],[Quantity]]</f>
        <v>40.561999999999998</v>
      </c>
      <c r="K569" s="8">
        <v>22.301999999999996</v>
      </c>
      <c r="L569" s="8">
        <f>Table23[[#This Row],[Revenue]]-Table23[[#This Row],[Total Cost]]</f>
        <v>18.260000000000002</v>
      </c>
      <c r="M569" s="16">
        <f>(Table23[[#This Row],[Profit]]/Table23[[#This Row],[Revenue]])</f>
        <v>0.45017504067846759</v>
      </c>
      <c r="N569" t="s">
        <v>33</v>
      </c>
    </row>
    <row r="570" spans="1:14" x14ac:dyDescent="0.25">
      <c r="A570" s="11" t="s">
        <v>1642</v>
      </c>
      <c r="B570" s="6">
        <v>45698</v>
      </c>
      <c r="C570" s="11" t="s">
        <v>343</v>
      </c>
      <c r="D570" s="11" t="s">
        <v>20</v>
      </c>
      <c r="E570" s="11" t="s">
        <v>1420</v>
      </c>
      <c r="F570" s="11" t="s">
        <v>1417</v>
      </c>
      <c r="G570" s="7">
        <v>2</v>
      </c>
      <c r="H570" s="8">
        <v>34.270000000000003</v>
      </c>
      <c r="I570" s="13">
        <v>0</v>
      </c>
      <c r="J570" s="8">
        <f>(Table23[[#This Row],[Quantity]]*Table23[[#This Row],[Unit Price]])-(Table23[[#This Row],[Unit Price]]*Table23[[#This Row],[Dscount]])*Table23[[#This Row],[Quantity]]</f>
        <v>68.540000000000006</v>
      </c>
      <c r="K570" s="8">
        <v>50.300000000000011</v>
      </c>
      <c r="L570" s="8">
        <f>Table23[[#This Row],[Revenue]]-Table23[[#This Row],[Total Cost]]</f>
        <v>18.239999999999995</v>
      </c>
      <c r="M570" s="16">
        <f>(Table23[[#This Row],[Profit]]/Table23[[#This Row],[Revenue]])</f>
        <v>0.26612197257076148</v>
      </c>
      <c r="N570" t="s">
        <v>48</v>
      </c>
    </row>
    <row r="571" spans="1:14" x14ac:dyDescent="0.25">
      <c r="A571" s="11" t="s">
        <v>189</v>
      </c>
      <c r="B571" s="6">
        <v>45590</v>
      </c>
      <c r="C571" s="11" t="s">
        <v>190</v>
      </c>
      <c r="D571" s="11" t="s">
        <v>24</v>
      </c>
      <c r="E571" s="11" t="s">
        <v>25</v>
      </c>
      <c r="F571" s="11" t="s">
        <v>16</v>
      </c>
      <c r="G571" s="7">
        <v>1</v>
      </c>
      <c r="H571" s="8">
        <v>34.71</v>
      </c>
      <c r="I571" s="13">
        <v>0.1</v>
      </c>
      <c r="J571" s="8">
        <f>(Table23[[#This Row],[Quantity]]*Table23[[#This Row],[Unit Price]])-(Table23[[#This Row],[Unit Price]]*Table23[[#This Row],[Dscount]])*Table23[[#This Row],[Quantity]]</f>
        <v>31.239000000000001</v>
      </c>
      <c r="K571" s="8">
        <v>13.019000000000002</v>
      </c>
      <c r="L571" s="8">
        <f>Table23[[#This Row],[Revenue]]-Table23[[#This Row],[Total Cost]]</f>
        <v>18.22</v>
      </c>
      <c r="M571" s="16">
        <f>(Table23[[#This Row],[Profit]]/Table23[[#This Row],[Revenue]])</f>
        <v>0.58324530234642591</v>
      </c>
      <c r="N571" t="s">
        <v>17</v>
      </c>
    </row>
    <row r="572" spans="1:14" x14ac:dyDescent="0.25">
      <c r="A572" s="11" t="s">
        <v>1269</v>
      </c>
      <c r="B572" s="6">
        <v>45994</v>
      </c>
      <c r="C572" s="11" t="s">
        <v>1270</v>
      </c>
      <c r="D572" s="11" t="s">
        <v>14</v>
      </c>
      <c r="E572" s="11" t="s">
        <v>1114</v>
      </c>
      <c r="F572" s="11" t="s">
        <v>1112</v>
      </c>
      <c r="G572" s="7">
        <v>2</v>
      </c>
      <c r="H572" s="8">
        <v>34.14</v>
      </c>
      <c r="I572" s="13">
        <v>0.1</v>
      </c>
      <c r="J572" s="8">
        <f>(Table23[[#This Row],[Quantity]]*Table23[[#This Row],[Unit Price]])-(Table23[[#This Row],[Unit Price]]*Table23[[#This Row],[Dscount]])*Table23[[#This Row],[Quantity]]</f>
        <v>61.451999999999998</v>
      </c>
      <c r="K572" s="8">
        <v>43.302</v>
      </c>
      <c r="L572" s="8">
        <f>Table23[[#This Row],[Revenue]]-Table23[[#This Row],[Total Cost]]</f>
        <v>18.149999999999999</v>
      </c>
      <c r="M572" s="16">
        <f>(Table23[[#This Row],[Profit]]/Table23[[#This Row],[Revenue]])</f>
        <v>0.29535247022066002</v>
      </c>
      <c r="N572" t="s">
        <v>33</v>
      </c>
    </row>
    <row r="573" spans="1:14" x14ac:dyDescent="0.25">
      <c r="A573" s="11" t="s">
        <v>956</v>
      </c>
      <c r="B573" s="6">
        <v>45448</v>
      </c>
      <c r="C573" s="11" t="s">
        <v>366</v>
      </c>
      <c r="D573" s="11" t="s">
        <v>20</v>
      </c>
      <c r="E573" s="11" t="s">
        <v>860</v>
      </c>
      <c r="F573" s="11" t="s">
        <v>833</v>
      </c>
      <c r="G573" s="7">
        <v>1</v>
      </c>
      <c r="H573" s="8">
        <v>131.80000000000001</v>
      </c>
      <c r="I573" s="13">
        <v>0.25</v>
      </c>
      <c r="J573" s="8">
        <f>(Table23[[#This Row],[Quantity]]*Table23[[#This Row],[Unit Price]])-(Table23[[#This Row],[Unit Price]]*Table23[[#This Row],[Dscount]])*Table23[[#This Row],[Quantity]]</f>
        <v>98.850000000000009</v>
      </c>
      <c r="K573" s="8">
        <v>80.77000000000001</v>
      </c>
      <c r="L573" s="8">
        <f>Table23[[#This Row],[Revenue]]-Table23[[#This Row],[Total Cost]]</f>
        <v>18.079999999999998</v>
      </c>
      <c r="M573" s="16">
        <f>(Table23[[#This Row],[Profit]]/Table23[[#This Row],[Revenue]])</f>
        <v>0.18290338897319167</v>
      </c>
      <c r="N573" t="s">
        <v>33</v>
      </c>
    </row>
    <row r="574" spans="1:14" x14ac:dyDescent="0.25">
      <c r="A574" s="11" t="s">
        <v>1640</v>
      </c>
      <c r="B574" s="6">
        <v>46013</v>
      </c>
      <c r="C574" s="11" t="s">
        <v>1641</v>
      </c>
      <c r="D574" s="11" t="s">
        <v>20</v>
      </c>
      <c r="E574" s="11" t="s">
        <v>1429</v>
      </c>
      <c r="F574" s="11" t="s">
        <v>1417</v>
      </c>
      <c r="G574" s="7">
        <v>2</v>
      </c>
      <c r="H574" s="8">
        <v>57.46</v>
      </c>
      <c r="I574" s="13">
        <v>0</v>
      </c>
      <c r="J574" s="8">
        <f>(Table23[[#This Row],[Quantity]]*Table23[[#This Row],[Unit Price]])-(Table23[[#This Row],[Unit Price]]*Table23[[#This Row],[Dscount]])*Table23[[#This Row],[Quantity]]</f>
        <v>114.92</v>
      </c>
      <c r="K574" s="8">
        <v>96.84</v>
      </c>
      <c r="L574" s="8">
        <f>Table23[[#This Row],[Revenue]]-Table23[[#This Row],[Total Cost]]</f>
        <v>18.079999999999998</v>
      </c>
      <c r="M574" s="16">
        <f>(Table23[[#This Row],[Profit]]/Table23[[#This Row],[Revenue]])</f>
        <v>0.15732683605986772</v>
      </c>
      <c r="N574" t="s">
        <v>17</v>
      </c>
    </row>
    <row r="575" spans="1:14" x14ac:dyDescent="0.25">
      <c r="A575" s="11" t="s">
        <v>955</v>
      </c>
      <c r="B575" s="6">
        <v>45529</v>
      </c>
      <c r="C575" s="11" t="s">
        <v>845</v>
      </c>
      <c r="D575" s="11" t="s">
        <v>20</v>
      </c>
      <c r="E575" s="11" t="s">
        <v>858</v>
      </c>
      <c r="F575" s="11" t="s">
        <v>833</v>
      </c>
      <c r="G575" s="7">
        <v>1</v>
      </c>
      <c r="H575" s="8">
        <v>132.55000000000001</v>
      </c>
      <c r="I575" s="13">
        <v>0.05</v>
      </c>
      <c r="J575" s="8">
        <f>(Table23[[#This Row],[Quantity]]*Table23[[#This Row],[Unit Price]])-(Table23[[#This Row],[Unit Price]]*Table23[[#This Row],[Dscount]])*Table23[[#This Row],[Quantity]]</f>
        <v>125.92250000000001</v>
      </c>
      <c r="K575" s="8">
        <v>107.89250000000001</v>
      </c>
      <c r="L575" s="8">
        <f>Table23[[#This Row],[Revenue]]-Table23[[#This Row],[Total Cost]]</f>
        <v>18.03</v>
      </c>
      <c r="M575" s="16">
        <f>(Table23[[#This Row],[Profit]]/Table23[[#This Row],[Revenue]])</f>
        <v>0.14318330719291628</v>
      </c>
      <c r="N575" t="s">
        <v>33</v>
      </c>
    </row>
    <row r="576" spans="1:14" x14ac:dyDescent="0.25">
      <c r="A576" s="11" t="s">
        <v>187</v>
      </c>
      <c r="B576" s="6">
        <v>45726</v>
      </c>
      <c r="C576" s="11" t="s">
        <v>188</v>
      </c>
      <c r="D576" s="11" t="s">
        <v>31</v>
      </c>
      <c r="E576" s="11" t="s">
        <v>25</v>
      </c>
      <c r="F576" s="11" t="s">
        <v>16</v>
      </c>
      <c r="G576" s="7">
        <v>1</v>
      </c>
      <c r="H576" s="8">
        <v>48.84</v>
      </c>
      <c r="I576" s="13">
        <v>0.25</v>
      </c>
      <c r="J576" s="8">
        <f>(Table23[[#This Row],[Quantity]]*Table23[[#This Row],[Unit Price]])-(Table23[[#This Row],[Unit Price]]*Table23[[#This Row],[Dscount]])*Table23[[#This Row],[Quantity]]</f>
        <v>36.630000000000003</v>
      </c>
      <c r="K576" s="8">
        <v>18.630000000000003</v>
      </c>
      <c r="L576" s="8">
        <f>Table23[[#This Row],[Revenue]]-Table23[[#This Row],[Total Cost]]</f>
        <v>18</v>
      </c>
      <c r="M576" s="16">
        <f>(Table23[[#This Row],[Profit]]/Table23[[#This Row],[Revenue]])</f>
        <v>0.49140049140049136</v>
      </c>
      <c r="N576" t="s">
        <v>33</v>
      </c>
    </row>
    <row r="577" spans="1:14" x14ac:dyDescent="0.25">
      <c r="A577" s="11" t="s">
        <v>1638</v>
      </c>
      <c r="B577" s="6">
        <v>45768</v>
      </c>
      <c r="C577" s="11" t="s">
        <v>1639</v>
      </c>
      <c r="D577" s="11" t="s">
        <v>24</v>
      </c>
      <c r="E577" s="11" t="s">
        <v>1416</v>
      </c>
      <c r="F577" s="11" t="s">
        <v>1417</v>
      </c>
      <c r="G577" s="7">
        <v>1</v>
      </c>
      <c r="H577" s="8">
        <v>57.96</v>
      </c>
      <c r="I577" s="13">
        <v>0</v>
      </c>
      <c r="J577" s="8">
        <f>(Table23[[#This Row],[Quantity]]*Table23[[#This Row],[Unit Price]])-(Table23[[#This Row],[Unit Price]]*Table23[[#This Row],[Dscount]])*Table23[[#This Row],[Quantity]]</f>
        <v>57.96</v>
      </c>
      <c r="K577" s="8">
        <v>40</v>
      </c>
      <c r="L577" s="8">
        <f>Table23[[#This Row],[Revenue]]-Table23[[#This Row],[Total Cost]]</f>
        <v>17.96</v>
      </c>
      <c r="M577" s="16">
        <f>(Table23[[#This Row],[Profit]]/Table23[[#This Row],[Revenue]])</f>
        <v>0.30986887508626643</v>
      </c>
      <c r="N577" t="s">
        <v>17</v>
      </c>
    </row>
    <row r="578" spans="1:14" x14ac:dyDescent="0.25">
      <c r="A578" s="11" t="s">
        <v>185</v>
      </c>
      <c r="B578" s="6">
        <v>45614</v>
      </c>
      <c r="C578" s="11" t="s">
        <v>186</v>
      </c>
      <c r="D578" s="11" t="s">
        <v>24</v>
      </c>
      <c r="E578" s="11" t="s">
        <v>21</v>
      </c>
      <c r="F578" s="11" t="s">
        <v>16</v>
      </c>
      <c r="G578" s="7">
        <v>1</v>
      </c>
      <c r="H578" s="8">
        <v>43.25</v>
      </c>
      <c r="I578" s="13">
        <v>0.05</v>
      </c>
      <c r="J578" s="8">
        <f>(Table23[[#This Row],[Quantity]]*Table23[[#This Row],[Unit Price]])-(Table23[[#This Row],[Unit Price]]*Table23[[#This Row],[Dscount]])*Table23[[#This Row],[Quantity]]</f>
        <v>41.087499999999999</v>
      </c>
      <c r="K578" s="8">
        <v>23.217499999999998</v>
      </c>
      <c r="L578" s="8">
        <f>Table23[[#This Row],[Revenue]]-Table23[[#This Row],[Total Cost]]</f>
        <v>17.87</v>
      </c>
      <c r="M578" s="16">
        <f>(Table23[[#This Row],[Profit]]/Table23[[#This Row],[Revenue]])</f>
        <v>0.43492546394888959</v>
      </c>
      <c r="N578" t="s">
        <v>17</v>
      </c>
    </row>
    <row r="579" spans="1:14" x14ac:dyDescent="0.25">
      <c r="A579" s="11" t="s">
        <v>1267</v>
      </c>
      <c r="B579" s="6">
        <v>45475</v>
      </c>
      <c r="C579" s="11" t="s">
        <v>1268</v>
      </c>
      <c r="D579" s="11" t="s">
        <v>20</v>
      </c>
      <c r="E579" s="11" t="s">
        <v>1128</v>
      </c>
      <c r="F579" s="11" t="s">
        <v>1112</v>
      </c>
      <c r="G579" s="7">
        <v>1</v>
      </c>
      <c r="H579" s="8">
        <v>71.92</v>
      </c>
      <c r="I579" s="13">
        <v>0.05</v>
      </c>
      <c r="J579" s="8">
        <f>(Table23[[#This Row],[Quantity]]*Table23[[#This Row],[Unit Price]])-(Table23[[#This Row],[Unit Price]]*Table23[[#This Row],[Dscount]])*Table23[[#This Row],[Quantity]]</f>
        <v>68.323999999999998</v>
      </c>
      <c r="K579" s="8">
        <v>50.463999999999999</v>
      </c>
      <c r="L579" s="8">
        <f>Table23[[#This Row],[Revenue]]-Table23[[#This Row],[Total Cost]]</f>
        <v>17.86</v>
      </c>
      <c r="M579" s="16">
        <f>(Table23[[#This Row],[Profit]]/Table23[[#This Row],[Revenue]])</f>
        <v>0.26140155728587317</v>
      </c>
      <c r="N579" t="s">
        <v>17</v>
      </c>
    </row>
    <row r="580" spans="1:14" x14ac:dyDescent="0.25">
      <c r="A580" s="11" t="s">
        <v>1637</v>
      </c>
      <c r="B580" s="6">
        <v>45570</v>
      </c>
      <c r="C580" s="11" t="s">
        <v>301</v>
      </c>
      <c r="D580" s="11" t="s">
        <v>24</v>
      </c>
      <c r="E580" s="11" t="s">
        <v>1429</v>
      </c>
      <c r="F580" s="11" t="s">
        <v>1417</v>
      </c>
      <c r="G580" s="7">
        <v>3</v>
      </c>
      <c r="H580" s="8">
        <v>32.76</v>
      </c>
      <c r="I580" s="13">
        <v>0</v>
      </c>
      <c r="J580" s="8">
        <f>(Table23[[#This Row],[Quantity]]*Table23[[#This Row],[Unit Price]])-(Table23[[#This Row],[Unit Price]]*Table23[[#This Row],[Dscount]])*Table23[[#This Row],[Quantity]]</f>
        <v>98.28</v>
      </c>
      <c r="K580" s="8">
        <v>80.430000000000007</v>
      </c>
      <c r="L580" s="8">
        <f>Table23[[#This Row],[Revenue]]-Table23[[#This Row],[Total Cost]]</f>
        <v>17.849999999999994</v>
      </c>
      <c r="M580" s="16">
        <f>(Table23[[#This Row],[Profit]]/Table23[[#This Row],[Revenue]])</f>
        <v>0.18162393162393156</v>
      </c>
      <c r="N580" t="s">
        <v>33</v>
      </c>
    </row>
    <row r="581" spans="1:14" x14ac:dyDescent="0.25">
      <c r="A581" s="11" t="s">
        <v>1266</v>
      </c>
      <c r="B581" s="6">
        <v>45350</v>
      </c>
      <c r="C581" s="11" t="s">
        <v>270</v>
      </c>
      <c r="D581" s="11" t="s">
        <v>20</v>
      </c>
      <c r="E581" s="11" t="s">
        <v>1155</v>
      </c>
      <c r="F581" s="11" t="s">
        <v>1112</v>
      </c>
      <c r="G581" s="7">
        <v>2</v>
      </c>
      <c r="H581" s="8">
        <v>36.21</v>
      </c>
      <c r="I581" s="13">
        <v>0</v>
      </c>
      <c r="J581" s="8">
        <f>(Table23[[#This Row],[Quantity]]*Table23[[#This Row],[Unit Price]])-(Table23[[#This Row],[Unit Price]]*Table23[[#This Row],[Dscount]])*Table23[[#This Row],[Quantity]]</f>
        <v>72.42</v>
      </c>
      <c r="K581" s="8">
        <v>54.650000000000006</v>
      </c>
      <c r="L581" s="8">
        <f>Table23[[#This Row],[Revenue]]-Table23[[#This Row],[Total Cost]]</f>
        <v>17.769999999999996</v>
      </c>
      <c r="M581" s="16">
        <f>(Table23[[#This Row],[Profit]]/Table23[[#This Row],[Revenue]])</f>
        <v>0.24537420602043628</v>
      </c>
      <c r="N581" t="s">
        <v>33</v>
      </c>
    </row>
    <row r="582" spans="1:14" x14ac:dyDescent="0.25">
      <c r="A582" s="11" t="s">
        <v>183</v>
      </c>
      <c r="B582" s="6">
        <v>45634</v>
      </c>
      <c r="C582" s="11" t="s">
        <v>184</v>
      </c>
      <c r="D582" s="11" t="s">
        <v>14</v>
      </c>
      <c r="E582" s="11" t="s">
        <v>21</v>
      </c>
      <c r="F582" s="11" t="s">
        <v>16</v>
      </c>
      <c r="G582" s="7">
        <v>1</v>
      </c>
      <c r="H582" s="8">
        <v>45.25</v>
      </c>
      <c r="I582" s="13">
        <v>0.1</v>
      </c>
      <c r="J582" s="8">
        <f>(Table23[[#This Row],[Quantity]]*Table23[[#This Row],[Unit Price]])-(Table23[[#This Row],[Unit Price]]*Table23[[#This Row],[Dscount]])*Table23[[#This Row],[Quantity]]</f>
        <v>40.725000000000001</v>
      </c>
      <c r="K582" s="8">
        <v>22.965</v>
      </c>
      <c r="L582" s="8">
        <f>Table23[[#This Row],[Revenue]]-Table23[[#This Row],[Total Cost]]</f>
        <v>17.760000000000002</v>
      </c>
      <c r="M582" s="16">
        <f>(Table23[[#This Row],[Profit]]/Table23[[#This Row],[Revenue]])</f>
        <v>0.43609576427255986</v>
      </c>
      <c r="N582" t="s">
        <v>17</v>
      </c>
    </row>
    <row r="583" spans="1:14" x14ac:dyDescent="0.25">
      <c r="A583" s="11" t="s">
        <v>560</v>
      </c>
      <c r="B583" s="6">
        <v>45942</v>
      </c>
      <c r="C583" s="11" t="s">
        <v>561</v>
      </c>
      <c r="D583" s="11" t="s">
        <v>36</v>
      </c>
      <c r="E583" s="11" t="s">
        <v>505</v>
      </c>
      <c r="F583" s="11" t="s">
        <v>480</v>
      </c>
      <c r="G583" s="7">
        <v>2</v>
      </c>
      <c r="H583" s="8">
        <v>26.99</v>
      </c>
      <c r="I583" s="13">
        <v>0</v>
      </c>
      <c r="J583" s="8">
        <f>(Table23[[#This Row],[Quantity]]*Table23[[#This Row],[Unit Price]])-(Table23[[#This Row],[Unit Price]]*Table23[[#This Row],[Dscount]])*Table23[[#This Row],[Quantity]]</f>
        <v>53.98</v>
      </c>
      <c r="K583" s="8">
        <v>36.229999999999997</v>
      </c>
      <c r="L583" s="8">
        <f>Table23[[#This Row],[Revenue]]-Table23[[#This Row],[Total Cost]]</f>
        <v>17.75</v>
      </c>
      <c r="M583" s="16">
        <f>(Table23[[#This Row],[Profit]]/Table23[[#This Row],[Revenue]])</f>
        <v>0.32882549092256391</v>
      </c>
      <c r="N583" t="s">
        <v>33</v>
      </c>
    </row>
    <row r="584" spans="1:14" x14ac:dyDescent="0.25">
      <c r="A584" s="11" t="s">
        <v>953</v>
      </c>
      <c r="B584" s="6">
        <v>45800</v>
      </c>
      <c r="C584" s="11" t="s">
        <v>954</v>
      </c>
      <c r="D584" s="11" t="s">
        <v>14</v>
      </c>
      <c r="E584" s="11" t="s">
        <v>835</v>
      </c>
      <c r="F584" s="11" t="s">
        <v>833</v>
      </c>
      <c r="G584" s="7">
        <v>2</v>
      </c>
      <c r="H584" s="8">
        <v>106.47</v>
      </c>
      <c r="I584" s="13">
        <v>0.1</v>
      </c>
      <c r="J584" s="8">
        <f>(Table23[[#This Row],[Quantity]]*Table23[[#This Row],[Unit Price]])-(Table23[[#This Row],[Unit Price]]*Table23[[#This Row],[Dscount]])*Table23[[#This Row],[Quantity]]</f>
        <v>191.64599999999999</v>
      </c>
      <c r="K584" s="8">
        <v>173.90599999999998</v>
      </c>
      <c r="L584" s="8">
        <f>Table23[[#This Row],[Revenue]]-Table23[[#This Row],[Total Cost]]</f>
        <v>17.740000000000009</v>
      </c>
      <c r="M584" s="16">
        <f>(Table23[[#This Row],[Profit]]/Table23[[#This Row],[Revenue]])</f>
        <v>9.2566502822913135E-2</v>
      </c>
      <c r="N584" t="s">
        <v>33</v>
      </c>
    </row>
    <row r="585" spans="1:14" x14ac:dyDescent="0.25">
      <c r="A585" s="11" t="s">
        <v>1635</v>
      </c>
      <c r="B585" s="6">
        <v>45496</v>
      </c>
      <c r="C585" s="11" t="s">
        <v>1636</v>
      </c>
      <c r="D585" s="11" t="s">
        <v>31</v>
      </c>
      <c r="E585" s="11" t="s">
        <v>1416</v>
      </c>
      <c r="F585" s="11" t="s">
        <v>1417</v>
      </c>
      <c r="G585" s="7">
        <v>1</v>
      </c>
      <c r="H585" s="8">
        <v>57.89</v>
      </c>
      <c r="I585" s="13">
        <v>0.05</v>
      </c>
      <c r="J585" s="8">
        <f>(Table23[[#This Row],[Quantity]]*Table23[[#This Row],[Unit Price]])-(Table23[[#This Row],[Unit Price]]*Table23[[#This Row],[Dscount]])*Table23[[#This Row],[Quantity]]</f>
        <v>54.9955</v>
      </c>
      <c r="K585" s="8">
        <v>37.265500000000003</v>
      </c>
      <c r="L585" s="8">
        <f>Table23[[#This Row],[Revenue]]-Table23[[#This Row],[Total Cost]]</f>
        <v>17.729999999999997</v>
      </c>
      <c r="M585" s="16">
        <f>(Table23[[#This Row],[Profit]]/Table23[[#This Row],[Revenue]])</f>
        <v>0.32239001372839593</v>
      </c>
      <c r="N585" t="s">
        <v>33</v>
      </c>
    </row>
    <row r="586" spans="1:14" x14ac:dyDescent="0.25">
      <c r="A586" s="11" t="s">
        <v>1265</v>
      </c>
      <c r="B586" s="6">
        <v>45503</v>
      </c>
      <c r="C586" s="11" t="s">
        <v>180</v>
      </c>
      <c r="D586" s="11" t="s">
        <v>36</v>
      </c>
      <c r="E586" s="11" t="s">
        <v>1117</v>
      </c>
      <c r="F586" s="11" t="s">
        <v>1112</v>
      </c>
      <c r="G586" s="7">
        <v>2</v>
      </c>
      <c r="H586" s="8">
        <v>38.81</v>
      </c>
      <c r="I586" s="13">
        <v>0.15</v>
      </c>
      <c r="J586" s="8">
        <f>(Table23[[#This Row],[Quantity]]*Table23[[#This Row],[Unit Price]])-(Table23[[#This Row],[Unit Price]]*Table23[[#This Row],[Dscount]])*Table23[[#This Row],[Quantity]]</f>
        <v>65.977000000000004</v>
      </c>
      <c r="K586" s="8">
        <v>48.287000000000006</v>
      </c>
      <c r="L586" s="8">
        <f>Table23[[#This Row],[Revenue]]-Table23[[#This Row],[Total Cost]]</f>
        <v>17.689999999999998</v>
      </c>
      <c r="M586" s="16">
        <f>(Table23[[#This Row],[Profit]]/Table23[[#This Row],[Revenue]])</f>
        <v>0.26812374009124385</v>
      </c>
      <c r="N586" t="s">
        <v>17</v>
      </c>
    </row>
    <row r="587" spans="1:14" x14ac:dyDescent="0.25">
      <c r="A587" s="11" t="s">
        <v>1634</v>
      </c>
      <c r="B587" s="6">
        <v>45316</v>
      </c>
      <c r="C587" s="11" t="s">
        <v>1257</v>
      </c>
      <c r="D587" s="11" t="s">
        <v>31</v>
      </c>
      <c r="E587" s="11" t="s">
        <v>1429</v>
      </c>
      <c r="F587" s="11" t="s">
        <v>1417</v>
      </c>
      <c r="G587" s="7">
        <v>2</v>
      </c>
      <c r="H587" s="8">
        <v>52.8</v>
      </c>
      <c r="I587" s="13">
        <v>0.1</v>
      </c>
      <c r="J587" s="8">
        <f>(Table23[[#This Row],[Quantity]]*Table23[[#This Row],[Unit Price]])-(Table23[[#This Row],[Unit Price]]*Table23[[#This Row],[Dscount]])*Table23[[#This Row],[Quantity]]</f>
        <v>95.039999999999992</v>
      </c>
      <c r="K587" s="8">
        <v>77.38</v>
      </c>
      <c r="L587" s="8">
        <f>Table23[[#This Row],[Revenue]]-Table23[[#This Row],[Total Cost]]</f>
        <v>17.659999999999997</v>
      </c>
      <c r="M587" s="16">
        <f>(Table23[[#This Row],[Profit]]/Table23[[#This Row],[Revenue]])</f>
        <v>0.1858164983164983</v>
      </c>
      <c r="N587" t="s">
        <v>17</v>
      </c>
    </row>
    <row r="588" spans="1:14" x14ac:dyDescent="0.25">
      <c r="A588" s="11" t="s">
        <v>558</v>
      </c>
      <c r="B588" s="6">
        <v>45793</v>
      </c>
      <c r="C588" s="11" t="s">
        <v>559</v>
      </c>
      <c r="D588" s="11" t="s">
        <v>36</v>
      </c>
      <c r="E588" s="11" t="s">
        <v>500</v>
      </c>
      <c r="F588" s="11" t="s">
        <v>480</v>
      </c>
      <c r="G588" s="7">
        <v>1</v>
      </c>
      <c r="H588" s="8">
        <v>41.12</v>
      </c>
      <c r="I588" s="13">
        <v>0.15</v>
      </c>
      <c r="J588" s="8">
        <f>(Table23[[#This Row],[Quantity]]*Table23[[#This Row],[Unit Price]])-(Table23[[#This Row],[Unit Price]]*Table23[[#This Row],[Dscount]])*Table23[[#This Row],[Quantity]]</f>
        <v>34.951999999999998</v>
      </c>
      <c r="K588" s="8">
        <v>17.351999999999997</v>
      </c>
      <c r="L588" s="8">
        <f>Table23[[#This Row],[Revenue]]-Table23[[#This Row],[Total Cost]]</f>
        <v>17.600000000000001</v>
      </c>
      <c r="M588" s="16">
        <f>(Table23[[#This Row],[Profit]]/Table23[[#This Row],[Revenue]])</f>
        <v>0.50354772259098202</v>
      </c>
      <c r="N588" t="s">
        <v>17</v>
      </c>
    </row>
    <row r="589" spans="1:14" x14ac:dyDescent="0.25">
      <c r="A589" s="11" t="s">
        <v>1263</v>
      </c>
      <c r="B589" s="6">
        <v>45456</v>
      </c>
      <c r="C589" s="11" t="s">
        <v>1264</v>
      </c>
      <c r="D589" s="11" t="s">
        <v>20</v>
      </c>
      <c r="E589" s="11" t="s">
        <v>1128</v>
      </c>
      <c r="F589" s="11" t="s">
        <v>1112</v>
      </c>
      <c r="G589" s="7">
        <v>1</v>
      </c>
      <c r="H589" s="8">
        <v>75.89</v>
      </c>
      <c r="I589" s="13">
        <v>0</v>
      </c>
      <c r="J589" s="8">
        <f>(Table23[[#This Row],[Quantity]]*Table23[[#This Row],[Unit Price]])-(Table23[[#This Row],[Unit Price]]*Table23[[#This Row],[Dscount]])*Table23[[#This Row],[Quantity]]</f>
        <v>75.89</v>
      </c>
      <c r="K589" s="8">
        <v>58.32</v>
      </c>
      <c r="L589" s="8">
        <f>Table23[[#This Row],[Revenue]]-Table23[[#This Row],[Total Cost]]</f>
        <v>17.57</v>
      </c>
      <c r="M589" s="16">
        <f>(Table23[[#This Row],[Profit]]/Table23[[#This Row],[Revenue]])</f>
        <v>0.23151930425616024</v>
      </c>
      <c r="N589" t="s">
        <v>17</v>
      </c>
    </row>
    <row r="590" spans="1:14" x14ac:dyDescent="0.25">
      <c r="A590" s="11" t="s">
        <v>181</v>
      </c>
      <c r="B590" s="6">
        <v>45364</v>
      </c>
      <c r="C590" s="11" t="s">
        <v>182</v>
      </c>
      <c r="D590" s="11" t="s">
        <v>31</v>
      </c>
      <c r="E590" s="11" t="s">
        <v>47</v>
      </c>
      <c r="F590" s="11" t="s">
        <v>16</v>
      </c>
      <c r="G590" s="7">
        <v>1</v>
      </c>
      <c r="H590" s="8">
        <v>28.67</v>
      </c>
      <c r="I590" s="13">
        <v>0</v>
      </c>
      <c r="J590" s="8">
        <f>(Table23[[#This Row],[Quantity]]*Table23[[#This Row],[Unit Price]])-(Table23[[#This Row],[Unit Price]]*Table23[[#This Row],[Dscount]])*Table23[[#This Row],[Quantity]]</f>
        <v>28.67</v>
      </c>
      <c r="K590" s="8">
        <v>11.120000000000001</v>
      </c>
      <c r="L590" s="8">
        <f>Table23[[#This Row],[Revenue]]-Table23[[#This Row],[Total Cost]]</f>
        <v>17.55</v>
      </c>
      <c r="M590" s="16">
        <f>(Table23[[#This Row],[Profit]]/Table23[[#This Row],[Revenue]])</f>
        <v>0.61213812347401464</v>
      </c>
      <c r="N590" t="s">
        <v>17</v>
      </c>
    </row>
    <row r="591" spans="1:14" x14ac:dyDescent="0.25">
      <c r="A591" s="11" t="s">
        <v>177</v>
      </c>
      <c r="B591" s="6">
        <v>45882</v>
      </c>
      <c r="C591" s="11" t="s">
        <v>178</v>
      </c>
      <c r="D591" s="11" t="s">
        <v>14</v>
      </c>
      <c r="E591" s="11" t="s">
        <v>47</v>
      </c>
      <c r="F591" s="11" t="s">
        <v>16</v>
      </c>
      <c r="G591" s="7">
        <v>1</v>
      </c>
      <c r="H591" s="8">
        <v>33.659999999999997</v>
      </c>
      <c r="I591" s="13">
        <v>0</v>
      </c>
      <c r="J591" s="8">
        <f>(Table23[[#This Row],[Quantity]]*Table23[[#This Row],[Unit Price]])-(Table23[[#This Row],[Unit Price]]*Table23[[#This Row],[Dscount]])*Table23[[#This Row],[Quantity]]</f>
        <v>33.659999999999997</v>
      </c>
      <c r="K591" s="8">
        <v>16.119999999999997</v>
      </c>
      <c r="L591" s="8">
        <f>Table23[[#This Row],[Revenue]]-Table23[[#This Row],[Total Cost]]</f>
        <v>17.54</v>
      </c>
      <c r="M591" s="16">
        <f>(Table23[[#This Row],[Profit]]/Table23[[#This Row],[Revenue]])</f>
        <v>0.52109328579916814</v>
      </c>
      <c r="N591" t="s">
        <v>33</v>
      </c>
    </row>
    <row r="592" spans="1:14" x14ac:dyDescent="0.25">
      <c r="A592" s="11" t="s">
        <v>179</v>
      </c>
      <c r="B592" s="6">
        <v>45527</v>
      </c>
      <c r="C592" s="11" t="s">
        <v>180</v>
      </c>
      <c r="D592" s="11" t="s">
        <v>14</v>
      </c>
      <c r="E592" s="11" t="s">
        <v>28</v>
      </c>
      <c r="F592" s="11" t="s">
        <v>16</v>
      </c>
      <c r="G592" s="7">
        <v>1</v>
      </c>
      <c r="H592" s="8">
        <v>40.68</v>
      </c>
      <c r="I592" s="13">
        <v>0</v>
      </c>
      <c r="J592" s="8">
        <f>(Table23[[#This Row],[Quantity]]*Table23[[#This Row],[Unit Price]])-(Table23[[#This Row],[Unit Price]]*Table23[[#This Row],[Dscount]])*Table23[[#This Row],[Quantity]]</f>
        <v>40.68</v>
      </c>
      <c r="K592" s="8">
        <v>23.14</v>
      </c>
      <c r="L592" s="8">
        <f>Table23[[#This Row],[Revenue]]-Table23[[#This Row],[Total Cost]]</f>
        <v>17.54</v>
      </c>
      <c r="M592" s="16">
        <f>(Table23[[#This Row],[Profit]]/Table23[[#This Row],[Revenue]])</f>
        <v>0.43117010816125856</v>
      </c>
      <c r="N592" t="s">
        <v>33</v>
      </c>
    </row>
    <row r="593" spans="1:14" x14ac:dyDescent="0.25">
      <c r="A593" s="11" t="s">
        <v>951</v>
      </c>
      <c r="B593" s="6">
        <v>45868</v>
      </c>
      <c r="C593" s="11" t="s">
        <v>952</v>
      </c>
      <c r="D593" s="11" t="s">
        <v>14</v>
      </c>
      <c r="E593" s="11" t="s">
        <v>837</v>
      </c>
      <c r="F593" s="11" t="s">
        <v>833</v>
      </c>
      <c r="G593" s="7">
        <v>2</v>
      </c>
      <c r="H593" s="8">
        <v>71.650000000000006</v>
      </c>
      <c r="I593" s="13">
        <v>0</v>
      </c>
      <c r="J593" s="8">
        <f>(Table23[[#This Row],[Quantity]]*Table23[[#This Row],[Unit Price]])-(Table23[[#This Row],[Unit Price]]*Table23[[#This Row],[Dscount]])*Table23[[#This Row],[Quantity]]</f>
        <v>143.30000000000001</v>
      </c>
      <c r="K593" s="8">
        <v>125.76000000000002</v>
      </c>
      <c r="L593" s="8">
        <f>Table23[[#This Row],[Revenue]]-Table23[[#This Row],[Total Cost]]</f>
        <v>17.539999999999992</v>
      </c>
      <c r="M593" s="16">
        <f>(Table23[[#This Row],[Profit]]/Table23[[#This Row],[Revenue]])</f>
        <v>0.1224005582693649</v>
      </c>
      <c r="N593" t="s">
        <v>17</v>
      </c>
    </row>
    <row r="594" spans="1:14" x14ac:dyDescent="0.25">
      <c r="A594" s="11" t="s">
        <v>557</v>
      </c>
      <c r="B594" s="6">
        <v>45755</v>
      </c>
      <c r="C594" s="11" t="s">
        <v>509</v>
      </c>
      <c r="D594" s="11" t="s">
        <v>20</v>
      </c>
      <c r="E594" s="11" t="s">
        <v>505</v>
      </c>
      <c r="F594" s="11" t="s">
        <v>480</v>
      </c>
      <c r="G594" s="7">
        <v>1</v>
      </c>
      <c r="H594" s="8">
        <v>55.21</v>
      </c>
      <c r="I594" s="13">
        <v>0.05</v>
      </c>
      <c r="J594" s="8">
        <f>(Table23[[#This Row],[Quantity]]*Table23[[#This Row],[Unit Price]])-(Table23[[#This Row],[Unit Price]]*Table23[[#This Row],[Dscount]])*Table23[[#This Row],[Quantity]]</f>
        <v>52.4495</v>
      </c>
      <c r="K594" s="8">
        <v>34.919499999999999</v>
      </c>
      <c r="L594" s="8">
        <f>Table23[[#This Row],[Revenue]]-Table23[[#This Row],[Total Cost]]</f>
        <v>17.53</v>
      </c>
      <c r="M594" s="16">
        <f>(Table23[[#This Row],[Profit]]/Table23[[#This Row],[Revenue]])</f>
        <v>0.33422625573170384</v>
      </c>
      <c r="N594" t="s">
        <v>33</v>
      </c>
    </row>
    <row r="595" spans="1:14" x14ac:dyDescent="0.25">
      <c r="A595" s="11" t="s">
        <v>1262</v>
      </c>
      <c r="B595" s="6">
        <v>45520</v>
      </c>
      <c r="C595" s="11" t="s">
        <v>38</v>
      </c>
      <c r="D595" s="11" t="s">
        <v>24</v>
      </c>
      <c r="E595" s="11" t="s">
        <v>1117</v>
      </c>
      <c r="F595" s="11" t="s">
        <v>1112</v>
      </c>
      <c r="G595" s="7">
        <v>1</v>
      </c>
      <c r="H595" s="8">
        <v>58.31</v>
      </c>
      <c r="I595" s="13">
        <v>0.1</v>
      </c>
      <c r="J595" s="8">
        <f>(Table23[[#This Row],[Quantity]]*Table23[[#This Row],[Unit Price]])-(Table23[[#This Row],[Unit Price]]*Table23[[#This Row],[Dscount]])*Table23[[#This Row],[Quantity]]</f>
        <v>52.478999999999999</v>
      </c>
      <c r="K595" s="8">
        <v>34.989000000000004</v>
      </c>
      <c r="L595" s="8">
        <f>Table23[[#This Row],[Revenue]]-Table23[[#This Row],[Total Cost]]</f>
        <v>17.489999999999995</v>
      </c>
      <c r="M595" s="16">
        <f>(Table23[[#This Row],[Profit]]/Table23[[#This Row],[Revenue]])</f>
        <v>0.33327616760990103</v>
      </c>
      <c r="N595" t="s">
        <v>33</v>
      </c>
    </row>
    <row r="596" spans="1:14" x14ac:dyDescent="0.25">
      <c r="A596" s="11" t="s">
        <v>1632</v>
      </c>
      <c r="B596" s="6">
        <v>45766</v>
      </c>
      <c r="C596" s="11" t="s">
        <v>1633</v>
      </c>
      <c r="D596" s="11" t="s">
        <v>36</v>
      </c>
      <c r="E596" s="11" t="s">
        <v>1478</v>
      </c>
      <c r="F596" s="11" t="s">
        <v>1417</v>
      </c>
      <c r="G596" s="7">
        <v>2</v>
      </c>
      <c r="H596" s="8">
        <v>36.1</v>
      </c>
      <c r="I596" s="13">
        <v>0.05</v>
      </c>
      <c r="J596" s="8">
        <f>(Table23[[#This Row],[Quantity]]*Table23[[#This Row],[Unit Price]])-(Table23[[#This Row],[Unit Price]]*Table23[[#This Row],[Dscount]])*Table23[[#This Row],[Quantity]]</f>
        <v>68.59</v>
      </c>
      <c r="K596" s="8">
        <v>51.100000000000009</v>
      </c>
      <c r="L596" s="8">
        <f>Table23[[#This Row],[Revenue]]-Table23[[#This Row],[Total Cost]]</f>
        <v>17.489999999999995</v>
      </c>
      <c r="M596" s="16">
        <f>(Table23[[#This Row],[Profit]]/Table23[[#This Row],[Revenue]])</f>
        <v>0.25499343927686241</v>
      </c>
      <c r="N596" t="s">
        <v>17</v>
      </c>
    </row>
    <row r="597" spans="1:14" x14ac:dyDescent="0.25">
      <c r="A597" s="11" t="s">
        <v>1631</v>
      </c>
      <c r="B597" s="6">
        <v>45450</v>
      </c>
      <c r="C597" s="11" t="s">
        <v>622</v>
      </c>
      <c r="D597" s="11" t="s">
        <v>20</v>
      </c>
      <c r="E597" s="11" t="s">
        <v>1420</v>
      </c>
      <c r="F597" s="11" t="s">
        <v>1417</v>
      </c>
      <c r="G597" s="7">
        <v>1</v>
      </c>
      <c r="H597" s="8">
        <v>53.1</v>
      </c>
      <c r="I597" s="13">
        <v>0</v>
      </c>
      <c r="J597" s="8">
        <f>(Table23[[#This Row],[Quantity]]*Table23[[#This Row],[Unit Price]])-(Table23[[#This Row],[Unit Price]]*Table23[[#This Row],[Dscount]])*Table23[[#This Row],[Quantity]]</f>
        <v>53.1</v>
      </c>
      <c r="K597" s="8">
        <v>35.71</v>
      </c>
      <c r="L597" s="8">
        <f>Table23[[#This Row],[Revenue]]-Table23[[#This Row],[Total Cost]]</f>
        <v>17.39</v>
      </c>
      <c r="M597" s="16">
        <f>(Table23[[#This Row],[Profit]]/Table23[[#This Row],[Revenue]])</f>
        <v>0.32749529190207155</v>
      </c>
      <c r="N597" t="s">
        <v>33</v>
      </c>
    </row>
    <row r="598" spans="1:14" x14ac:dyDescent="0.25">
      <c r="A598" s="11" t="s">
        <v>949</v>
      </c>
      <c r="B598" s="6">
        <v>45907</v>
      </c>
      <c r="C598" s="11" t="s">
        <v>950</v>
      </c>
      <c r="D598" s="11" t="s">
        <v>24</v>
      </c>
      <c r="E598" s="11" t="s">
        <v>848</v>
      </c>
      <c r="F598" s="11" t="s">
        <v>833</v>
      </c>
      <c r="G598" s="7">
        <v>1</v>
      </c>
      <c r="H598" s="8">
        <v>96.27</v>
      </c>
      <c r="I598" s="13">
        <v>0.15</v>
      </c>
      <c r="J598" s="8">
        <f>(Table23[[#This Row],[Quantity]]*Table23[[#This Row],[Unit Price]])-(Table23[[#This Row],[Unit Price]]*Table23[[#This Row],[Dscount]])*Table23[[#This Row],[Quantity]]</f>
        <v>81.829499999999996</v>
      </c>
      <c r="K598" s="8">
        <v>64.479500000000002</v>
      </c>
      <c r="L598" s="8">
        <f>Table23[[#This Row],[Revenue]]-Table23[[#This Row],[Total Cost]]</f>
        <v>17.349999999999994</v>
      </c>
      <c r="M598" s="16">
        <f>(Table23[[#This Row],[Profit]]/Table23[[#This Row],[Revenue]])</f>
        <v>0.21202622526106105</v>
      </c>
      <c r="N598" t="s">
        <v>17</v>
      </c>
    </row>
    <row r="599" spans="1:14" x14ac:dyDescent="0.25">
      <c r="A599" s="11" t="s">
        <v>175</v>
      </c>
      <c r="B599" s="6">
        <v>45394</v>
      </c>
      <c r="C599" s="11" t="s">
        <v>176</v>
      </c>
      <c r="D599" s="11" t="s">
        <v>20</v>
      </c>
      <c r="E599" s="11" t="s">
        <v>68</v>
      </c>
      <c r="F599" s="11" t="s">
        <v>16</v>
      </c>
      <c r="G599" s="7">
        <v>1</v>
      </c>
      <c r="H599" s="8">
        <v>35.85</v>
      </c>
      <c r="I599" s="13">
        <v>0.15</v>
      </c>
      <c r="J599" s="8">
        <f>(Table23[[#This Row],[Quantity]]*Table23[[#This Row],[Unit Price]])-(Table23[[#This Row],[Unit Price]]*Table23[[#This Row],[Dscount]])*Table23[[#This Row],[Quantity]]</f>
        <v>30.4725</v>
      </c>
      <c r="K599" s="8">
        <v>13.192499999999999</v>
      </c>
      <c r="L599" s="8">
        <f>Table23[[#This Row],[Revenue]]-Table23[[#This Row],[Total Cost]]</f>
        <v>17.28</v>
      </c>
      <c r="M599" s="16">
        <f>(Table23[[#This Row],[Profit]]/Table23[[#This Row],[Revenue]])</f>
        <v>0.56706866847157278</v>
      </c>
      <c r="N599" t="s">
        <v>33</v>
      </c>
    </row>
    <row r="600" spans="1:14" x14ac:dyDescent="0.25">
      <c r="A600" s="11" t="s">
        <v>1629</v>
      </c>
      <c r="B600" s="6">
        <v>45297</v>
      </c>
      <c r="C600" s="11" t="s">
        <v>1630</v>
      </c>
      <c r="D600" s="11" t="s">
        <v>20</v>
      </c>
      <c r="E600" s="11" t="s">
        <v>1439</v>
      </c>
      <c r="F600" s="11" t="s">
        <v>1417</v>
      </c>
      <c r="G600" s="7">
        <v>1</v>
      </c>
      <c r="H600" s="8">
        <v>52.02</v>
      </c>
      <c r="I600" s="13">
        <v>0</v>
      </c>
      <c r="J600" s="8">
        <f>(Table23[[#This Row],[Quantity]]*Table23[[#This Row],[Unit Price]])-(Table23[[#This Row],[Unit Price]]*Table23[[#This Row],[Dscount]])*Table23[[#This Row],[Quantity]]</f>
        <v>52.02</v>
      </c>
      <c r="K600" s="8">
        <v>34.770000000000003</v>
      </c>
      <c r="L600" s="8">
        <f>Table23[[#This Row],[Revenue]]-Table23[[#This Row],[Total Cost]]</f>
        <v>17.25</v>
      </c>
      <c r="M600" s="16">
        <f>(Table23[[#This Row],[Profit]]/Table23[[#This Row],[Revenue]])</f>
        <v>0.33160322952710491</v>
      </c>
      <c r="N600" t="s">
        <v>33</v>
      </c>
    </row>
    <row r="601" spans="1:14" x14ac:dyDescent="0.25">
      <c r="A601" s="11" t="s">
        <v>947</v>
      </c>
      <c r="B601" s="6">
        <v>45390</v>
      </c>
      <c r="C601" s="11" t="s">
        <v>948</v>
      </c>
      <c r="D601" s="11" t="s">
        <v>36</v>
      </c>
      <c r="E601" s="11" t="s">
        <v>856</v>
      </c>
      <c r="F601" s="11" t="s">
        <v>833</v>
      </c>
      <c r="G601" s="7">
        <v>2</v>
      </c>
      <c r="H601" s="8">
        <v>56.63</v>
      </c>
      <c r="I601" s="13">
        <v>0.2</v>
      </c>
      <c r="J601" s="8">
        <f>(Table23[[#This Row],[Quantity]]*Table23[[#This Row],[Unit Price]])-(Table23[[#This Row],[Unit Price]]*Table23[[#This Row],[Dscount]])*Table23[[#This Row],[Quantity]]</f>
        <v>90.608000000000004</v>
      </c>
      <c r="K601" s="8">
        <v>73.457999999999998</v>
      </c>
      <c r="L601" s="8">
        <f>Table23[[#This Row],[Revenue]]-Table23[[#This Row],[Total Cost]]</f>
        <v>17.150000000000006</v>
      </c>
      <c r="M601" s="16">
        <f>(Table23[[#This Row],[Profit]]/Table23[[#This Row],[Revenue]])</f>
        <v>0.18927688504326334</v>
      </c>
      <c r="N601" t="s">
        <v>17</v>
      </c>
    </row>
    <row r="602" spans="1:14" x14ac:dyDescent="0.25">
      <c r="A602" s="11" t="s">
        <v>946</v>
      </c>
      <c r="B602" s="6">
        <v>45541</v>
      </c>
      <c r="C602" s="11" t="s">
        <v>439</v>
      </c>
      <c r="D602" s="11" t="s">
        <v>31</v>
      </c>
      <c r="E602" s="11" t="s">
        <v>840</v>
      </c>
      <c r="F602" s="11" t="s">
        <v>833</v>
      </c>
      <c r="G602" s="7">
        <v>2</v>
      </c>
      <c r="H602" s="8">
        <v>64.62</v>
      </c>
      <c r="I602" s="13">
        <v>0.05</v>
      </c>
      <c r="J602" s="8">
        <f>(Table23[[#This Row],[Quantity]]*Table23[[#This Row],[Unit Price]])-(Table23[[#This Row],[Unit Price]]*Table23[[#This Row],[Dscount]])*Table23[[#This Row],[Quantity]]</f>
        <v>122.77800000000001</v>
      </c>
      <c r="K602" s="8">
        <v>105.658</v>
      </c>
      <c r="L602" s="8">
        <f>Table23[[#This Row],[Revenue]]-Table23[[#This Row],[Total Cost]]</f>
        <v>17.120000000000005</v>
      </c>
      <c r="M602" s="16">
        <f>(Table23[[#This Row],[Profit]]/Table23[[#This Row],[Revenue]])</f>
        <v>0.13943866164948121</v>
      </c>
      <c r="N602" t="s">
        <v>17</v>
      </c>
    </row>
    <row r="603" spans="1:14" x14ac:dyDescent="0.25">
      <c r="A603" s="11" t="s">
        <v>173</v>
      </c>
      <c r="B603" s="6">
        <v>45883</v>
      </c>
      <c r="C603" s="11" t="s">
        <v>174</v>
      </c>
      <c r="D603" s="11" t="s">
        <v>20</v>
      </c>
      <c r="E603" s="11" t="s">
        <v>15</v>
      </c>
      <c r="F603" s="11" t="s">
        <v>16</v>
      </c>
      <c r="G603" s="7">
        <v>1</v>
      </c>
      <c r="H603" s="8">
        <v>30.72</v>
      </c>
      <c r="I603" s="13">
        <v>0.05</v>
      </c>
      <c r="J603" s="8">
        <f>(Table23[[#This Row],[Quantity]]*Table23[[#This Row],[Unit Price]])-(Table23[[#This Row],[Unit Price]]*Table23[[#This Row],[Dscount]])*Table23[[#This Row],[Quantity]]</f>
        <v>29.183999999999997</v>
      </c>
      <c r="K603" s="8">
        <v>12.143999999999998</v>
      </c>
      <c r="L603" s="8">
        <f>Table23[[#This Row],[Revenue]]-Table23[[#This Row],[Total Cost]]</f>
        <v>17.04</v>
      </c>
      <c r="M603" s="16">
        <f>(Table23[[#This Row],[Profit]]/Table23[[#This Row],[Revenue]])</f>
        <v>0.58388157894736847</v>
      </c>
      <c r="N603" t="s">
        <v>17</v>
      </c>
    </row>
    <row r="604" spans="1:14" x14ac:dyDescent="0.25">
      <c r="A604" s="11" t="s">
        <v>171</v>
      </c>
      <c r="B604" s="6">
        <v>45897</v>
      </c>
      <c r="C604" s="11" t="s">
        <v>172</v>
      </c>
      <c r="D604" s="11" t="s">
        <v>24</v>
      </c>
      <c r="E604" s="11" t="s">
        <v>39</v>
      </c>
      <c r="F604" s="11" t="s">
        <v>16</v>
      </c>
      <c r="G604" s="7">
        <v>1</v>
      </c>
      <c r="H604" s="8">
        <v>26.72</v>
      </c>
      <c r="I604" s="13">
        <v>0</v>
      </c>
      <c r="J604" s="8">
        <f>(Table23[[#This Row],[Quantity]]*Table23[[#This Row],[Unit Price]])-(Table23[[#This Row],[Unit Price]]*Table23[[#This Row],[Dscount]])*Table23[[#This Row],[Quantity]]</f>
        <v>26.72</v>
      </c>
      <c r="K604" s="8">
        <v>9.86</v>
      </c>
      <c r="L604" s="8">
        <f>Table23[[#This Row],[Revenue]]-Table23[[#This Row],[Total Cost]]</f>
        <v>16.86</v>
      </c>
      <c r="M604" s="16">
        <f>(Table23[[#This Row],[Profit]]/Table23[[#This Row],[Revenue]])</f>
        <v>0.63098802395209586</v>
      </c>
      <c r="N604" t="s">
        <v>17</v>
      </c>
    </row>
    <row r="605" spans="1:14" x14ac:dyDescent="0.25">
      <c r="A605" s="11" t="s">
        <v>169</v>
      </c>
      <c r="B605" s="6">
        <v>45397</v>
      </c>
      <c r="C605" s="11" t="s">
        <v>170</v>
      </c>
      <c r="D605" s="11" t="s">
        <v>31</v>
      </c>
      <c r="E605" s="11" t="s">
        <v>28</v>
      </c>
      <c r="F605" s="11" t="s">
        <v>16</v>
      </c>
      <c r="G605" s="7">
        <v>1</v>
      </c>
      <c r="H605" s="8">
        <v>31.32</v>
      </c>
      <c r="I605" s="13">
        <v>0.15</v>
      </c>
      <c r="J605" s="8">
        <f>(Table23[[#This Row],[Quantity]]*Table23[[#This Row],[Unit Price]])-(Table23[[#This Row],[Unit Price]]*Table23[[#This Row],[Dscount]])*Table23[[#This Row],[Quantity]]</f>
        <v>26.622</v>
      </c>
      <c r="K605" s="8">
        <v>9.8520000000000003</v>
      </c>
      <c r="L605" s="8">
        <f>Table23[[#This Row],[Revenue]]-Table23[[#This Row],[Total Cost]]</f>
        <v>16.77</v>
      </c>
      <c r="M605" s="16">
        <f>(Table23[[#This Row],[Profit]]/Table23[[#This Row],[Revenue]])</f>
        <v>0.62993013297272926</v>
      </c>
      <c r="N605" t="s">
        <v>48</v>
      </c>
    </row>
    <row r="606" spans="1:14" x14ac:dyDescent="0.25">
      <c r="A606" s="11" t="s">
        <v>1260</v>
      </c>
      <c r="B606" s="6">
        <v>45424</v>
      </c>
      <c r="C606" s="11" t="s">
        <v>1261</v>
      </c>
      <c r="D606" s="11" t="s">
        <v>36</v>
      </c>
      <c r="E606" s="11" t="s">
        <v>1184</v>
      </c>
      <c r="F606" s="11" t="s">
        <v>1112</v>
      </c>
      <c r="G606" s="7">
        <v>3</v>
      </c>
      <c r="H606" s="8">
        <v>23.35</v>
      </c>
      <c r="I606" s="13">
        <v>0.05</v>
      </c>
      <c r="J606" s="8">
        <f>(Table23[[#This Row],[Quantity]]*Table23[[#This Row],[Unit Price]])-(Table23[[#This Row],[Unit Price]]*Table23[[#This Row],[Dscount]])*Table23[[#This Row],[Quantity]]</f>
        <v>66.547500000000014</v>
      </c>
      <c r="K606" s="8">
        <v>49.837500000000013</v>
      </c>
      <c r="L606" s="8">
        <f>Table23[[#This Row],[Revenue]]-Table23[[#This Row],[Total Cost]]</f>
        <v>16.71</v>
      </c>
      <c r="M606" s="16">
        <f>(Table23[[#This Row],[Profit]]/Table23[[#This Row],[Revenue]])</f>
        <v>0.25109883917502535</v>
      </c>
      <c r="N606" t="s">
        <v>33</v>
      </c>
    </row>
    <row r="607" spans="1:14" x14ac:dyDescent="0.25">
      <c r="A607" s="11" t="s">
        <v>167</v>
      </c>
      <c r="B607" s="6">
        <v>45696</v>
      </c>
      <c r="C607" s="11" t="s">
        <v>168</v>
      </c>
      <c r="D607" s="11" t="s">
        <v>20</v>
      </c>
      <c r="E607" s="11" t="s">
        <v>68</v>
      </c>
      <c r="F607" s="11" t="s">
        <v>16</v>
      </c>
      <c r="G607" s="7">
        <v>1</v>
      </c>
      <c r="H607" s="8">
        <v>34.17</v>
      </c>
      <c r="I607" s="13">
        <v>0</v>
      </c>
      <c r="J607" s="8">
        <f>(Table23[[#This Row],[Quantity]]*Table23[[#This Row],[Unit Price]])-(Table23[[#This Row],[Unit Price]]*Table23[[#This Row],[Dscount]])*Table23[[#This Row],[Quantity]]</f>
        <v>34.17</v>
      </c>
      <c r="K607" s="8">
        <v>17.470000000000002</v>
      </c>
      <c r="L607" s="8">
        <f>Table23[[#This Row],[Revenue]]-Table23[[#This Row],[Total Cost]]</f>
        <v>16.7</v>
      </c>
      <c r="M607" s="16">
        <f>(Table23[[#This Row],[Profit]]/Table23[[#This Row],[Revenue]])</f>
        <v>0.48873280655545798</v>
      </c>
      <c r="N607" t="s">
        <v>33</v>
      </c>
    </row>
    <row r="608" spans="1:14" x14ac:dyDescent="0.25">
      <c r="A608" s="11" t="s">
        <v>944</v>
      </c>
      <c r="B608" s="6">
        <v>45648</v>
      </c>
      <c r="C608" s="11" t="s">
        <v>945</v>
      </c>
      <c r="D608" s="11" t="s">
        <v>36</v>
      </c>
      <c r="E608" s="11" t="s">
        <v>860</v>
      </c>
      <c r="F608" s="11" t="s">
        <v>833</v>
      </c>
      <c r="G608" s="7">
        <v>3</v>
      </c>
      <c r="H608" s="8">
        <v>55.23</v>
      </c>
      <c r="I608" s="13">
        <v>0.15</v>
      </c>
      <c r="J608" s="8">
        <f>(Table23[[#This Row],[Quantity]]*Table23[[#This Row],[Unit Price]])-(Table23[[#This Row],[Unit Price]]*Table23[[#This Row],[Dscount]])*Table23[[#This Row],[Quantity]]</f>
        <v>140.8365</v>
      </c>
      <c r="K608" s="8">
        <v>124.1465</v>
      </c>
      <c r="L608" s="8">
        <f>Table23[[#This Row],[Revenue]]-Table23[[#This Row],[Total Cost]]</f>
        <v>16.689999999999998</v>
      </c>
      <c r="M608" s="16">
        <f>(Table23[[#This Row],[Profit]]/Table23[[#This Row],[Revenue]])</f>
        <v>0.1185062111029456</v>
      </c>
      <c r="N608" t="s">
        <v>33</v>
      </c>
    </row>
    <row r="609" spans="1:14" x14ac:dyDescent="0.25">
      <c r="A609" s="11" t="s">
        <v>1258</v>
      </c>
      <c r="B609" s="6">
        <v>45677</v>
      </c>
      <c r="C609" s="11" t="s">
        <v>1259</v>
      </c>
      <c r="D609" s="11" t="s">
        <v>20</v>
      </c>
      <c r="E609" s="11" t="s">
        <v>1111</v>
      </c>
      <c r="F609" s="11" t="s">
        <v>1112</v>
      </c>
      <c r="G609" s="7">
        <v>1</v>
      </c>
      <c r="H609" s="8">
        <v>52.33</v>
      </c>
      <c r="I609" s="13">
        <v>0.05</v>
      </c>
      <c r="J609" s="8">
        <f>(Table23[[#This Row],[Quantity]]*Table23[[#This Row],[Unit Price]])-(Table23[[#This Row],[Unit Price]]*Table23[[#This Row],[Dscount]])*Table23[[#This Row],[Quantity]]</f>
        <v>49.713499999999996</v>
      </c>
      <c r="K609" s="8">
        <v>33.033499999999997</v>
      </c>
      <c r="L609" s="8">
        <f>Table23[[#This Row],[Revenue]]-Table23[[#This Row],[Total Cost]]</f>
        <v>16.68</v>
      </c>
      <c r="M609" s="16">
        <f>(Table23[[#This Row],[Profit]]/Table23[[#This Row],[Revenue]])</f>
        <v>0.33552254417814076</v>
      </c>
      <c r="N609" t="s">
        <v>17</v>
      </c>
    </row>
    <row r="610" spans="1:14" x14ac:dyDescent="0.25">
      <c r="A610" s="11" t="s">
        <v>165</v>
      </c>
      <c r="B610" s="6">
        <v>45581</v>
      </c>
      <c r="C610" s="11" t="s">
        <v>166</v>
      </c>
      <c r="D610" s="11" t="s">
        <v>36</v>
      </c>
      <c r="E610" s="11" t="s">
        <v>53</v>
      </c>
      <c r="F610" s="11" t="s">
        <v>16</v>
      </c>
      <c r="G610" s="7">
        <v>2</v>
      </c>
      <c r="H610" s="8">
        <v>13.14</v>
      </c>
      <c r="I610" s="13">
        <v>0</v>
      </c>
      <c r="J610" s="8">
        <f>(Table23[[#This Row],[Quantity]]*Table23[[#This Row],[Unit Price]])-(Table23[[#This Row],[Unit Price]]*Table23[[#This Row],[Dscount]])*Table23[[#This Row],[Quantity]]</f>
        <v>26.28</v>
      </c>
      <c r="K610" s="8">
        <v>9.6500000000000021</v>
      </c>
      <c r="L610" s="8">
        <f>Table23[[#This Row],[Revenue]]-Table23[[#This Row],[Total Cost]]</f>
        <v>16.63</v>
      </c>
      <c r="M610" s="16">
        <f>(Table23[[#This Row],[Profit]]/Table23[[#This Row],[Revenue]])</f>
        <v>0.63280060882800604</v>
      </c>
      <c r="N610" t="s">
        <v>33</v>
      </c>
    </row>
    <row r="611" spans="1:14" x14ac:dyDescent="0.25">
      <c r="A611" s="11" t="s">
        <v>1628</v>
      </c>
      <c r="B611" s="6">
        <v>45455</v>
      </c>
      <c r="C611" s="11" t="s">
        <v>337</v>
      </c>
      <c r="D611" s="11" t="s">
        <v>24</v>
      </c>
      <c r="E611" s="11" t="s">
        <v>1416</v>
      </c>
      <c r="F611" s="11" t="s">
        <v>1417</v>
      </c>
      <c r="G611" s="7">
        <v>3</v>
      </c>
      <c r="H611" s="8">
        <v>25.66</v>
      </c>
      <c r="I611" s="13">
        <v>0.1</v>
      </c>
      <c r="J611" s="8">
        <f>(Table23[[#This Row],[Quantity]]*Table23[[#This Row],[Unit Price]])-(Table23[[#This Row],[Unit Price]]*Table23[[#This Row],[Dscount]])*Table23[[#This Row],[Quantity]]</f>
        <v>69.282000000000011</v>
      </c>
      <c r="K611" s="8">
        <v>52.652000000000015</v>
      </c>
      <c r="L611" s="8">
        <f>Table23[[#This Row],[Revenue]]-Table23[[#This Row],[Total Cost]]</f>
        <v>16.629999999999995</v>
      </c>
      <c r="M611" s="16">
        <f>(Table23[[#This Row],[Profit]]/Table23[[#This Row],[Revenue]])</f>
        <v>0.2400334863312259</v>
      </c>
      <c r="N611" t="s">
        <v>33</v>
      </c>
    </row>
    <row r="612" spans="1:14" x14ac:dyDescent="0.25">
      <c r="A612" s="11" t="s">
        <v>555</v>
      </c>
      <c r="B612" s="6">
        <v>45789</v>
      </c>
      <c r="C612" s="11" t="s">
        <v>556</v>
      </c>
      <c r="D612" s="11" t="s">
        <v>20</v>
      </c>
      <c r="E612" s="11" t="s">
        <v>496</v>
      </c>
      <c r="F612" s="11" t="s">
        <v>480</v>
      </c>
      <c r="G612" s="7">
        <v>2</v>
      </c>
      <c r="H612" s="8">
        <v>24.25</v>
      </c>
      <c r="I612" s="13">
        <v>0.15</v>
      </c>
      <c r="J612" s="8">
        <f>(Table23[[#This Row],[Quantity]]*Table23[[#This Row],[Unit Price]])-(Table23[[#This Row],[Unit Price]]*Table23[[#This Row],[Dscount]])*Table23[[#This Row],[Quantity]]</f>
        <v>41.225000000000001</v>
      </c>
      <c r="K612" s="8">
        <v>24.665000000000003</v>
      </c>
      <c r="L612" s="8">
        <f>Table23[[#This Row],[Revenue]]-Table23[[#This Row],[Total Cost]]</f>
        <v>16.559999999999999</v>
      </c>
      <c r="M612" s="16">
        <f>(Table23[[#This Row],[Profit]]/Table23[[#This Row],[Revenue]])</f>
        <v>0.40169799878714368</v>
      </c>
      <c r="N612" t="s">
        <v>17</v>
      </c>
    </row>
    <row r="613" spans="1:14" x14ac:dyDescent="0.25">
      <c r="A613" s="11" t="s">
        <v>163</v>
      </c>
      <c r="B613" s="6">
        <v>46016</v>
      </c>
      <c r="C613" s="11" t="s">
        <v>164</v>
      </c>
      <c r="D613" s="11" t="s">
        <v>36</v>
      </c>
      <c r="E613" s="11" t="s">
        <v>68</v>
      </c>
      <c r="F613" s="11" t="s">
        <v>16</v>
      </c>
      <c r="G613" s="7">
        <v>3</v>
      </c>
      <c r="H613" s="8">
        <v>11.33</v>
      </c>
      <c r="I613" s="13">
        <v>0.05</v>
      </c>
      <c r="J613" s="8">
        <f>(Table23[[#This Row],[Quantity]]*Table23[[#This Row],[Unit Price]])-(Table23[[#This Row],[Unit Price]]*Table23[[#This Row],[Dscount]])*Table23[[#This Row],[Quantity]]</f>
        <v>32.290500000000002</v>
      </c>
      <c r="K613" s="8">
        <v>15.750500000000002</v>
      </c>
      <c r="L613" s="8">
        <f>Table23[[#This Row],[Revenue]]-Table23[[#This Row],[Total Cost]]</f>
        <v>16.54</v>
      </c>
      <c r="M613" s="16">
        <f>(Table23[[#This Row],[Profit]]/Table23[[#This Row],[Revenue]])</f>
        <v>0.51222495780492705</v>
      </c>
      <c r="N613" t="s">
        <v>33</v>
      </c>
    </row>
    <row r="614" spans="1:14" x14ac:dyDescent="0.25">
      <c r="A614" s="11" t="s">
        <v>553</v>
      </c>
      <c r="B614" s="6">
        <v>45608</v>
      </c>
      <c r="C614" s="11" t="s">
        <v>554</v>
      </c>
      <c r="D614" s="11" t="s">
        <v>20</v>
      </c>
      <c r="E614" s="11" t="s">
        <v>483</v>
      </c>
      <c r="F614" s="11" t="s">
        <v>480</v>
      </c>
      <c r="G614" s="7">
        <v>1</v>
      </c>
      <c r="H614" s="8">
        <v>49.4</v>
      </c>
      <c r="I614" s="13">
        <v>0.15</v>
      </c>
      <c r="J614" s="8">
        <f>(Table23[[#This Row],[Quantity]]*Table23[[#This Row],[Unit Price]])-(Table23[[#This Row],[Unit Price]]*Table23[[#This Row],[Dscount]])*Table23[[#This Row],[Quantity]]</f>
        <v>41.99</v>
      </c>
      <c r="K614" s="8">
        <v>25.590000000000003</v>
      </c>
      <c r="L614" s="8">
        <f>Table23[[#This Row],[Revenue]]-Table23[[#This Row],[Total Cost]]</f>
        <v>16.399999999999999</v>
      </c>
      <c r="M614" s="16">
        <f>(Table23[[#This Row],[Profit]]/Table23[[#This Row],[Revenue]])</f>
        <v>0.39056918313884254</v>
      </c>
      <c r="N614" t="s">
        <v>48</v>
      </c>
    </row>
    <row r="615" spans="1:14" x14ac:dyDescent="0.25">
      <c r="A615" s="11" t="s">
        <v>161</v>
      </c>
      <c r="B615" s="6">
        <v>45855</v>
      </c>
      <c r="C615" s="11" t="s">
        <v>162</v>
      </c>
      <c r="D615" s="11" t="s">
        <v>14</v>
      </c>
      <c r="E615" s="11" t="s">
        <v>39</v>
      </c>
      <c r="F615" s="11" t="s">
        <v>16</v>
      </c>
      <c r="G615" s="7">
        <v>2</v>
      </c>
      <c r="H615" s="8">
        <v>15.66</v>
      </c>
      <c r="I615" s="13">
        <v>0.1</v>
      </c>
      <c r="J615" s="8">
        <f>(Table23[[#This Row],[Quantity]]*Table23[[#This Row],[Unit Price]])-(Table23[[#This Row],[Unit Price]]*Table23[[#This Row],[Dscount]])*Table23[[#This Row],[Quantity]]</f>
        <v>28.187999999999999</v>
      </c>
      <c r="K615" s="8">
        <v>11.827999999999999</v>
      </c>
      <c r="L615" s="8">
        <f>Table23[[#This Row],[Revenue]]-Table23[[#This Row],[Total Cost]]</f>
        <v>16.36</v>
      </c>
      <c r="M615" s="16">
        <f>(Table23[[#This Row],[Profit]]/Table23[[#This Row],[Revenue]])</f>
        <v>0.58038881793671071</v>
      </c>
      <c r="N615" t="s">
        <v>33</v>
      </c>
    </row>
    <row r="616" spans="1:14" x14ac:dyDescent="0.25">
      <c r="A616" s="11" t="s">
        <v>159</v>
      </c>
      <c r="B616" s="6">
        <v>45835</v>
      </c>
      <c r="C616" s="11" t="s">
        <v>160</v>
      </c>
      <c r="D616" s="11" t="s">
        <v>31</v>
      </c>
      <c r="E616" s="11" t="s">
        <v>53</v>
      </c>
      <c r="F616" s="11" t="s">
        <v>16</v>
      </c>
      <c r="G616" s="7">
        <v>1</v>
      </c>
      <c r="H616" s="8">
        <v>27.38</v>
      </c>
      <c r="I616" s="13">
        <v>0</v>
      </c>
      <c r="J616" s="8">
        <f>(Table23[[#This Row],[Quantity]]*Table23[[#This Row],[Unit Price]])-(Table23[[#This Row],[Unit Price]]*Table23[[#This Row],[Dscount]])*Table23[[#This Row],[Quantity]]</f>
        <v>27.38</v>
      </c>
      <c r="K616" s="8">
        <v>11.05</v>
      </c>
      <c r="L616" s="8">
        <f>Table23[[#This Row],[Revenue]]-Table23[[#This Row],[Total Cost]]</f>
        <v>16.329999999999998</v>
      </c>
      <c r="M616" s="16">
        <f>(Table23[[#This Row],[Profit]]/Table23[[#This Row],[Revenue]])</f>
        <v>0.59642074506939369</v>
      </c>
      <c r="N616" t="s">
        <v>33</v>
      </c>
    </row>
    <row r="617" spans="1:14" x14ac:dyDescent="0.25">
      <c r="A617" s="11" t="s">
        <v>551</v>
      </c>
      <c r="B617" s="6">
        <v>45463</v>
      </c>
      <c r="C617" s="11" t="s">
        <v>552</v>
      </c>
      <c r="D617" s="11" t="s">
        <v>20</v>
      </c>
      <c r="E617" s="11" t="s">
        <v>505</v>
      </c>
      <c r="F617" s="11" t="s">
        <v>480</v>
      </c>
      <c r="G617" s="7">
        <v>1</v>
      </c>
      <c r="H617" s="8">
        <v>46.46</v>
      </c>
      <c r="I617" s="13">
        <v>0.15</v>
      </c>
      <c r="J617" s="8">
        <f>(Table23[[#This Row],[Quantity]]*Table23[[#This Row],[Unit Price]])-(Table23[[#This Row],[Unit Price]]*Table23[[#This Row],[Dscount]])*Table23[[#This Row],[Quantity]]</f>
        <v>39.491</v>
      </c>
      <c r="K617" s="8">
        <v>23.230999999999998</v>
      </c>
      <c r="L617" s="8">
        <f>Table23[[#This Row],[Revenue]]-Table23[[#This Row],[Total Cost]]</f>
        <v>16.260000000000002</v>
      </c>
      <c r="M617" s="16">
        <f>(Table23[[#This Row],[Profit]]/Table23[[#This Row],[Revenue]])</f>
        <v>0.41173938365703583</v>
      </c>
      <c r="N617" t="s">
        <v>33</v>
      </c>
    </row>
    <row r="618" spans="1:14" x14ac:dyDescent="0.25">
      <c r="A618" s="11" t="s">
        <v>1256</v>
      </c>
      <c r="B618" s="6">
        <v>45310</v>
      </c>
      <c r="C618" s="11" t="s">
        <v>1257</v>
      </c>
      <c r="D618" s="11" t="s">
        <v>14</v>
      </c>
      <c r="E618" s="11" t="s">
        <v>1117</v>
      </c>
      <c r="F618" s="11" t="s">
        <v>1112</v>
      </c>
      <c r="G618" s="7">
        <v>1</v>
      </c>
      <c r="H618" s="8">
        <v>77.239999999999995</v>
      </c>
      <c r="I618" s="13">
        <v>0</v>
      </c>
      <c r="J618" s="8">
        <f>(Table23[[#This Row],[Quantity]]*Table23[[#This Row],[Unit Price]])-(Table23[[#This Row],[Unit Price]]*Table23[[#This Row],[Dscount]])*Table23[[#This Row],[Quantity]]</f>
        <v>77.239999999999995</v>
      </c>
      <c r="K618" s="8">
        <v>61.059999999999995</v>
      </c>
      <c r="L618" s="8">
        <f>Table23[[#This Row],[Revenue]]-Table23[[#This Row],[Total Cost]]</f>
        <v>16.18</v>
      </c>
      <c r="M618" s="16">
        <f>(Table23[[#This Row],[Profit]]/Table23[[#This Row],[Revenue]])</f>
        <v>0.20947695494562404</v>
      </c>
      <c r="N618" t="s">
        <v>33</v>
      </c>
    </row>
    <row r="619" spans="1:14" x14ac:dyDescent="0.25">
      <c r="A619" s="11" t="s">
        <v>549</v>
      </c>
      <c r="B619" s="6">
        <v>45470</v>
      </c>
      <c r="C619" s="11" t="s">
        <v>550</v>
      </c>
      <c r="D619" s="11" t="s">
        <v>14</v>
      </c>
      <c r="E619" s="11" t="s">
        <v>486</v>
      </c>
      <c r="F619" s="11" t="s">
        <v>480</v>
      </c>
      <c r="G619" s="7">
        <v>1</v>
      </c>
      <c r="H619" s="8">
        <v>29.71</v>
      </c>
      <c r="I619" s="13">
        <v>0</v>
      </c>
      <c r="J619" s="8">
        <f>(Table23[[#This Row],[Quantity]]*Table23[[#This Row],[Unit Price]])-(Table23[[#This Row],[Unit Price]]*Table23[[#This Row],[Dscount]])*Table23[[#This Row],[Quantity]]</f>
        <v>29.71</v>
      </c>
      <c r="K619" s="8">
        <v>13.560000000000002</v>
      </c>
      <c r="L619" s="8">
        <f>Table23[[#This Row],[Revenue]]-Table23[[#This Row],[Total Cost]]</f>
        <v>16.149999999999999</v>
      </c>
      <c r="M619" s="16">
        <f>(Table23[[#This Row],[Profit]]/Table23[[#This Row],[Revenue]])</f>
        <v>0.54358801750252439</v>
      </c>
      <c r="N619" t="s">
        <v>33</v>
      </c>
    </row>
    <row r="620" spans="1:14" x14ac:dyDescent="0.25">
      <c r="A620" s="11" t="s">
        <v>157</v>
      </c>
      <c r="B620" s="6">
        <v>45673</v>
      </c>
      <c r="C620" s="11" t="s">
        <v>158</v>
      </c>
      <c r="D620" s="11" t="s">
        <v>14</v>
      </c>
      <c r="E620" s="11" t="s">
        <v>44</v>
      </c>
      <c r="F620" s="11" t="s">
        <v>16</v>
      </c>
      <c r="G620" s="7">
        <v>1</v>
      </c>
      <c r="H620" s="8">
        <v>40.47</v>
      </c>
      <c r="I620" s="13">
        <v>0.1</v>
      </c>
      <c r="J620" s="8">
        <f>(Table23[[#This Row],[Quantity]]*Table23[[#This Row],[Unit Price]])-(Table23[[#This Row],[Unit Price]]*Table23[[#This Row],[Dscount]])*Table23[[#This Row],[Quantity]]</f>
        <v>36.423000000000002</v>
      </c>
      <c r="K620" s="8">
        <v>20.313000000000002</v>
      </c>
      <c r="L620" s="8">
        <f>Table23[[#This Row],[Revenue]]-Table23[[#This Row],[Total Cost]]</f>
        <v>16.11</v>
      </c>
      <c r="M620" s="16">
        <f>(Table23[[#This Row],[Profit]]/Table23[[#This Row],[Revenue]])</f>
        <v>0.4423029404497158</v>
      </c>
      <c r="N620" t="s">
        <v>17</v>
      </c>
    </row>
    <row r="621" spans="1:14" x14ac:dyDescent="0.25">
      <c r="A621" s="11" t="s">
        <v>1626</v>
      </c>
      <c r="B621" s="6">
        <v>45319</v>
      </c>
      <c r="C621" s="11" t="s">
        <v>1627</v>
      </c>
      <c r="D621" s="11" t="s">
        <v>20</v>
      </c>
      <c r="E621" s="11" t="s">
        <v>1416</v>
      </c>
      <c r="F621" s="11" t="s">
        <v>1417</v>
      </c>
      <c r="G621" s="7">
        <v>3</v>
      </c>
      <c r="H621" s="8">
        <v>20.239999999999998</v>
      </c>
      <c r="I621" s="13">
        <v>0.1</v>
      </c>
      <c r="J621" s="8">
        <f>(Table23[[#This Row],[Quantity]]*Table23[[#This Row],[Unit Price]])-(Table23[[#This Row],[Unit Price]]*Table23[[#This Row],[Dscount]])*Table23[[#This Row],[Quantity]]</f>
        <v>54.647999999999996</v>
      </c>
      <c r="K621" s="8">
        <v>38.557999999999993</v>
      </c>
      <c r="L621" s="8">
        <f>Table23[[#This Row],[Revenue]]-Table23[[#This Row],[Total Cost]]</f>
        <v>16.090000000000003</v>
      </c>
      <c r="M621" s="16">
        <f>(Table23[[#This Row],[Profit]]/Table23[[#This Row],[Revenue]])</f>
        <v>0.29442980529937057</v>
      </c>
      <c r="N621" t="s">
        <v>17</v>
      </c>
    </row>
    <row r="622" spans="1:14" x14ac:dyDescent="0.25">
      <c r="A622" s="11" t="s">
        <v>547</v>
      </c>
      <c r="B622" s="6">
        <v>45886</v>
      </c>
      <c r="C622" s="11" t="s">
        <v>548</v>
      </c>
      <c r="D622" s="11" t="s">
        <v>14</v>
      </c>
      <c r="E622" s="11" t="s">
        <v>546</v>
      </c>
      <c r="F622" s="11" t="s">
        <v>480</v>
      </c>
      <c r="G622" s="7">
        <v>1</v>
      </c>
      <c r="H622" s="8">
        <v>55.15</v>
      </c>
      <c r="I622" s="13">
        <v>0.2</v>
      </c>
      <c r="J622" s="8">
        <f>(Table23[[#This Row],[Quantity]]*Table23[[#This Row],[Unit Price]])-(Table23[[#This Row],[Unit Price]]*Table23[[#This Row],[Dscount]])*Table23[[#This Row],[Quantity]]</f>
        <v>44.12</v>
      </c>
      <c r="K622" s="8">
        <v>28.04</v>
      </c>
      <c r="L622" s="8">
        <f>Table23[[#This Row],[Revenue]]-Table23[[#This Row],[Total Cost]]</f>
        <v>16.079999999999998</v>
      </c>
      <c r="M622" s="16">
        <f>(Table23[[#This Row],[Profit]]/Table23[[#This Row],[Revenue]])</f>
        <v>0.36446056210335448</v>
      </c>
      <c r="N622" t="s">
        <v>33</v>
      </c>
    </row>
    <row r="623" spans="1:14" x14ac:dyDescent="0.25">
      <c r="A623" s="11" t="s">
        <v>1623</v>
      </c>
      <c r="B623" s="6">
        <v>45637</v>
      </c>
      <c r="C623" s="11" t="s">
        <v>1624</v>
      </c>
      <c r="D623" s="11" t="s">
        <v>24</v>
      </c>
      <c r="E623" s="11" t="s">
        <v>1457</v>
      </c>
      <c r="F623" s="11" t="s">
        <v>1417</v>
      </c>
      <c r="G623" s="7">
        <v>2</v>
      </c>
      <c r="H623" s="8">
        <v>29.26</v>
      </c>
      <c r="I623" s="13">
        <v>0.05</v>
      </c>
      <c r="J623" s="8">
        <f>(Table23[[#This Row],[Quantity]]*Table23[[#This Row],[Unit Price]])-(Table23[[#This Row],[Unit Price]]*Table23[[#This Row],[Dscount]])*Table23[[#This Row],[Quantity]]</f>
        <v>55.594000000000001</v>
      </c>
      <c r="K623" s="8">
        <v>39.554000000000002</v>
      </c>
      <c r="L623" s="8">
        <f>Table23[[#This Row],[Revenue]]-Table23[[#This Row],[Total Cost]]</f>
        <v>16.04</v>
      </c>
      <c r="M623" s="16">
        <f>(Table23[[#This Row],[Profit]]/Table23[[#This Row],[Revenue]])</f>
        <v>0.28852034392200593</v>
      </c>
      <c r="N623" t="s">
        <v>33</v>
      </c>
    </row>
    <row r="624" spans="1:14" x14ac:dyDescent="0.25">
      <c r="A624" s="11" t="s">
        <v>1625</v>
      </c>
      <c r="B624" s="6">
        <v>45918</v>
      </c>
      <c r="C624" s="11" t="s">
        <v>1549</v>
      </c>
      <c r="D624" s="11" t="s">
        <v>24</v>
      </c>
      <c r="E624" s="11" t="s">
        <v>1443</v>
      </c>
      <c r="F624" s="11" t="s">
        <v>1417</v>
      </c>
      <c r="G624" s="7">
        <v>2</v>
      </c>
      <c r="H624" s="8">
        <v>28.96</v>
      </c>
      <c r="I624" s="13">
        <v>0</v>
      </c>
      <c r="J624" s="8">
        <f>(Table23[[#This Row],[Quantity]]*Table23[[#This Row],[Unit Price]])-(Table23[[#This Row],[Unit Price]]*Table23[[#This Row],[Dscount]])*Table23[[#This Row],[Quantity]]</f>
        <v>57.92</v>
      </c>
      <c r="K624" s="8">
        <v>41.88</v>
      </c>
      <c r="L624" s="8">
        <f>Table23[[#This Row],[Revenue]]-Table23[[#This Row],[Total Cost]]</f>
        <v>16.04</v>
      </c>
      <c r="M624" s="16">
        <f>(Table23[[#This Row],[Profit]]/Table23[[#This Row],[Revenue]])</f>
        <v>0.27693370165745856</v>
      </c>
      <c r="N624" t="s">
        <v>48</v>
      </c>
    </row>
    <row r="625" spans="1:14" x14ac:dyDescent="0.25">
      <c r="A625" s="11" t="s">
        <v>155</v>
      </c>
      <c r="B625" s="6">
        <v>45566</v>
      </c>
      <c r="C625" s="11" t="s">
        <v>156</v>
      </c>
      <c r="D625" s="11" t="s">
        <v>14</v>
      </c>
      <c r="E625" s="11" t="s">
        <v>68</v>
      </c>
      <c r="F625" s="11" t="s">
        <v>16</v>
      </c>
      <c r="G625" s="7">
        <v>1</v>
      </c>
      <c r="H625" s="8">
        <v>25.96</v>
      </c>
      <c r="I625" s="13">
        <v>0</v>
      </c>
      <c r="J625" s="8">
        <f>(Table23[[#This Row],[Quantity]]*Table23[[#This Row],[Unit Price]])-(Table23[[#This Row],[Unit Price]]*Table23[[#This Row],[Dscount]])*Table23[[#This Row],[Quantity]]</f>
        <v>25.96</v>
      </c>
      <c r="K625" s="8">
        <v>9.99</v>
      </c>
      <c r="L625" s="8">
        <f>Table23[[#This Row],[Revenue]]-Table23[[#This Row],[Total Cost]]</f>
        <v>15.97</v>
      </c>
      <c r="M625" s="16">
        <f>(Table23[[#This Row],[Profit]]/Table23[[#This Row],[Revenue]])</f>
        <v>0.61517719568567031</v>
      </c>
      <c r="N625" t="s">
        <v>48</v>
      </c>
    </row>
    <row r="626" spans="1:14" x14ac:dyDescent="0.25">
      <c r="A626" s="11" t="s">
        <v>1254</v>
      </c>
      <c r="B626" s="6">
        <v>45990</v>
      </c>
      <c r="C626" s="11" t="s">
        <v>1255</v>
      </c>
      <c r="D626" s="11" t="s">
        <v>31</v>
      </c>
      <c r="E626" s="11" t="s">
        <v>1128</v>
      </c>
      <c r="F626" s="11" t="s">
        <v>1112</v>
      </c>
      <c r="G626" s="7">
        <v>2</v>
      </c>
      <c r="H626" s="8">
        <v>30.57</v>
      </c>
      <c r="I626" s="13">
        <v>0.05</v>
      </c>
      <c r="J626" s="8">
        <f>(Table23[[#This Row],[Quantity]]*Table23[[#This Row],[Unit Price]])-(Table23[[#This Row],[Unit Price]]*Table23[[#This Row],[Dscount]])*Table23[[#This Row],[Quantity]]</f>
        <v>58.082999999999998</v>
      </c>
      <c r="K626" s="8">
        <v>42.132999999999996</v>
      </c>
      <c r="L626" s="8">
        <f>Table23[[#This Row],[Revenue]]-Table23[[#This Row],[Total Cost]]</f>
        <v>15.950000000000003</v>
      </c>
      <c r="M626" s="16">
        <f>(Table23[[#This Row],[Profit]]/Table23[[#This Row],[Revenue]])</f>
        <v>0.27460702787390462</v>
      </c>
      <c r="N626" t="s">
        <v>33</v>
      </c>
    </row>
    <row r="627" spans="1:14" x14ac:dyDescent="0.25">
      <c r="A627" s="11" t="s">
        <v>1621</v>
      </c>
      <c r="B627" s="6">
        <v>45874</v>
      </c>
      <c r="C627" s="11" t="s">
        <v>1622</v>
      </c>
      <c r="D627" s="11" t="s">
        <v>24</v>
      </c>
      <c r="E627" s="11" t="s">
        <v>1439</v>
      </c>
      <c r="F627" s="11" t="s">
        <v>1417</v>
      </c>
      <c r="G627" s="7">
        <v>1</v>
      </c>
      <c r="H627" s="8">
        <v>48.05</v>
      </c>
      <c r="I627" s="13">
        <v>0.05</v>
      </c>
      <c r="J627" s="8">
        <f>(Table23[[#This Row],[Quantity]]*Table23[[#This Row],[Unit Price]])-(Table23[[#This Row],[Unit Price]]*Table23[[#This Row],[Dscount]])*Table23[[#This Row],[Quantity]]</f>
        <v>45.647499999999994</v>
      </c>
      <c r="K627" s="8">
        <v>29.757499999999993</v>
      </c>
      <c r="L627" s="8">
        <f>Table23[[#This Row],[Revenue]]-Table23[[#This Row],[Total Cost]]</f>
        <v>15.89</v>
      </c>
      <c r="M627" s="16">
        <f>(Table23[[#This Row],[Profit]]/Table23[[#This Row],[Revenue]])</f>
        <v>0.34810230571225154</v>
      </c>
      <c r="N627" t="s">
        <v>17</v>
      </c>
    </row>
    <row r="628" spans="1:14" x14ac:dyDescent="0.25">
      <c r="A628" s="11" t="s">
        <v>544</v>
      </c>
      <c r="B628" s="6">
        <v>45461</v>
      </c>
      <c r="C628" s="11" t="s">
        <v>545</v>
      </c>
      <c r="D628" s="11" t="s">
        <v>36</v>
      </c>
      <c r="E628" s="11" t="s">
        <v>546</v>
      </c>
      <c r="F628" s="11" t="s">
        <v>480</v>
      </c>
      <c r="G628" s="7">
        <v>2</v>
      </c>
      <c r="H628" s="8">
        <v>23.98</v>
      </c>
      <c r="I628" s="13">
        <v>0</v>
      </c>
      <c r="J628" s="8">
        <f>(Table23[[#This Row],[Quantity]]*Table23[[#This Row],[Unit Price]])-(Table23[[#This Row],[Unit Price]]*Table23[[#This Row],[Dscount]])*Table23[[#This Row],[Quantity]]</f>
        <v>47.96</v>
      </c>
      <c r="K628" s="8">
        <v>32.090000000000003</v>
      </c>
      <c r="L628" s="8">
        <f>Table23[[#This Row],[Revenue]]-Table23[[#This Row],[Total Cost]]</f>
        <v>15.869999999999997</v>
      </c>
      <c r="M628" s="16">
        <f>(Table23[[#This Row],[Profit]]/Table23[[#This Row],[Revenue]])</f>
        <v>0.33090075062552121</v>
      </c>
      <c r="N628" t="s">
        <v>33</v>
      </c>
    </row>
    <row r="629" spans="1:14" x14ac:dyDescent="0.25">
      <c r="A629" s="11" t="s">
        <v>1619</v>
      </c>
      <c r="B629" s="6">
        <v>45819</v>
      </c>
      <c r="C629" s="11" t="s">
        <v>1620</v>
      </c>
      <c r="D629" s="11" t="s">
        <v>20</v>
      </c>
      <c r="E629" s="11" t="s">
        <v>1436</v>
      </c>
      <c r="F629" s="11" t="s">
        <v>1417</v>
      </c>
      <c r="G629" s="7">
        <v>1</v>
      </c>
      <c r="H629" s="8">
        <v>58.35</v>
      </c>
      <c r="I629" s="13">
        <v>0.2</v>
      </c>
      <c r="J629" s="8">
        <f>(Table23[[#This Row],[Quantity]]*Table23[[#This Row],[Unit Price]])-(Table23[[#This Row],[Unit Price]]*Table23[[#This Row],[Dscount]])*Table23[[#This Row],[Quantity]]</f>
        <v>46.68</v>
      </c>
      <c r="K629" s="8">
        <v>30.88</v>
      </c>
      <c r="L629" s="8">
        <f>Table23[[#This Row],[Revenue]]-Table23[[#This Row],[Total Cost]]</f>
        <v>15.8</v>
      </c>
      <c r="M629" s="16">
        <f>(Table23[[#This Row],[Profit]]/Table23[[#This Row],[Revenue]])</f>
        <v>0.33847472150814056</v>
      </c>
      <c r="N629" t="s">
        <v>17</v>
      </c>
    </row>
    <row r="630" spans="1:14" x14ac:dyDescent="0.25">
      <c r="A630" s="11" t="s">
        <v>1252</v>
      </c>
      <c r="B630" s="6">
        <v>45551</v>
      </c>
      <c r="C630" s="11" t="s">
        <v>1253</v>
      </c>
      <c r="D630" s="11" t="s">
        <v>31</v>
      </c>
      <c r="E630" s="11" t="s">
        <v>1114</v>
      </c>
      <c r="F630" s="11" t="s">
        <v>1112</v>
      </c>
      <c r="G630" s="7">
        <v>1</v>
      </c>
      <c r="H630" s="8">
        <v>51.84</v>
      </c>
      <c r="I630" s="13">
        <v>0</v>
      </c>
      <c r="J630" s="8">
        <f>(Table23[[#This Row],[Quantity]]*Table23[[#This Row],[Unit Price]])-(Table23[[#This Row],[Unit Price]]*Table23[[#This Row],[Dscount]])*Table23[[#This Row],[Quantity]]</f>
        <v>51.84</v>
      </c>
      <c r="K630" s="8">
        <v>36.090000000000003</v>
      </c>
      <c r="L630" s="8">
        <f>Table23[[#This Row],[Revenue]]-Table23[[#This Row],[Total Cost]]</f>
        <v>15.75</v>
      </c>
      <c r="M630" s="16">
        <f>(Table23[[#This Row],[Profit]]/Table23[[#This Row],[Revenue]])</f>
        <v>0.30381944444444442</v>
      </c>
      <c r="N630" t="s">
        <v>33</v>
      </c>
    </row>
    <row r="631" spans="1:14" x14ac:dyDescent="0.25">
      <c r="A631" s="11" t="s">
        <v>943</v>
      </c>
      <c r="B631" s="6">
        <v>45782</v>
      </c>
      <c r="C631" s="11" t="s">
        <v>478</v>
      </c>
      <c r="D631" s="11" t="s">
        <v>20</v>
      </c>
      <c r="E631" s="11" t="s">
        <v>832</v>
      </c>
      <c r="F631" s="11" t="s">
        <v>833</v>
      </c>
      <c r="G631" s="7">
        <v>2</v>
      </c>
      <c r="H631" s="8">
        <v>77.89</v>
      </c>
      <c r="I631" s="13">
        <v>0.15</v>
      </c>
      <c r="J631" s="8">
        <f>(Table23[[#This Row],[Quantity]]*Table23[[#This Row],[Unit Price]])-(Table23[[#This Row],[Unit Price]]*Table23[[#This Row],[Dscount]])*Table23[[#This Row],[Quantity]]</f>
        <v>132.41300000000001</v>
      </c>
      <c r="K631" s="8">
        <v>116.72300000000001</v>
      </c>
      <c r="L631" s="8">
        <f>Table23[[#This Row],[Revenue]]-Table23[[#This Row],[Total Cost]]</f>
        <v>15.689999999999998</v>
      </c>
      <c r="M631" s="16">
        <f>(Table23[[#This Row],[Profit]]/Table23[[#This Row],[Revenue]])</f>
        <v>0.1184928972230823</v>
      </c>
      <c r="N631" t="s">
        <v>33</v>
      </c>
    </row>
    <row r="632" spans="1:14" x14ac:dyDescent="0.25">
      <c r="A632" s="11" t="s">
        <v>1250</v>
      </c>
      <c r="B632" s="6">
        <v>46021</v>
      </c>
      <c r="C632" s="11" t="s">
        <v>1251</v>
      </c>
      <c r="D632" s="11" t="s">
        <v>24</v>
      </c>
      <c r="E632" s="11" t="s">
        <v>1111</v>
      </c>
      <c r="F632" s="11" t="s">
        <v>1112</v>
      </c>
      <c r="G632" s="7">
        <v>1</v>
      </c>
      <c r="H632" s="8">
        <v>59.59</v>
      </c>
      <c r="I632" s="13">
        <v>0.2</v>
      </c>
      <c r="J632" s="8">
        <f>(Table23[[#This Row],[Quantity]]*Table23[[#This Row],[Unit Price]])-(Table23[[#This Row],[Unit Price]]*Table23[[#This Row],[Dscount]])*Table23[[#This Row],[Quantity]]</f>
        <v>47.672000000000004</v>
      </c>
      <c r="K632" s="8">
        <v>32.002000000000002</v>
      </c>
      <c r="L632" s="8">
        <f>Table23[[#This Row],[Revenue]]-Table23[[#This Row],[Total Cost]]</f>
        <v>15.670000000000002</v>
      </c>
      <c r="M632" s="16">
        <f>(Table23[[#This Row],[Profit]]/Table23[[#This Row],[Revenue]])</f>
        <v>0.32870448061755331</v>
      </c>
      <c r="N632" t="s">
        <v>17</v>
      </c>
    </row>
    <row r="633" spans="1:14" x14ac:dyDescent="0.25">
      <c r="A633" s="11" t="s">
        <v>1618</v>
      </c>
      <c r="B633" s="6">
        <v>45883</v>
      </c>
      <c r="C633" s="11" t="s">
        <v>374</v>
      </c>
      <c r="D633" s="11" t="s">
        <v>14</v>
      </c>
      <c r="E633" s="11" t="s">
        <v>1420</v>
      </c>
      <c r="F633" s="11" t="s">
        <v>1417</v>
      </c>
      <c r="G633" s="7">
        <v>2</v>
      </c>
      <c r="H633" s="8">
        <v>28.81</v>
      </c>
      <c r="I633" s="13">
        <v>0.05</v>
      </c>
      <c r="J633" s="8">
        <f>(Table23[[#This Row],[Quantity]]*Table23[[#This Row],[Unit Price]])-(Table23[[#This Row],[Unit Price]]*Table23[[#This Row],[Dscount]])*Table23[[#This Row],[Quantity]]</f>
        <v>54.738999999999997</v>
      </c>
      <c r="K633" s="8">
        <v>39.138999999999996</v>
      </c>
      <c r="L633" s="8">
        <f>Table23[[#This Row],[Revenue]]-Table23[[#This Row],[Total Cost]]</f>
        <v>15.600000000000001</v>
      </c>
      <c r="M633" s="16">
        <f>(Table23[[#This Row],[Profit]]/Table23[[#This Row],[Revenue]])</f>
        <v>0.2849887648660005</v>
      </c>
      <c r="N633" t="s">
        <v>17</v>
      </c>
    </row>
    <row r="634" spans="1:14" x14ac:dyDescent="0.25">
      <c r="A634" s="11" t="s">
        <v>542</v>
      </c>
      <c r="B634" s="6">
        <v>45473</v>
      </c>
      <c r="C634" s="11" t="s">
        <v>543</v>
      </c>
      <c r="D634" s="11" t="s">
        <v>36</v>
      </c>
      <c r="E634" s="11" t="s">
        <v>489</v>
      </c>
      <c r="F634" s="11" t="s">
        <v>480</v>
      </c>
      <c r="G634" s="7">
        <v>1</v>
      </c>
      <c r="H634" s="8">
        <v>34.94</v>
      </c>
      <c r="I634" s="13">
        <v>0.15</v>
      </c>
      <c r="J634" s="8">
        <f>(Table23[[#This Row],[Quantity]]*Table23[[#This Row],[Unit Price]])-(Table23[[#This Row],[Unit Price]]*Table23[[#This Row],[Dscount]])*Table23[[#This Row],[Quantity]]</f>
        <v>29.698999999999998</v>
      </c>
      <c r="K634" s="8">
        <v>14.098999999999998</v>
      </c>
      <c r="L634" s="8">
        <f>Table23[[#This Row],[Revenue]]-Table23[[#This Row],[Total Cost]]</f>
        <v>15.6</v>
      </c>
      <c r="M634" s="16">
        <f>(Table23[[#This Row],[Profit]]/Table23[[#This Row],[Revenue]])</f>
        <v>0.52527021111821948</v>
      </c>
      <c r="N634" t="s">
        <v>33</v>
      </c>
    </row>
    <row r="635" spans="1:14" x14ac:dyDescent="0.25">
      <c r="A635" s="11" t="s">
        <v>153</v>
      </c>
      <c r="B635" s="6">
        <v>45662</v>
      </c>
      <c r="C635" s="11" t="s">
        <v>154</v>
      </c>
      <c r="D635" s="11" t="s">
        <v>36</v>
      </c>
      <c r="E635" s="11" t="s">
        <v>39</v>
      </c>
      <c r="F635" s="11" t="s">
        <v>16</v>
      </c>
      <c r="G635" s="7">
        <v>1</v>
      </c>
      <c r="H635" s="8">
        <v>32.869999999999997</v>
      </c>
      <c r="I635" s="13">
        <v>0.1</v>
      </c>
      <c r="J635" s="8">
        <f>(Table23[[#This Row],[Quantity]]*Table23[[#This Row],[Unit Price]])-(Table23[[#This Row],[Unit Price]]*Table23[[#This Row],[Dscount]])*Table23[[#This Row],[Quantity]]</f>
        <v>29.582999999999998</v>
      </c>
      <c r="K635" s="8">
        <v>13.992999999999999</v>
      </c>
      <c r="L635" s="8">
        <f>Table23[[#This Row],[Revenue]]-Table23[[#This Row],[Total Cost]]</f>
        <v>15.59</v>
      </c>
      <c r="M635" s="16">
        <f>(Table23[[#This Row],[Profit]]/Table23[[#This Row],[Revenue]])</f>
        <v>0.52699185342933441</v>
      </c>
      <c r="N635" t="s">
        <v>17</v>
      </c>
    </row>
    <row r="636" spans="1:14" x14ac:dyDescent="0.25">
      <c r="A636" s="11" t="s">
        <v>941</v>
      </c>
      <c r="B636" s="6">
        <v>45572</v>
      </c>
      <c r="C636" s="11" t="s">
        <v>942</v>
      </c>
      <c r="D636" s="11" t="s">
        <v>31</v>
      </c>
      <c r="E636" s="11" t="s">
        <v>848</v>
      </c>
      <c r="F636" s="11" t="s">
        <v>833</v>
      </c>
      <c r="G636" s="7">
        <v>1</v>
      </c>
      <c r="H636" s="8">
        <v>86.89</v>
      </c>
      <c r="I636" s="13">
        <v>0.2</v>
      </c>
      <c r="J636" s="8">
        <f>(Table23[[#This Row],[Quantity]]*Table23[[#This Row],[Unit Price]])-(Table23[[#This Row],[Unit Price]]*Table23[[#This Row],[Dscount]])*Table23[[#This Row],[Quantity]]</f>
        <v>69.512</v>
      </c>
      <c r="K636" s="8">
        <v>53.951999999999998</v>
      </c>
      <c r="L636" s="8">
        <f>Table23[[#This Row],[Revenue]]-Table23[[#This Row],[Total Cost]]</f>
        <v>15.560000000000002</v>
      </c>
      <c r="M636" s="16">
        <f>(Table23[[#This Row],[Profit]]/Table23[[#This Row],[Revenue]])</f>
        <v>0.22384624237541723</v>
      </c>
      <c r="N636" t="s">
        <v>17</v>
      </c>
    </row>
    <row r="637" spans="1:14" x14ac:dyDescent="0.25">
      <c r="A637" s="11" t="s">
        <v>1248</v>
      </c>
      <c r="B637" s="6">
        <v>45734</v>
      </c>
      <c r="C637" s="11" t="s">
        <v>1249</v>
      </c>
      <c r="D637" s="11" t="s">
        <v>24</v>
      </c>
      <c r="E637" s="11" t="s">
        <v>1134</v>
      </c>
      <c r="F637" s="11" t="s">
        <v>1112</v>
      </c>
      <c r="G637" s="7">
        <v>2</v>
      </c>
      <c r="H637" s="8">
        <v>20.25</v>
      </c>
      <c r="I637" s="13">
        <v>0</v>
      </c>
      <c r="J637" s="8">
        <f>(Table23[[#This Row],[Quantity]]*Table23[[#This Row],[Unit Price]])-(Table23[[#This Row],[Unit Price]]*Table23[[#This Row],[Dscount]])*Table23[[#This Row],[Quantity]]</f>
        <v>40.5</v>
      </c>
      <c r="K637" s="8">
        <v>24.98</v>
      </c>
      <c r="L637" s="8">
        <f>Table23[[#This Row],[Revenue]]-Table23[[#This Row],[Total Cost]]</f>
        <v>15.52</v>
      </c>
      <c r="M637" s="16">
        <f>(Table23[[#This Row],[Profit]]/Table23[[#This Row],[Revenue]])</f>
        <v>0.38320987654320987</v>
      </c>
      <c r="N637" t="s">
        <v>33</v>
      </c>
    </row>
    <row r="638" spans="1:14" x14ac:dyDescent="0.25">
      <c r="A638" s="11" t="s">
        <v>940</v>
      </c>
      <c r="B638" s="6">
        <v>45546</v>
      </c>
      <c r="C638" s="11" t="s">
        <v>726</v>
      </c>
      <c r="D638" s="11" t="s">
        <v>24</v>
      </c>
      <c r="E638" s="11" t="s">
        <v>848</v>
      </c>
      <c r="F638" s="11" t="s">
        <v>833</v>
      </c>
      <c r="G638" s="7">
        <v>1</v>
      </c>
      <c r="H638" s="8">
        <v>146.24</v>
      </c>
      <c r="I638" s="13">
        <v>0.15</v>
      </c>
      <c r="J638" s="8">
        <f>(Table23[[#This Row],[Quantity]]*Table23[[#This Row],[Unit Price]])-(Table23[[#This Row],[Unit Price]]*Table23[[#This Row],[Dscount]])*Table23[[#This Row],[Quantity]]</f>
        <v>124.304</v>
      </c>
      <c r="K638" s="8">
        <v>108.854</v>
      </c>
      <c r="L638" s="8">
        <f>Table23[[#This Row],[Revenue]]-Table23[[#This Row],[Total Cost]]</f>
        <v>15.450000000000003</v>
      </c>
      <c r="M638" s="16">
        <f>(Table23[[#This Row],[Profit]]/Table23[[#This Row],[Revenue]])</f>
        <v>0.12429205817994596</v>
      </c>
      <c r="N638" t="s">
        <v>33</v>
      </c>
    </row>
    <row r="639" spans="1:14" x14ac:dyDescent="0.25">
      <c r="A639" s="11" t="s">
        <v>540</v>
      </c>
      <c r="B639" s="6">
        <v>45644</v>
      </c>
      <c r="C639" s="11" t="s">
        <v>541</v>
      </c>
      <c r="D639" s="11" t="s">
        <v>24</v>
      </c>
      <c r="E639" s="11" t="s">
        <v>505</v>
      </c>
      <c r="F639" s="11" t="s">
        <v>480</v>
      </c>
      <c r="G639" s="7">
        <v>1</v>
      </c>
      <c r="H639" s="8">
        <v>50.57</v>
      </c>
      <c r="I639" s="13">
        <v>0.05</v>
      </c>
      <c r="J639" s="8">
        <f>(Table23[[#This Row],[Quantity]]*Table23[[#This Row],[Unit Price]])-(Table23[[#This Row],[Unit Price]]*Table23[[#This Row],[Dscount]])*Table23[[#This Row],[Quantity]]</f>
        <v>48.041499999999999</v>
      </c>
      <c r="K639" s="8">
        <v>32.611499999999999</v>
      </c>
      <c r="L639" s="8">
        <f>Table23[[#This Row],[Revenue]]-Table23[[#This Row],[Total Cost]]</f>
        <v>15.43</v>
      </c>
      <c r="M639" s="16">
        <f>(Table23[[#This Row],[Profit]]/Table23[[#This Row],[Revenue]])</f>
        <v>0.32118064589989903</v>
      </c>
      <c r="N639" t="s">
        <v>17</v>
      </c>
    </row>
    <row r="640" spans="1:14" x14ac:dyDescent="0.25">
      <c r="A640" s="11" t="s">
        <v>1246</v>
      </c>
      <c r="B640" s="6">
        <v>45628</v>
      </c>
      <c r="C640" s="11" t="s">
        <v>1247</v>
      </c>
      <c r="D640" s="11" t="s">
        <v>14</v>
      </c>
      <c r="E640" s="11" t="s">
        <v>1124</v>
      </c>
      <c r="F640" s="11" t="s">
        <v>1112</v>
      </c>
      <c r="G640" s="7">
        <v>1</v>
      </c>
      <c r="H640" s="8">
        <v>53.32</v>
      </c>
      <c r="I640" s="13">
        <v>0</v>
      </c>
      <c r="J640" s="8">
        <f>(Table23[[#This Row],[Quantity]]*Table23[[#This Row],[Unit Price]])-(Table23[[#This Row],[Unit Price]]*Table23[[#This Row],[Dscount]])*Table23[[#This Row],[Quantity]]</f>
        <v>53.32</v>
      </c>
      <c r="K640" s="8">
        <v>38.08</v>
      </c>
      <c r="L640" s="8">
        <f>Table23[[#This Row],[Revenue]]-Table23[[#This Row],[Total Cost]]</f>
        <v>15.240000000000002</v>
      </c>
      <c r="M640" s="16">
        <f>(Table23[[#This Row],[Profit]]/Table23[[#This Row],[Revenue]])</f>
        <v>0.28582145536384101</v>
      </c>
      <c r="N640" t="s">
        <v>48</v>
      </c>
    </row>
    <row r="641" spans="1:14" x14ac:dyDescent="0.25">
      <c r="A641" s="11" t="s">
        <v>1245</v>
      </c>
      <c r="B641" s="6">
        <v>45293</v>
      </c>
      <c r="C641" s="11" t="s">
        <v>761</v>
      </c>
      <c r="D641" s="11" t="s">
        <v>14</v>
      </c>
      <c r="E641" s="11" t="s">
        <v>1134</v>
      </c>
      <c r="F641" s="11" t="s">
        <v>1112</v>
      </c>
      <c r="G641" s="7">
        <v>4</v>
      </c>
      <c r="H641" s="8">
        <v>18.87</v>
      </c>
      <c r="I641" s="13">
        <v>0</v>
      </c>
      <c r="J641" s="8">
        <f>(Table23[[#This Row],[Quantity]]*Table23[[#This Row],[Unit Price]])-(Table23[[#This Row],[Unit Price]]*Table23[[#This Row],[Dscount]])*Table23[[#This Row],[Quantity]]</f>
        <v>75.48</v>
      </c>
      <c r="K641" s="8">
        <v>60.27</v>
      </c>
      <c r="L641" s="8">
        <f>Table23[[#This Row],[Revenue]]-Table23[[#This Row],[Total Cost]]</f>
        <v>15.21</v>
      </c>
      <c r="M641" s="16">
        <f>(Table23[[#This Row],[Profit]]/Table23[[#This Row],[Revenue]])</f>
        <v>0.20151033386327505</v>
      </c>
      <c r="N641" t="s">
        <v>33</v>
      </c>
    </row>
    <row r="642" spans="1:14" x14ac:dyDescent="0.25">
      <c r="A642" s="11" t="s">
        <v>151</v>
      </c>
      <c r="B642" s="6">
        <v>45345</v>
      </c>
      <c r="C642" s="11" t="s">
        <v>152</v>
      </c>
      <c r="D642" s="11" t="s">
        <v>14</v>
      </c>
      <c r="E642" s="11" t="s">
        <v>25</v>
      </c>
      <c r="F642" s="11" t="s">
        <v>16</v>
      </c>
      <c r="G642" s="7">
        <v>1</v>
      </c>
      <c r="H642" s="8">
        <v>35</v>
      </c>
      <c r="I642" s="13">
        <v>0.05</v>
      </c>
      <c r="J642" s="8">
        <f>(Table23[[#This Row],[Quantity]]*Table23[[#This Row],[Unit Price]])-(Table23[[#This Row],[Unit Price]]*Table23[[#This Row],[Dscount]])*Table23[[#This Row],[Quantity]]</f>
        <v>33.25</v>
      </c>
      <c r="K642" s="8">
        <v>18.060000000000002</v>
      </c>
      <c r="L642" s="8">
        <f>Table23[[#This Row],[Revenue]]-Table23[[#This Row],[Total Cost]]</f>
        <v>15.189999999999998</v>
      </c>
      <c r="M642" s="16">
        <f>(Table23[[#This Row],[Profit]]/Table23[[#This Row],[Revenue]])</f>
        <v>0.45684210526315783</v>
      </c>
      <c r="N642" t="s">
        <v>17</v>
      </c>
    </row>
    <row r="643" spans="1:14" x14ac:dyDescent="0.25">
      <c r="A643" s="11" t="s">
        <v>149</v>
      </c>
      <c r="B643" s="6">
        <v>45561</v>
      </c>
      <c r="C643" s="11" t="s">
        <v>150</v>
      </c>
      <c r="D643" s="11" t="s">
        <v>14</v>
      </c>
      <c r="E643" s="11" t="s">
        <v>28</v>
      </c>
      <c r="F643" s="11" t="s">
        <v>16</v>
      </c>
      <c r="G643" s="7">
        <v>1</v>
      </c>
      <c r="H643" s="8">
        <v>35.4</v>
      </c>
      <c r="I643" s="13">
        <v>0</v>
      </c>
      <c r="J643" s="8">
        <f>(Table23[[#This Row],[Quantity]]*Table23[[#This Row],[Unit Price]])-(Table23[[#This Row],[Unit Price]]*Table23[[#This Row],[Dscount]])*Table23[[#This Row],[Quantity]]</f>
        <v>35.4</v>
      </c>
      <c r="K643" s="8">
        <v>20.229999999999997</v>
      </c>
      <c r="L643" s="8">
        <f>Table23[[#This Row],[Revenue]]-Table23[[#This Row],[Total Cost]]</f>
        <v>15.170000000000002</v>
      </c>
      <c r="M643" s="16">
        <f>(Table23[[#This Row],[Profit]]/Table23[[#This Row],[Revenue]])</f>
        <v>0.42853107344632774</v>
      </c>
      <c r="N643" t="s">
        <v>33</v>
      </c>
    </row>
    <row r="644" spans="1:14" x14ac:dyDescent="0.25">
      <c r="A644" s="11" t="s">
        <v>1617</v>
      </c>
      <c r="B644" s="6">
        <v>45924</v>
      </c>
      <c r="C644" s="11" t="s">
        <v>855</v>
      </c>
      <c r="D644" s="11" t="s">
        <v>24</v>
      </c>
      <c r="E644" s="11" t="s">
        <v>1420</v>
      </c>
      <c r="F644" s="11" t="s">
        <v>1417</v>
      </c>
      <c r="G644" s="7">
        <v>3</v>
      </c>
      <c r="H644" s="8">
        <v>32.340000000000003</v>
      </c>
      <c r="I644" s="13">
        <v>0.1</v>
      </c>
      <c r="J644" s="8">
        <f>(Table23[[#This Row],[Quantity]]*Table23[[#This Row],[Unit Price]])-(Table23[[#This Row],[Unit Price]]*Table23[[#This Row],[Dscount]])*Table23[[#This Row],[Quantity]]</f>
        <v>87.318000000000012</v>
      </c>
      <c r="K644" s="8">
        <v>72.14800000000001</v>
      </c>
      <c r="L644" s="8">
        <f>Table23[[#This Row],[Revenue]]-Table23[[#This Row],[Total Cost]]</f>
        <v>15.170000000000002</v>
      </c>
      <c r="M644" s="16">
        <f>(Table23[[#This Row],[Profit]]/Table23[[#This Row],[Revenue]])</f>
        <v>0.17373279278041182</v>
      </c>
      <c r="N644" t="s">
        <v>17</v>
      </c>
    </row>
    <row r="645" spans="1:14" x14ac:dyDescent="0.25">
      <c r="A645" s="11" t="s">
        <v>938</v>
      </c>
      <c r="B645" s="6">
        <v>45889</v>
      </c>
      <c r="C645" s="11" t="s">
        <v>939</v>
      </c>
      <c r="D645" s="11" t="s">
        <v>24</v>
      </c>
      <c r="E645" s="11" t="s">
        <v>843</v>
      </c>
      <c r="F645" s="11" t="s">
        <v>833</v>
      </c>
      <c r="G645" s="7">
        <v>2</v>
      </c>
      <c r="H645" s="8">
        <v>77.72</v>
      </c>
      <c r="I645" s="13">
        <v>0</v>
      </c>
      <c r="J645" s="8">
        <f>(Table23[[#This Row],[Quantity]]*Table23[[#This Row],[Unit Price]])-(Table23[[#This Row],[Unit Price]]*Table23[[#This Row],[Dscount]])*Table23[[#This Row],[Quantity]]</f>
        <v>155.44</v>
      </c>
      <c r="K645" s="8">
        <v>140.27000000000001</v>
      </c>
      <c r="L645" s="8">
        <f>Table23[[#This Row],[Revenue]]-Table23[[#This Row],[Total Cost]]</f>
        <v>15.169999999999987</v>
      </c>
      <c r="M645" s="16">
        <f>(Table23[[#This Row],[Profit]]/Table23[[#This Row],[Revenue]])</f>
        <v>9.7593926917138363E-2</v>
      </c>
      <c r="N645" t="s">
        <v>17</v>
      </c>
    </row>
    <row r="646" spans="1:14" x14ac:dyDescent="0.25">
      <c r="A646" s="11" t="s">
        <v>1244</v>
      </c>
      <c r="B646" s="6">
        <v>45981</v>
      </c>
      <c r="C646" s="11" t="s">
        <v>325</v>
      </c>
      <c r="D646" s="11" t="s">
        <v>31</v>
      </c>
      <c r="E646" s="11" t="s">
        <v>1114</v>
      </c>
      <c r="F646" s="11" t="s">
        <v>1112</v>
      </c>
      <c r="G646" s="7">
        <v>2</v>
      </c>
      <c r="H646" s="8">
        <v>28.47</v>
      </c>
      <c r="I646" s="13">
        <v>0</v>
      </c>
      <c r="J646" s="8">
        <f>(Table23[[#This Row],[Quantity]]*Table23[[#This Row],[Unit Price]])-(Table23[[#This Row],[Unit Price]]*Table23[[#This Row],[Dscount]])*Table23[[#This Row],[Quantity]]</f>
        <v>56.94</v>
      </c>
      <c r="K646" s="8">
        <v>41.83</v>
      </c>
      <c r="L646" s="8">
        <f>Table23[[#This Row],[Revenue]]-Table23[[#This Row],[Total Cost]]</f>
        <v>15.11</v>
      </c>
      <c r="M646" s="16">
        <f>(Table23[[#This Row],[Profit]]/Table23[[#This Row],[Revenue]])</f>
        <v>0.26536705303828589</v>
      </c>
      <c r="N646" t="s">
        <v>33</v>
      </c>
    </row>
    <row r="647" spans="1:14" x14ac:dyDescent="0.25">
      <c r="A647" s="11" t="s">
        <v>538</v>
      </c>
      <c r="B647" s="6">
        <v>45825</v>
      </c>
      <c r="C647" s="11" t="s">
        <v>539</v>
      </c>
      <c r="D647" s="11" t="s">
        <v>14</v>
      </c>
      <c r="E647" s="11" t="s">
        <v>503</v>
      </c>
      <c r="F647" s="11" t="s">
        <v>480</v>
      </c>
      <c r="G647" s="7">
        <v>1</v>
      </c>
      <c r="H647" s="8">
        <v>37.76</v>
      </c>
      <c r="I647" s="13">
        <v>0</v>
      </c>
      <c r="J647" s="8">
        <f>(Table23[[#This Row],[Quantity]]*Table23[[#This Row],[Unit Price]])-(Table23[[#This Row],[Unit Price]]*Table23[[#This Row],[Dscount]])*Table23[[#This Row],[Quantity]]</f>
        <v>37.76</v>
      </c>
      <c r="K647" s="8">
        <v>22.74</v>
      </c>
      <c r="L647" s="8">
        <f>Table23[[#This Row],[Revenue]]-Table23[[#This Row],[Total Cost]]</f>
        <v>15.02</v>
      </c>
      <c r="M647" s="16">
        <f>(Table23[[#This Row],[Profit]]/Table23[[#This Row],[Revenue]])</f>
        <v>0.39777542372881358</v>
      </c>
      <c r="N647" t="s">
        <v>33</v>
      </c>
    </row>
    <row r="648" spans="1:14" x14ac:dyDescent="0.25">
      <c r="A648" s="11" t="s">
        <v>147</v>
      </c>
      <c r="B648" s="6">
        <v>45595</v>
      </c>
      <c r="C648" s="11" t="s">
        <v>148</v>
      </c>
      <c r="D648" s="11" t="s">
        <v>36</v>
      </c>
      <c r="E648" s="11" t="s">
        <v>21</v>
      </c>
      <c r="F648" s="11" t="s">
        <v>16</v>
      </c>
      <c r="G648" s="7">
        <v>1</v>
      </c>
      <c r="H648" s="8">
        <v>35.4</v>
      </c>
      <c r="I648" s="13">
        <v>0.1</v>
      </c>
      <c r="J648" s="8">
        <f>(Table23[[#This Row],[Quantity]]*Table23[[#This Row],[Unit Price]])-(Table23[[#This Row],[Unit Price]]*Table23[[#This Row],[Dscount]])*Table23[[#This Row],[Quantity]]</f>
        <v>31.86</v>
      </c>
      <c r="K648" s="8">
        <v>16.86</v>
      </c>
      <c r="L648" s="8">
        <f>Table23[[#This Row],[Revenue]]-Table23[[#This Row],[Total Cost]]</f>
        <v>15</v>
      </c>
      <c r="M648" s="16">
        <f>(Table23[[#This Row],[Profit]]/Table23[[#This Row],[Revenue]])</f>
        <v>0.47080979284369118</v>
      </c>
      <c r="N648" t="s">
        <v>17</v>
      </c>
    </row>
    <row r="649" spans="1:14" x14ac:dyDescent="0.25">
      <c r="A649" s="11" t="s">
        <v>145</v>
      </c>
      <c r="B649" s="6">
        <v>45851</v>
      </c>
      <c r="C649" s="11" t="s">
        <v>146</v>
      </c>
      <c r="D649" s="11" t="s">
        <v>36</v>
      </c>
      <c r="E649" s="11" t="s">
        <v>47</v>
      </c>
      <c r="F649" s="11" t="s">
        <v>16</v>
      </c>
      <c r="G649" s="7">
        <v>1</v>
      </c>
      <c r="H649" s="8">
        <v>30.87</v>
      </c>
      <c r="I649" s="13">
        <v>0</v>
      </c>
      <c r="J649" s="8">
        <f>(Table23[[#This Row],[Quantity]]*Table23[[#This Row],[Unit Price]])-(Table23[[#This Row],[Unit Price]]*Table23[[#This Row],[Dscount]])*Table23[[#This Row],[Quantity]]</f>
        <v>30.87</v>
      </c>
      <c r="K649" s="8">
        <v>15.9</v>
      </c>
      <c r="L649" s="8">
        <f>Table23[[#This Row],[Revenue]]-Table23[[#This Row],[Total Cost]]</f>
        <v>14.97</v>
      </c>
      <c r="M649" s="16">
        <f>(Table23[[#This Row],[Profit]]/Table23[[#This Row],[Revenue]])</f>
        <v>0.48493683187560738</v>
      </c>
      <c r="N649" t="s">
        <v>33</v>
      </c>
    </row>
    <row r="650" spans="1:14" x14ac:dyDescent="0.25">
      <c r="A650" s="11" t="s">
        <v>1242</v>
      </c>
      <c r="B650" s="6">
        <v>45556</v>
      </c>
      <c r="C650" s="11" t="s">
        <v>1243</v>
      </c>
      <c r="D650" s="11" t="s">
        <v>31</v>
      </c>
      <c r="E650" s="11" t="s">
        <v>1124</v>
      </c>
      <c r="F650" s="11" t="s">
        <v>1112</v>
      </c>
      <c r="G650" s="7">
        <v>2</v>
      </c>
      <c r="H650" s="8">
        <v>24.89</v>
      </c>
      <c r="I650" s="13">
        <v>0</v>
      </c>
      <c r="J650" s="8">
        <f>(Table23[[#This Row],[Quantity]]*Table23[[#This Row],[Unit Price]])-(Table23[[#This Row],[Unit Price]]*Table23[[#This Row],[Dscount]])*Table23[[#This Row],[Quantity]]</f>
        <v>49.78</v>
      </c>
      <c r="K650" s="8">
        <v>34.840000000000003</v>
      </c>
      <c r="L650" s="8">
        <f>Table23[[#This Row],[Revenue]]-Table23[[#This Row],[Total Cost]]</f>
        <v>14.939999999999998</v>
      </c>
      <c r="M650" s="16">
        <f>(Table23[[#This Row],[Profit]]/Table23[[#This Row],[Revenue]])</f>
        <v>0.30012053033346719</v>
      </c>
      <c r="N650" t="s">
        <v>33</v>
      </c>
    </row>
    <row r="651" spans="1:14" x14ac:dyDescent="0.25">
      <c r="A651" s="11" t="s">
        <v>1240</v>
      </c>
      <c r="B651" s="6">
        <v>45653</v>
      </c>
      <c r="C651" s="11" t="s">
        <v>1241</v>
      </c>
      <c r="D651" s="11" t="s">
        <v>36</v>
      </c>
      <c r="E651" s="11" t="s">
        <v>1120</v>
      </c>
      <c r="F651" s="11" t="s">
        <v>1112</v>
      </c>
      <c r="G651" s="7">
        <v>2</v>
      </c>
      <c r="H651" s="8">
        <v>26.23</v>
      </c>
      <c r="I651" s="13">
        <v>0.15</v>
      </c>
      <c r="J651" s="8">
        <f>(Table23[[#This Row],[Quantity]]*Table23[[#This Row],[Unit Price]])-(Table23[[#This Row],[Unit Price]]*Table23[[#This Row],[Dscount]])*Table23[[#This Row],[Quantity]]</f>
        <v>44.591000000000001</v>
      </c>
      <c r="K651" s="8">
        <v>29.661000000000001</v>
      </c>
      <c r="L651" s="8">
        <f>Table23[[#This Row],[Revenue]]-Table23[[#This Row],[Total Cost]]</f>
        <v>14.93</v>
      </c>
      <c r="M651" s="16">
        <f>(Table23[[#This Row],[Profit]]/Table23[[#This Row],[Revenue]])</f>
        <v>0.33482092798995311</v>
      </c>
      <c r="N651" t="s">
        <v>17</v>
      </c>
    </row>
    <row r="652" spans="1:14" x14ac:dyDescent="0.25">
      <c r="A652" s="11" t="s">
        <v>143</v>
      </c>
      <c r="B652" s="6">
        <v>45531</v>
      </c>
      <c r="C652" s="11" t="s">
        <v>144</v>
      </c>
      <c r="D652" s="11" t="s">
        <v>24</v>
      </c>
      <c r="E652" s="11" t="s">
        <v>28</v>
      </c>
      <c r="F652" s="11" t="s">
        <v>16</v>
      </c>
      <c r="G652" s="7">
        <v>1</v>
      </c>
      <c r="H652" s="8">
        <v>31.46</v>
      </c>
      <c r="I652" s="13">
        <v>0</v>
      </c>
      <c r="J652" s="8">
        <f>(Table23[[#This Row],[Quantity]]*Table23[[#This Row],[Unit Price]])-(Table23[[#This Row],[Unit Price]]*Table23[[#This Row],[Dscount]])*Table23[[#This Row],[Quantity]]</f>
        <v>31.46</v>
      </c>
      <c r="K652" s="8">
        <v>16.54</v>
      </c>
      <c r="L652" s="8">
        <f>Table23[[#This Row],[Revenue]]-Table23[[#This Row],[Total Cost]]</f>
        <v>14.920000000000002</v>
      </c>
      <c r="M652" s="16">
        <f>(Table23[[#This Row],[Profit]]/Table23[[#This Row],[Revenue]])</f>
        <v>0.47425301970756523</v>
      </c>
      <c r="N652" t="s">
        <v>17</v>
      </c>
    </row>
    <row r="653" spans="1:14" x14ac:dyDescent="0.25">
      <c r="A653" s="11" t="s">
        <v>141</v>
      </c>
      <c r="B653" s="6">
        <v>45559</v>
      </c>
      <c r="C653" s="11" t="s">
        <v>142</v>
      </c>
      <c r="D653" s="11" t="s">
        <v>36</v>
      </c>
      <c r="E653" s="11" t="s">
        <v>21</v>
      </c>
      <c r="F653" s="11" t="s">
        <v>16</v>
      </c>
      <c r="G653" s="7">
        <v>1</v>
      </c>
      <c r="H653" s="8">
        <v>48.13</v>
      </c>
      <c r="I653" s="13">
        <v>0.25</v>
      </c>
      <c r="J653" s="8">
        <f>(Table23[[#This Row],[Quantity]]*Table23[[#This Row],[Unit Price]])-(Table23[[#This Row],[Unit Price]]*Table23[[#This Row],[Dscount]])*Table23[[#This Row],[Quantity]]</f>
        <v>36.097500000000004</v>
      </c>
      <c r="K653" s="8">
        <v>21.217500000000001</v>
      </c>
      <c r="L653" s="8">
        <f>Table23[[#This Row],[Revenue]]-Table23[[#This Row],[Total Cost]]</f>
        <v>14.880000000000003</v>
      </c>
      <c r="M653" s="16">
        <f>(Table23[[#This Row],[Profit]]/Table23[[#This Row],[Revenue]])</f>
        <v>0.41221691252856851</v>
      </c>
      <c r="N653" t="s">
        <v>33</v>
      </c>
    </row>
    <row r="654" spans="1:14" x14ac:dyDescent="0.25">
      <c r="A654" s="11" t="s">
        <v>139</v>
      </c>
      <c r="B654" s="6">
        <v>45892</v>
      </c>
      <c r="C654" s="11" t="s">
        <v>140</v>
      </c>
      <c r="D654" s="11" t="s">
        <v>14</v>
      </c>
      <c r="E654" s="11" t="s">
        <v>39</v>
      </c>
      <c r="F654" s="11" t="s">
        <v>16</v>
      </c>
      <c r="G654" s="7">
        <v>1</v>
      </c>
      <c r="H654" s="8">
        <v>34.950000000000003</v>
      </c>
      <c r="I654" s="13">
        <v>0.05</v>
      </c>
      <c r="J654" s="8">
        <f>(Table23[[#This Row],[Quantity]]*Table23[[#This Row],[Unit Price]])-(Table23[[#This Row],[Unit Price]]*Table23[[#This Row],[Dscount]])*Table23[[#This Row],[Quantity]]</f>
        <v>33.202500000000001</v>
      </c>
      <c r="K654" s="8">
        <v>18.3825</v>
      </c>
      <c r="L654" s="8">
        <f>Table23[[#This Row],[Revenue]]-Table23[[#This Row],[Total Cost]]</f>
        <v>14.82</v>
      </c>
      <c r="M654" s="16">
        <f>(Table23[[#This Row],[Profit]]/Table23[[#This Row],[Revenue]])</f>
        <v>0.44635193133047213</v>
      </c>
      <c r="N654" t="s">
        <v>17</v>
      </c>
    </row>
    <row r="655" spans="1:14" x14ac:dyDescent="0.25">
      <c r="A655" s="11" t="s">
        <v>1616</v>
      </c>
      <c r="B655" s="6">
        <v>45572</v>
      </c>
      <c r="C655" s="11" t="s">
        <v>1435</v>
      </c>
      <c r="D655" s="11" t="s">
        <v>14</v>
      </c>
      <c r="E655" s="11" t="s">
        <v>1420</v>
      </c>
      <c r="F655" s="11" t="s">
        <v>1417</v>
      </c>
      <c r="G655" s="7">
        <v>2</v>
      </c>
      <c r="H655" s="8">
        <v>45.04</v>
      </c>
      <c r="I655" s="13">
        <v>0</v>
      </c>
      <c r="J655" s="8">
        <f>(Table23[[#This Row],[Quantity]]*Table23[[#This Row],[Unit Price]])-(Table23[[#This Row],[Unit Price]]*Table23[[#This Row],[Dscount]])*Table23[[#This Row],[Quantity]]</f>
        <v>90.08</v>
      </c>
      <c r="K655" s="8">
        <v>75.27</v>
      </c>
      <c r="L655" s="8">
        <f>Table23[[#This Row],[Revenue]]-Table23[[#This Row],[Total Cost]]</f>
        <v>14.810000000000002</v>
      </c>
      <c r="M655" s="16">
        <f>(Table23[[#This Row],[Profit]]/Table23[[#This Row],[Revenue]])</f>
        <v>0.1644094138543517</v>
      </c>
      <c r="N655" t="s">
        <v>33</v>
      </c>
    </row>
    <row r="656" spans="1:14" x14ac:dyDescent="0.25">
      <c r="A656" s="11" t="s">
        <v>1238</v>
      </c>
      <c r="B656" s="6">
        <v>45588</v>
      </c>
      <c r="C656" s="11" t="s">
        <v>1239</v>
      </c>
      <c r="D656" s="11" t="s">
        <v>24</v>
      </c>
      <c r="E656" s="11" t="s">
        <v>1124</v>
      </c>
      <c r="F656" s="11" t="s">
        <v>1112</v>
      </c>
      <c r="G656" s="7">
        <v>1</v>
      </c>
      <c r="H656" s="8">
        <v>46.48</v>
      </c>
      <c r="I656" s="13">
        <v>0</v>
      </c>
      <c r="J656" s="8">
        <f>(Table23[[#This Row],[Quantity]]*Table23[[#This Row],[Unit Price]])-(Table23[[#This Row],[Unit Price]]*Table23[[#This Row],[Dscount]])*Table23[[#This Row],[Quantity]]</f>
        <v>46.48</v>
      </c>
      <c r="K656" s="8">
        <v>31.689999999999998</v>
      </c>
      <c r="L656" s="8">
        <f>Table23[[#This Row],[Revenue]]-Table23[[#This Row],[Total Cost]]</f>
        <v>14.79</v>
      </c>
      <c r="M656" s="16">
        <f>(Table23[[#This Row],[Profit]]/Table23[[#This Row],[Revenue]])</f>
        <v>0.31820137693631667</v>
      </c>
      <c r="N656" t="s">
        <v>33</v>
      </c>
    </row>
    <row r="657" spans="1:14" x14ac:dyDescent="0.25">
      <c r="A657" s="11" t="s">
        <v>1237</v>
      </c>
      <c r="B657" s="6">
        <v>45759</v>
      </c>
      <c r="C657" s="11" t="s">
        <v>1192</v>
      </c>
      <c r="D657" s="11" t="s">
        <v>31</v>
      </c>
      <c r="E657" s="11" t="s">
        <v>1155</v>
      </c>
      <c r="F657" s="11" t="s">
        <v>1112</v>
      </c>
      <c r="G657" s="7">
        <v>2</v>
      </c>
      <c r="H657" s="8">
        <v>24.4</v>
      </c>
      <c r="I657" s="13">
        <v>0</v>
      </c>
      <c r="J657" s="8">
        <f>(Table23[[#This Row],[Quantity]]*Table23[[#This Row],[Unit Price]])-(Table23[[#This Row],[Unit Price]]*Table23[[#This Row],[Dscount]])*Table23[[#This Row],[Quantity]]</f>
        <v>48.8</v>
      </c>
      <c r="K657" s="8">
        <v>34.11</v>
      </c>
      <c r="L657" s="8">
        <f>Table23[[#This Row],[Revenue]]-Table23[[#This Row],[Total Cost]]</f>
        <v>14.689999999999998</v>
      </c>
      <c r="M657" s="16">
        <f>(Table23[[#This Row],[Profit]]/Table23[[#This Row],[Revenue]])</f>
        <v>0.3010245901639344</v>
      </c>
      <c r="N657" t="s">
        <v>17</v>
      </c>
    </row>
    <row r="658" spans="1:14" x14ac:dyDescent="0.25">
      <c r="A658" s="11" t="s">
        <v>936</v>
      </c>
      <c r="B658" s="6">
        <v>46000</v>
      </c>
      <c r="C658" s="11" t="s">
        <v>937</v>
      </c>
      <c r="D658" s="11" t="s">
        <v>20</v>
      </c>
      <c r="E658" s="11" t="s">
        <v>846</v>
      </c>
      <c r="F658" s="11" t="s">
        <v>833</v>
      </c>
      <c r="G658" s="7">
        <v>3</v>
      </c>
      <c r="H658" s="8">
        <v>34.75</v>
      </c>
      <c r="I658" s="13">
        <v>0.2</v>
      </c>
      <c r="J658" s="8">
        <f>(Table23[[#This Row],[Quantity]]*Table23[[#This Row],[Unit Price]])-(Table23[[#This Row],[Unit Price]]*Table23[[#This Row],[Dscount]])*Table23[[#This Row],[Quantity]]</f>
        <v>83.4</v>
      </c>
      <c r="K658" s="8">
        <v>68.740000000000009</v>
      </c>
      <c r="L658" s="8">
        <f>Table23[[#This Row],[Revenue]]-Table23[[#This Row],[Total Cost]]</f>
        <v>14.659999999999997</v>
      </c>
      <c r="M658" s="16">
        <f>(Table23[[#This Row],[Profit]]/Table23[[#This Row],[Revenue]])</f>
        <v>0.1757793764988009</v>
      </c>
      <c r="N658" t="s">
        <v>33</v>
      </c>
    </row>
    <row r="659" spans="1:14" x14ac:dyDescent="0.25">
      <c r="A659" s="11" t="s">
        <v>536</v>
      </c>
      <c r="B659" s="6">
        <v>45986</v>
      </c>
      <c r="C659" s="11" t="s">
        <v>537</v>
      </c>
      <c r="D659" s="11" t="s">
        <v>14</v>
      </c>
      <c r="E659" s="11" t="s">
        <v>489</v>
      </c>
      <c r="F659" s="11" t="s">
        <v>480</v>
      </c>
      <c r="G659" s="7">
        <v>1</v>
      </c>
      <c r="H659" s="8">
        <v>40.14</v>
      </c>
      <c r="I659" s="13">
        <v>0</v>
      </c>
      <c r="J659" s="8">
        <f>(Table23[[#This Row],[Quantity]]*Table23[[#This Row],[Unit Price]])-(Table23[[#This Row],[Unit Price]]*Table23[[#This Row],[Dscount]])*Table23[[#This Row],[Quantity]]</f>
        <v>40.14</v>
      </c>
      <c r="K659" s="8">
        <v>25.490000000000002</v>
      </c>
      <c r="L659" s="8">
        <f>Table23[[#This Row],[Revenue]]-Table23[[#This Row],[Total Cost]]</f>
        <v>14.649999999999999</v>
      </c>
      <c r="M659" s="16">
        <f>(Table23[[#This Row],[Profit]]/Table23[[#This Row],[Revenue]])</f>
        <v>0.36497259591429992</v>
      </c>
      <c r="N659" t="s">
        <v>33</v>
      </c>
    </row>
    <row r="660" spans="1:14" x14ac:dyDescent="0.25">
      <c r="A660" s="11" t="s">
        <v>534</v>
      </c>
      <c r="B660" s="6">
        <v>45547</v>
      </c>
      <c r="C660" s="11" t="s">
        <v>535</v>
      </c>
      <c r="D660" s="11" t="s">
        <v>31</v>
      </c>
      <c r="E660" s="11" t="s">
        <v>514</v>
      </c>
      <c r="F660" s="11" t="s">
        <v>480</v>
      </c>
      <c r="G660" s="7">
        <v>1</v>
      </c>
      <c r="H660" s="8">
        <v>44.29</v>
      </c>
      <c r="I660" s="13">
        <v>0.05</v>
      </c>
      <c r="J660" s="8">
        <f>(Table23[[#This Row],[Quantity]]*Table23[[#This Row],[Unit Price]])-(Table23[[#This Row],[Unit Price]]*Table23[[#This Row],[Dscount]])*Table23[[#This Row],[Quantity]]</f>
        <v>42.075499999999998</v>
      </c>
      <c r="K660" s="8">
        <v>27.445499999999996</v>
      </c>
      <c r="L660" s="8">
        <f>Table23[[#This Row],[Revenue]]-Table23[[#This Row],[Total Cost]]</f>
        <v>14.630000000000003</v>
      </c>
      <c r="M660" s="16">
        <f>(Table23[[#This Row],[Profit]]/Table23[[#This Row],[Revenue]])</f>
        <v>0.34770828629487477</v>
      </c>
      <c r="N660" t="s">
        <v>17</v>
      </c>
    </row>
    <row r="661" spans="1:14" x14ac:dyDescent="0.25">
      <c r="A661" s="11" t="s">
        <v>934</v>
      </c>
      <c r="B661" s="6">
        <v>45325</v>
      </c>
      <c r="C661" s="11" t="s">
        <v>935</v>
      </c>
      <c r="D661" s="11" t="s">
        <v>31</v>
      </c>
      <c r="E661" s="11" t="s">
        <v>843</v>
      </c>
      <c r="F661" s="11" t="s">
        <v>833</v>
      </c>
      <c r="G661" s="7">
        <v>1</v>
      </c>
      <c r="H661" s="8">
        <v>121.78</v>
      </c>
      <c r="I661" s="13">
        <v>0.05</v>
      </c>
      <c r="J661" s="8">
        <f>(Table23[[#This Row],[Quantity]]*Table23[[#This Row],[Unit Price]])-(Table23[[#This Row],[Unit Price]]*Table23[[#This Row],[Dscount]])*Table23[[#This Row],[Quantity]]</f>
        <v>115.691</v>
      </c>
      <c r="K661" s="8">
        <v>101.161</v>
      </c>
      <c r="L661" s="8">
        <f>Table23[[#This Row],[Revenue]]-Table23[[#This Row],[Total Cost]]</f>
        <v>14.530000000000001</v>
      </c>
      <c r="M661" s="16">
        <f>(Table23[[#This Row],[Profit]]/Table23[[#This Row],[Revenue]])</f>
        <v>0.12559317492285485</v>
      </c>
      <c r="N661" t="s">
        <v>17</v>
      </c>
    </row>
    <row r="662" spans="1:14" x14ac:dyDescent="0.25">
      <c r="A662" s="11" t="s">
        <v>933</v>
      </c>
      <c r="B662" s="6">
        <v>45879</v>
      </c>
      <c r="C662" s="11" t="s">
        <v>471</v>
      </c>
      <c r="D662" s="11" t="s">
        <v>24</v>
      </c>
      <c r="E662" s="11" t="s">
        <v>840</v>
      </c>
      <c r="F662" s="11" t="s">
        <v>833</v>
      </c>
      <c r="G662" s="7">
        <v>1</v>
      </c>
      <c r="H662" s="8">
        <v>88.23</v>
      </c>
      <c r="I662" s="13">
        <v>0.1</v>
      </c>
      <c r="J662" s="8">
        <f>(Table23[[#This Row],[Quantity]]*Table23[[#This Row],[Unit Price]])-(Table23[[#This Row],[Unit Price]]*Table23[[#This Row],[Dscount]])*Table23[[#This Row],[Quantity]]</f>
        <v>79.407000000000011</v>
      </c>
      <c r="K662" s="8">
        <v>64.917000000000016</v>
      </c>
      <c r="L662" s="8">
        <f>Table23[[#This Row],[Revenue]]-Table23[[#This Row],[Total Cost]]</f>
        <v>14.489999999999995</v>
      </c>
      <c r="M662" s="16">
        <f>(Table23[[#This Row],[Profit]]/Table23[[#This Row],[Revenue]])</f>
        <v>0.182477615323586</v>
      </c>
      <c r="N662" t="s">
        <v>17</v>
      </c>
    </row>
    <row r="663" spans="1:14" x14ac:dyDescent="0.25">
      <c r="A663" s="11" t="s">
        <v>532</v>
      </c>
      <c r="B663" s="6">
        <v>45961</v>
      </c>
      <c r="C663" s="11" t="s">
        <v>533</v>
      </c>
      <c r="D663" s="11" t="s">
        <v>36</v>
      </c>
      <c r="E663" s="11" t="s">
        <v>479</v>
      </c>
      <c r="F663" s="11" t="s">
        <v>480</v>
      </c>
      <c r="G663" s="7">
        <v>2</v>
      </c>
      <c r="H663" s="8">
        <v>22.08</v>
      </c>
      <c r="I663" s="13">
        <v>0</v>
      </c>
      <c r="J663" s="8">
        <f>(Table23[[#This Row],[Quantity]]*Table23[[#This Row],[Unit Price]])-(Table23[[#This Row],[Unit Price]]*Table23[[#This Row],[Dscount]])*Table23[[#This Row],[Quantity]]</f>
        <v>44.16</v>
      </c>
      <c r="K663" s="8">
        <v>29.699999999999996</v>
      </c>
      <c r="L663" s="8">
        <f>Table23[[#This Row],[Revenue]]-Table23[[#This Row],[Total Cost]]</f>
        <v>14.46</v>
      </c>
      <c r="M663" s="16">
        <f>(Table23[[#This Row],[Profit]]/Table23[[#This Row],[Revenue]])</f>
        <v>0.32744565217391308</v>
      </c>
      <c r="N663" t="s">
        <v>33</v>
      </c>
    </row>
    <row r="664" spans="1:14" x14ac:dyDescent="0.25">
      <c r="A664" s="11" t="s">
        <v>1236</v>
      </c>
      <c r="B664" s="6">
        <v>45610</v>
      </c>
      <c r="C664" s="11" t="s">
        <v>148</v>
      </c>
      <c r="D664" s="11" t="s">
        <v>14</v>
      </c>
      <c r="E664" s="11" t="s">
        <v>1132</v>
      </c>
      <c r="F664" s="11" t="s">
        <v>1112</v>
      </c>
      <c r="G664" s="7">
        <v>2</v>
      </c>
      <c r="H664" s="8">
        <v>21.08</v>
      </c>
      <c r="I664" s="13">
        <v>0.1</v>
      </c>
      <c r="J664" s="8">
        <f>(Table23[[#This Row],[Quantity]]*Table23[[#This Row],[Unit Price]])-(Table23[[#This Row],[Unit Price]]*Table23[[#This Row],[Dscount]])*Table23[[#This Row],[Quantity]]</f>
        <v>37.943999999999996</v>
      </c>
      <c r="K664" s="8">
        <v>23.513999999999996</v>
      </c>
      <c r="L664" s="8">
        <f>Table23[[#This Row],[Revenue]]-Table23[[#This Row],[Total Cost]]</f>
        <v>14.43</v>
      </c>
      <c r="M664" s="16">
        <f>(Table23[[#This Row],[Profit]]/Table23[[#This Row],[Revenue]])</f>
        <v>0.38029728020240355</v>
      </c>
      <c r="N664" t="s">
        <v>17</v>
      </c>
    </row>
    <row r="665" spans="1:14" x14ac:dyDescent="0.25">
      <c r="A665" s="11" t="s">
        <v>1615</v>
      </c>
      <c r="B665" s="6">
        <v>45405</v>
      </c>
      <c r="C665" s="11" t="s">
        <v>764</v>
      </c>
      <c r="D665" s="11" t="s">
        <v>24</v>
      </c>
      <c r="E665" s="11" t="s">
        <v>1429</v>
      </c>
      <c r="F665" s="11" t="s">
        <v>1417</v>
      </c>
      <c r="G665" s="7">
        <v>2</v>
      </c>
      <c r="H665" s="8">
        <v>46.56</v>
      </c>
      <c r="I665" s="13">
        <v>0.1</v>
      </c>
      <c r="J665" s="8">
        <f>(Table23[[#This Row],[Quantity]]*Table23[[#This Row],[Unit Price]])-(Table23[[#This Row],[Unit Price]]*Table23[[#This Row],[Dscount]])*Table23[[#This Row],[Quantity]]</f>
        <v>83.808000000000007</v>
      </c>
      <c r="K665" s="8">
        <v>69.39800000000001</v>
      </c>
      <c r="L665" s="8">
        <f>Table23[[#This Row],[Revenue]]-Table23[[#This Row],[Total Cost]]</f>
        <v>14.409999999999997</v>
      </c>
      <c r="M665" s="16">
        <f>(Table23[[#This Row],[Profit]]/Table23[[#This Row],[Revenue]])</f>
        <v>0.17194062619320347</v>
      </c>
      <c r="N665" t="s">
        <v>33</v>
      </c>
    </row>
    <row r="666" spans="1:14" x14ac:dyDescent="0.25">
      <c r="A666" s="11" t="s">
        <v>137</v>
      </c>
      <c r="B666" s="6">
        <v>45541</v>
      </c>
      <c r="C666" s="11" t="s">
        <v>138</v>
      </c>
      <c r="D666" s="11" t="s">
        <v>31</v>
      </c>
      <c r="E666" s="11" t="s">
        <v>53</v>
      </c>
      <c r="F666" s="11" t="s">
        <v>16</v>
      </c>
      <c r="G666" s="7">
        <v>1</v>
      </c>
      <c r="H666" s="8">
        <v>30.3</v>
      </c>
      <c r="I666" s="13">
        <v>0.15</v>
      </c>
      <c r="J666" s="8">
        <f>(Table23[[#This Row],[Quantity]]*Table23[[#This Row],[Unit Price]])-(Table23[[#This Row],[Unit Price]]*Table23[[#This Row],[Dscount]])*Table23[[#This Row],[Quantity]]</f>
        <v>25.755000000000003</v>
      </c>
      <c r="K666" s="8">
        <v>11.425000000000002</v>
      </c>
      <c r="L666" s="8">
        <f>Table23[[#This Row],[Revenue]]-Table23[[#This Row],[Total Cost]]</f>
        <v>14.33</v>
      </c>
      <c r="M666" s="16">
        <f>(Table23[[#This Row],[Profit]]/Table23[[#This Row],[Revenue]])</f>
        <v>0.55639681615220338</v>
      </c>
      <c r="N666" t="s">
        <v>17</v>
      </c>
    </row>
    <row r="667" spans="1:14" x14ac:dyDescent="0.25">
      <c r="A667" s="11" t="s">
        <v>135</v>
      </c>
      <c r="B667" s="6">
        <v>45320</v>
      </c>
      <c r="C667" s="11" t="s">
        <v>136</v>
      </c>
      <c r="D667" s="11" t="s">
        <v>14</v>
      </c>
      <c r="E667" s="11" t="s">
        <v>15</v>
      </c>
      <c r="F667" s="11" t="s">
        <v>16</v>
      </c>
      <c r="G667" s="7">
        <v>1</v>
      </c>
      <c r="H667" s="8">
        <v>31.59</v>
      </c>
      <c r="I667" s="13">
        <v>0.15</v>
      </c>
      <c r="J667" s="8">
        <f>(Table23[[#This Row],[Quantity]]*Table23[[#This Row],[Unit Price]])-(Table23[[#This Row],[Unit Price]]*Table23[[#This Row],[Dscount]])*Table23[[#This Row],[Quantity]]</f>
        <v>26.851500000000001</v>
      </c>
      <c r="K667" s="8">
        <v>12.551500000000001</v>
      </c>
      <c r="L667" s="8">
        <f>Table23[[#This Row],[Revenue]]-Table23[[#This Row],[Total Cost]]</f>
        <v>14.3</v>
      </c>
      <c r="M667" s="16">
        <f>(Table23[[#This Row],[Profit]]/Table23[[#This Row],[Revenue]])</f>
        <v>0.53255870249334303</v>
      </c>
      <c r="N667" t="s">
        <v>33</v>
      </c>
    </row>
    <row r="668" spans="1:14" x14ac:dyDescent="0.25">
      <c r="A668" s="11" t="s">
        <v>1235</v>
      </c>
      <c r="B668" s="6">
        <v>45778</v>
      </c>
      <c r="C668" s="11" t="s">
        <v>474</v>
      </c>
      <c r="D668" s="11" t="s">
        <v>36</v>
      </c>
      <c r="E668" s="11" t="s">
        <v>1184</v>
      </c>
      <c r="F668" s="11" t="s">
        <v>1112</v>
      </c>
      <c r="G668" s="7">
        <v>1</v>
      </c>
      <c r="H668" s="8">
        <v>71.02</v>
      </c>
      <c r="I668" s="13">
        <v>0.25</v>
      </c>
      <c r="J668" s="8">
        <f>(Table23[[#This Row],[Quantity]]*Table23[[#This Row],[Unit Price]])-(Table23[[#This Row],[Unit Price]]*Table23[[#This Row],[Dscount]])*Table23[[#This Row],[Quantity]]</f>
        <v>53.265000000000001</v>
      </c>
      <c r="K668" s="8">
        <v>38.965000000000003</v>
      </c>
      <c r="L668" s="8">
        <f>Table23[[#This Row],[Revenue]]-Table23[[#This Row],[Total Cost]]</f>
        <v>14.299999999999997</v>
      </c>
      <c r="M668" s="16">
        <f>(Table23[[#This Row],[Profit]]/Table23[[#This Row],[Revenue]])</f>
        <v>0.26846897587534024</v>
      </c>
      <c r="N668" t="s">
        <v>33</v>
      </c>
    </row>
    <row r="669" spans="1:14" x14ac:dyDescent="0.25">
      <c r="A669" s="11" t="s">
        <v>1233</v>
      </c>
      <c r="B669" s="6">
        <v>45888</v>
      </c>
      <c r="C669" s="11" t="s">
        <v>1234</v>
      </c>
      <c r="D669" s="11" t="s">
        <v>20</v>
      </c>
      <c r="E669" s="11" t="s">
        <v>1184</v>
      </c>
      <c r="F669" s="11" t="s">
        <v>1112</v>
      </c>
      <c r="G669" s="7">
        <v>2</v>
      </c>
      <c r="H669" s="8">
        <v>31.36</v>
      </c>
      <c r="I669" s="13">
        <v>0</v>
      </c>
      <c r="J669" s="8">
        <f>(Table23[[#This Row],[Quantity]]*Table23[[#This Row],[Unit Price]])-(Table23[[#This Row],[Unit Price]]*Table23[[#This Row],[Dscount]])*Table23[[#This Row],[Quantity]]</f>
        <v>62.72</v>
      </c>
      <c r="K669" s="8">
        <v>48.43</v>
      </c>
      <c r="L669" s="8">
        <f>Table23[[#This Row],[Revenue]]-Table23[[#This Row],[Total Cost]]</f>
        <v>14.29</v>
      </c>
      <c r="M669" s="16">
        <f>(Table23[[#This Row],[Profit]]/Table23[[#This Row],[Revenue]])</f>
        <v>0.22783801020408162</v>
      </c>
      <c r="N669" t="s">
        <v>17</v>
      </c>
    </row>
    <row r="670" spans="1:14" x14ac:dyDescent="0.25">
      <c r="A670" s="11" t="s">
        <v>133</v>
      </c>
      <c r="B670" s="6">
        <v>45920</v>
      </c>
      <c r="C670" s="11" t="s">
        <v>134</v>
      </c>
      <c r="D670" s="11" t="s">
        <v>20</v>
      </c>
      <c r="E670" s="11" t="s">
        <v>21</v>
      </c>
      <c r="F670" s="11" t="s">
        <v>16</v>
      </c>
      <c r="G670" s="7">
        <v>1</v>
      </c>
      <c r="H670" s="8">
        <v>26.36</v>
      </c>
      <c r="I670" s="13">
        <v>0.05</v>
      </c>
      <c r="J670" s="8">
        <f>(Table23[[#This Row],[Quantity]]*Table23[[#This Row],[Unit Price]])-(Table23[[#This Row],[Unit Price]]*Table23[[#This Row],[Dscount]])*Table23[[#This Row],[Quantity]]</f>
        <v>25.041999999999998</v>
      </c>
      <c r="K670" s="8">
        <v>10.771999999999998</v>
      </c>
      <c r="L670" s="8">
        <f>Table23[[#This Row],[Revenue]]-Table23[[#This Row],[Total Cost]]</f>
        <v>14.27</v>
      </c>
      <c r="M670" s="16">
        <f>(Table23[[#This Row],[Profit]]/Table23[[#This Row],[Revenue]])</f>
        <v>0.56984266432393582</v>
      </c>
      <c r="N670" t="s">
        <v>17</v>
      </c>
    </row>
    <row r="671" spans="1:14" x14ac:dyDescent="0.25">
      <c r="A671" s="11" t="s">
        <v>1232</v>
      </c>
      <c r="B671" s="6">
        <v>45392</v>
      </c>
      <c r="C671" s="11" t="s">
        <v>239</v>
      </c>
      <c r="D671" s="11" t="s">
        <v>31</v>
      </c>
      <c r="E671" s="11" t="s">
        <v>1132</v>
      </c>
      <c r="F671" s="11" t="s">
        <v>1112</v>
      </c>
      <c r="G671" s="7">
        <v>4</v>
      </c>
      <c r="H671" s="8">
        <v>14.76</v>
      </c>
      <c r="I671" s="13">
        <v>0.05</v>
      </c>
      <c r="J671" s="8">
        <f>(Table23[[#This Row],[Quantity]]*Table23[[#This Row],[Unit Price]])-(Table23[[#This Row],[Unit Price]]*Table23[[#This Row],[Dscount]])*Table23[[#This Row],[Quantity]]</f>
        <v>56.088000000000001</v>
      </c>
      <c r="K671" s="8">
        <v>41.858000000000004</v>
      </c>
      <c r="L671" s="8">
        <f>Table23[[#This Row],[Revenue]]-Table23[[#This Row],[Total Cost]]</f>
        <v>14.229999999999997</v>
      </c>
      <c r="M671" s="16">
        <f>(Table23[[#This Row],[Profit]]/Table23[[#This Row],[Revenue]])</f>
        <v>0.25370845813721288</v>
      </c>
      <c r="N671" t="s">
        <v>17</v>
      </c>
    </row>
    <row r="672" spans="1:14" x14ac:dyDescent="0.25">
      <c r="A672" s="11" t="s">
        <v>1614</v>
      </c>
      <c r="B672" s="6">
        <v>45373</v>
      </c>
      <c r="C672" s="11" t="s">
        <v>146</v>
      </c>
      <c r="D672" s="11" t="s">
        <v>20</v>
      </c>
      <c r="E672" s="11" t="s">
        <v>1429</v>
      </c>
      <c r="F672" s="11" t="s">
        <v>1417</v>
      </c>
      <c r="G672" s="7">
        <v>3</v>
      </c>
      <c r="H672" s="8">
        <v>27.02</v>
      </c>
      <c r="I672" s="13">
        <v>0.05</v>
      </c>
      <c r="J672" s="8">
        <f>(Table23[[#This Row],[Quantity]]*Table23[[#This Row],[Unit Price]])-(Table23[[#This Row],[Unit Price]]*Table23[[#This Row],[Dscount]])*Table23[[#This Row],[Quantity]]</f>
        <v>77.007000000000005</v>
      </c>
      <c r="K672" s="8">
        <v>62.787000000000006</v>
      </c>
      <c r="L672" s="8">
        <f>Table23[[#This Row],[Revenue]]-Table23[[#This Row],[Total Cost]]</f>
        <v>14.219999999999999</v>
      </c>
      <c r="M672" s="16">
        <f>(Table23[[#This Row],[Profit]]/Table23[[#This Row],[Revenue]])</f>
        <v>0.1846585375355487</v>
      </c>
      <c r="N672" t="s">
        <v>33</v>
      </c>
    </row>
    <row r="673" spans="1:14" x14ac:dyDescent="0.25">
      <c r="A673" s="11" t="s">
        <v>530</v>
      </c>
      <c r="B673" s="6">
        <v>45710</v>
      </c>
      <c r="C673" s="11" t="s">
        <v>531</v>
      </c>
      <c r="D673" s="11" t="s">
        <v>36</v>
      </c>
      <c r="E673" s="11" t="s">
        <v>486</v>
      </c>
      <c r="F673" s="11" t="s">
        <v>480</v>
      </c>
      <c r="G673" s="7">
        <v>1</v>
      </c>
      <c r="H673" s="8">
        <v>44.4</v>
      </c>
      <c r="I673" s="13">
        <v>0.25</v>
      </c>
      <c r="J673" s="8">
        <f>(Table23[[#This Row],[Quantity]]*Table23[[#This Row],[Unit Price]])-(Table23[[#This Row],[Unit Price]]*Table23[[#This Row],[Dscount]])*Table23[[#This Row],[Quantity]]</f>
        <v>33.299999999999997</v>
      </c>
      <c r="K673" s="8">
        <v>19.089999999999996</v>
      </c>
      <c r="L673" s="8">
        <f>Table23[[#This Row],[Revenue]]-Table23[[#This Row],[Total Cost]]</f>
        <v>14.21</v>
      </c>
      <c r="M673" s="16">
        <f>(Table23[[#This Row],[Profit]]/Table23[[#This Row],[Revenue]])</f>
        <v>0.42672672672672679</v>
      </c>
      <c r="N673" t="s">
        <v>48</v>
      </c>
    </row>
    <row r="674" spans="1:14" x14ac:dyDescent="0.25">
      <c r="A674" s="11" t="s">
        <v>931</v>
      </c>
      <c r="B674" s="6">
        <v>45712</v>
      </c>
      <c r="C674" s="11" t="s">
        <v>932</v>
      </c>
      <c r="D674" s="11" t="s">
        <v>31</v>
      </c>
      <c r="E674" s="11" t="s">
        <v>856</v>
      </c>
      <c r="F674" s="11" t="s">
        <v>833</v>
      </c>
      <c r="G674" s="7">
        <v>2</v>
      </c>
      <c r="H674" s="8">
        <v>38.1</v>
      </c>
      <c r="I674" s="13">
        <v>0.1</v>
      </c>
      <c r="J674" s="8">
        <f>(Table23[[#This Row],[Quantity]]*Table23[[#This Row],[Unit Price]])-(Table23[[#This Row],[Unit Price]]*Table23[[#This Row],[Dscount]])*Table23[[#This Row],[Quantity]]</f>
        <v>68.58</v>
      </c>
      <c r="K674" s="8">
        <v>54.44</v>
      </c>
      <c r="L674" s="8">
        <f>Table23[[#This Row],[Revenue]]-Table23[[#This Row],[Total Cost]]</f>
        <v>14.14</v>
      </c>
      <c r="M674" s="16">
        <f>(Table23[[#This Row],[Profit]]/Table23[[#This Row],[Revenue]])</f>
        <v>0.20618256051326919</v>
      </c>
      <c r="N674" t="s">
        <v>48</v>
      </c>
    </row>
    <row r="675" spans="1:14" x14ac:dyDescent="0.25">
      <c r="A675" s="11" t="s">
        <v>528</v>
      </c>
      <c r="B675" s="6">
        <v>45500</v>
      </c>
      <c r="C675" s="11" t="s">
        <v>529</v>
      </c>
      <c r="D675" s="11" t="s">
        <v>24</v>
      </c>
      <c r="E675" s="11" t="s">
        <v>483</v>
      </c>
      <c r="F675" s="11" t="s">
        <v>480</v>
      </c>
      <c r="G675" s="7">
        <v>1</v>
      </c>
      <c r="H675" s="8">
        <v>35.83</v>
      </c>
      <c r="I675" s="13">
        <v>0.05</v>
      </c>
      <c r="J675" s="8">
        <f>(Table23[[#This Row],[Quantity]]*Table23[[#This Row],[Unit Price]])-(Table23[[#This Row],[Unit Price]]*Table23[[#This Row],[Dscount]])*Table23[[#This Row],[Quantity]]</f>
        <v>34.038499999999999</v>
      </c>
      <c r="K675" s="8">
        <v>19.948499999999999</v>
      </c>
      <c r="L675" s="8">
        <f>Table23[[#This Row],[Revenue]]-Table23[[#This Row],[Total Cost]]</f>
        <v>14.09</v>
      </c>
      <c r="M675" s="16">
        <f>(Table23[[#This Row],[Profit]]/Table23[[#This Row],[Revenue]])</f>
        <v>0.41394303509261571</v>
      </c>
      <c r="N675" t="s">
        <v>33</v>
      </c>
    </row>
    <row r="676" spans="1:14" x14ac:dyDescent="0.25">
      <c r="A676" s="11" t="s">
        <v>1230</v>
      </c>
      <c r="B676" s="6">
        <v>45667</v>
      </c>
      <c r="C676" s="11" t="s">
        <v>1231</v>
      </c>
      <c r="D676" s="11" t="s">
        <v>36</v>
      </c>
      <c r="E676" s="11" t="s">
        <v>1111</v>
      </c>
      <c r="F676" s="11" t="s">
        <v>1112</v>
      </c>
      <c r="G676" s="7">
        <v>1</v>
      </c>
      <c r="H676" s="8">
        <v>41.17</v>
      </c>
      <c r="I676" s="13">
        <v>0.1</v>
      </c>
      <c r="J676" s="8">
        <f>(Table23[[#This Row],[Quantity]]*Table23[[#This Row],[Unit Price]])-(Table23[[#This Row],[Unit Price]]*Table23[[#This Row],[Dscount]])*Table23[[#This Row],[Quantity]]</f>
        <v>37.053000000000004</v>
      </c>
      <c r="K676" s="8">
        <v>23.013000000000005</v>
      </c>
      <c r="L676" s="8">
        <f>Table23[[#This Row],[Revenue]]-Table23[[#This Row],[Total Cost]]</f>
        <v>14.04</v>
      </c>
      <c r="M676" s="16">
        <f>(Table23[[#This Row],[Profit]]/Table23[[#This Row],[Revenue]])</f>
        <v>0.37891668690794261</v>
      </c>
      <c r="N676" t="s">
        <v>33</v>
      </c>
    </row>
    <row r="677" spans="1:14" x14ac:dyDescent="0.25">
      <c r="A677" s="11" t="s">
        <v>1228</v>
      </c>
      <c r="B677" s="6">
        <v>45880</v>
      </c>
      <c r="C677" s="11" t="s">
        <v>1229</v>
      </c>
      <c r="D677" s="11" t="s">
        <v>20</v>
      </c>
      <c r="E677" s="11" t="s">
        <v>1184</v>
      </c>
      <c r="F677" s="11" t="s">
        <v>1112</v>
      </c>
      <c r="G677" s="7">
        <v>1</v>
      </c>
      <c r="H677" s="8">
        <v>52.28</v>
      </c>
      <c r="I677" s="13">
        <v>0.1</v>
      </c>
      <c r="J677" s="8">
        <f>(Table23[[#This Row],[Quantity]]*Table23[[#This Row],[Unit Price]])-(Table23[[#This Row],[Unit Price]]*Table23[[#This Row],[Dscount]])*Table23[[#This Row],[Quantity]]</f>
        <v>47.052</v>
      </c>
      <c r="K677" s="8">
        <v>33.021999999999998</v>
      </c>
      <c r="L677" s="8">
        <f>Table23[[#This Row],[Revenue]]-Table23[[#This Row],[Total Cost]]</f>
        <v>14.030000000000001</v>
      </c>
      <c r="M677" s="16">
        <f>(Table23[[#This Row],[Profit]]/Table23[[#This Row],[Revenue]])</f>
        <v>0.29818073620675001</v>
      </c>
      <c r="N677" t="s">
        <v>33</v>
      </c>
    </row>
    <row r="678" spans="1:14" x14ac:dyDescent="0.25">
      <c r="A678" s="11" t="s">
        <v>131</v>
      </c>
      <c r="B678" s="6">
        <v>45683</v>
      </c>
      <c r="C678" s="11" t="s">
        <v>132</v>
      </c>
      <c r="D678" s="11" t="s">
        <v>24</v>
      </c>
      <c r="E678" s="11" t="s">
        <v>25</v>
      </c>
      <c r="F678" s="11" t="s">
        <v>16</v>
      </c>
      <c r="G678" s="7">
        <v>2</v>
      </c>
      <c r="H678" s="8">
        <v>16.14</v>
      </c>
      <c r="I678" s="13">
        <v>0</v>
      </c>
      <c r="J678" s="8">
        <f>(Table23[[#This Row],[Quantity]]*Table23[[#This Row],[Unit Price]])-(Table23[[#This Row],[Unit Price]]*Table23[[#This Row],[Dscount]])*Table23[[#This Row],[Quantity]]</f>
        <v>32.28</v>
      </c>
      <c r="K678" s="8">
        <v>18.3</v>
      </c>
      <c r="L678" s="8">
        <f>Table23[[#This Row],[Revenue]]-Table23[[#This Row],[Total Cost]]</f>
        <v>13.98</v>
      </c>
      <c r="M678" s="16">
        <f>(Table23[[#This Row],[Profit]]/Table23[[#This Row],[Revenue]])</f>
        <v>0.43308550185873607</v>
      </c>
      <c r="N678" t="s">
        <v>33</v>
      </c>
    </row>
    <row r="679" spans="1:14" x14ac:dyDescent="0.25">
      <c r="A679" s="11" t="s">
        <v>1226</v>
      </c>
      <c r="B679" s="6">
        <v>45767</v>
      </c>
      <c r="C679" s="11" t="s">
        <v>1227</v>
      </c>
      <c r="D679" s="11" t="s">
        <v>24</v>
      </c>
      <c r="E679" s="11" t="s">
        <v>1120</v>
      </c>
      <c r="F679" s="11" t="s">
        <v>1112</v>
      </c>
      <c r="G679" s="7">
        <v>1</v>
      </c>
      <c r="H679" s="8">
        <v>49.49</v>
      </c>
      <c r="I679" s="13">
        <v>0</v>
      </c>
      <c r="J679" s="8">
        <f>(Table23[[#This Row],[Quantity]]*Table23[[#This Row],[Unit Price]])-(Table23[[#This Row],[Unit Price]]*Table23[[#This Row],[Dscount]])*Table23[[#This Row],[Quantity]]</f>
        <v>49.49</v>
      </c>
      <c r="K679" s="8">
        <v>35.510000000000005</v>
      </c>
      <c r="L679" s="8">
        <f>Table23[[#This Row],[Revenue]]-Table23[[#This Row],[Total Cost]]</f>
        <v>13.979999999999997</v>
      </c>
      <c r="M679" s="16">
        <f>(Table23[[#This Row],[Profit]]/Table23[[#This Row],[Revenue]])</f>
        <v>0.28248130935542526</v>
      </c>
      <c r="N679" t="s">
        <v>17</v>
      </c>
    </row>
    <row r="680" spans="1:14" x14ac:dyDescent="0.25">
      <c r="A680" s="11" t="s">
        <v>1224</v>
      </c>
      <c r="B680" s="6">
        <v>45514</v>
      </c>
      <c r="C680" s="11" t="s">
        <v>1225</v>
      </c>
      <c r="D680" s="11" t="s">
        <v>31</v>
      </c>
      <c r="E680" s="11" t="s">
        <v>1134</v>
      </c>
      <c r="F680" s="11" t="s">
        <v>1112</v>
      </c>
      <c r="G680" s="7">
        <v>1</v>
      </c>
      <c r="H680" s="8">
        <v>41.97</v>
      </c>
      <c r="I680" s="13">
        <v>0</v>
      </c>
      <c r="J680" s="8">
        <f>(Table23[[#This Row],[Quantity]]*Table23[[#This Row],[Unit Price]])-(Table23[[#This Row],[Unit Price]]*Table23[[#This Row],[Dscount]])*Table23[[#This Row],[Quantity]]</f>
        <v>41.97</v>
      </c>
      <c r="K680" s="8">
        <v>28.04</v>
      </c>
      <c r="L680" s="8">
        <f>Table23[[#This Row],[Revenue]]-Table23[[#This Row],[Total Cost]]</f>
        <v>13.93</v>
      </c>
      <c r="M680" s="16">
        <f>(Table23[[#This Row],[Profit]]/Table23[[#This Row],[Revenue]])</f>
        <v>0.33190374076721468</v>
      </c>
      <c r="N680" t="s">
        <v>33</v>
      </c>
    </row>
    <row r="681" spans="1:14" x14ac:dyDescent="0.25">
      <c r="A681" s="11" t="s">
        <v>1222</v>
      </c>
      <c r="B681" s="6">
        <v>45639</v>
      </c>
      <c r="C681" s="11" t="s">
        <v>1223</v>
      </c>
      <c r="D681" s="11" t="s">
        <v>24</v>
      </c>
      <c r="E681" s="11" t="s">
        <v>1124</v>
      </c>
      <c r="F681" s="11" t="s">
        <v>1112</v>
      </c>
      <c r="G681" s="7">
        <v>1</v>
      </c>
      <c r="H681" s="8">
        <v>63.69</v>
      </c>
      <c r="I681" s="13">
        <v>0.2</v>
      </c>
      <c r="J681" s="8">
        <f>(Table23[[#This Row],[Quantity]]*Table23[[#This Row],[Unit Price]])-(Table23[[#This Row],[Unit Price]]*Table23[[#This Row],[Dscount]])*Table23[[#This Row],[Quantity]]</f>
        <v>50.951999999999998</v>
      </c>
      <c r="K681" s="8">
        <v>37.082000000000001</v>
      </c>
      <c r="L681" s="8">
        <f>Table23[[#This Row],[Revenue]]-Table23[[#This Row],[Total Cost]]</f>
        <v>13.869999999999997</v>
      </c>
      <c r="M681" s="16">
        <f>(Table23[[#This Row],[Profit]]/Table23[[#This Row],[Revenue]])</f>
        <v>0.27221698853823201</v>
      </c>
      <c r="N681" t="s">
        <v>33</v>
      </c>
    </row>
    <row r="682" spans="1:14" x14ac:dyDescent="0.25">
      <c r="A682" s="11" t="s">
        <v>1612</v>
      </c>
      <c r="B682" s="6">
        <v>45701</v>
      </c>
      <c r="C682" s="11" t="s">
        <v>1613</v>
      </c>
      <c r="D682" s="11" t="s">
        <v>36</v>
      </c>
      <c r="E682" s="11" t="s">
        <v>1457</v>
      </c>
      <c r="F682" s="11" t="s">
        <v>1417</v>
      </c>
      <c r="G682" s="7">
        <v>4</v>
      </c>
      <c r="H682" s="8">
        <v>16</v>
      </c>
      <c r="I682" s="13">
        <v>0</v>
      </c>
      <c r="J682" s="8">
        <f>(Table23[[#This Row],[Quantity]]*Table23[[#This Row],[Unit Price]])-(Table23[[#This Row],[Unit Price]]*Table23[[#This Row],[Dscount]])*Table23[[#This Row],[Quantity]]</f>
        <v>64</v>
      </c>
      <c r="K682" s="8">
        <v>50.14</v>
      </c>
      <c r="L682" s="8">
        <f>Table23[[#This Row],[Revenue]]-Table23[[#This Row],[Total Cost]]</f>
        <v>13.86</v>
      </c>
      <c r="M682" s="16">
        <f>(Table23[[#This Row],[Profit]]/Table23[[#This Row],[Revenue]])</f>
        <v>0.21656249999999999</v>
      </c>
      <c r="N682" t="s">
        <v>17</v>
      </c>
    </row>
    <row r="683" spans="1:14" x14ac:dyDescent="0.25">
      <c r="A683" s="11" t="s">
        <v>526</v>
      </c>
      <c r="B683" s="6">
        <v>45377</v>
      </c>
      <c r="C683" s="11" t="s">
        <v>527</v>
      </c>
      <c r="D683" s="11" t="s">
        <v>31</v>
      </c>
      <c r="E683" s="11" t="s">
        <v>486</v>
      </c>
      <c r="F683" s="11" t="s">
        <v>480</v>
      </c>
      <c r="G683" s="7">
        <v>2</v>
      </c>
      <c r="H683" s="8">
        <v>29.84</v>
      </c>
      <c r="I683" s="13">
        <v>0.25</v>
      </c>
      <c r="J683" s="8">
        <f>(Table23[[#This Row],[Quantity]]*Table23[[#This Row],[Unit Price]])-(Table23[[#This Row],[Unit Price]]*Table23[[#This Row],[Dscount]])*Table23[[#This Row],[Quantity]]</f>
        <v>44.76</v>
      </c>
      <c r="K683" s="8">
        <v>30.97</v>
      </c>
      <c r="L683" s="8">
        <f>Table23[[#This Row],[Revenue]]-Table23[[#This Row],[Total Cost]]</f>
        <v>13.79</v>
      </c>
      <c r="M683" s="16">
        <f>(Table23[[#This Row],[Profit]]/Table23[[#This Row],[Revenue]])</f>
        <v>0.3080875781948168</v>
      </c>
      <c r="N683" t="s">
        <v>17</v>
      </c>
    </row>
    <row r="684" spans="1:14" x14ac:dyDescent="0.25">
      <c r="A684" s="11" t="s">
        <v>930</v>
      </c>
      <c r="B684" s="6">
        <v>45569</v>
      </c>
      <c r="C684" s="11" t="s">
        <v>399</v>
      </c>
      <c r="D684" s="11" t="s">
        <v>20</v>
      </c>
      <c r="E684" s="11" t="s">
        <v>846</v>
      </c>
      <c r="F684" s="11" t="s">
        <v>833</v>
      </c>
      <c r="G684" s="7">
        <v>1</v>
      </c>
      <c r="H684" s="8">
        <v>98.41</v>
      </c>
      <c r="I684" s="13">
        <v>0.15</v>
      </c>
      <c r="J684" s="8">
        <f>(Table23[[#This Row],[Quantity]]*Table23[[#This Row],[Unit Price]])-(Table23[[#This Row],[Unit Price]]*Table23[[#This Row],[Dscount]])*Table23[[#This Row],[Quantity]]</f>
        <v>83.648499999999999</v>
      </c>
      <c r="K684" s="8">
        <v>69.898499999999999</v>
      </c>
      <c r="L684" s="8">
        <f>Table23[[#This Row],[Revenue]]-Table23[[#This Row],[Total Cost]]</f>
        <v>13.75</v>
      </c>
      <c r="M684" s="16">
        <f>(Table23[[#This Row],[Profit]]/Table23[[#This Row],[Revenue]])</f>
        <v>0.16437832118926221</v>
      </c>
      <c r="N684" t="s">
        <v>33</v>
      </c>
    </row>
    <row r="685" spans="1:14" x14ac:dyDescent="0.25">
      <c r="A685" s="11" t="s">
        <v>928</v>
      </c>
      <c r="B685" s="6">
        <v>45345</v>
      </c>
      <c r="C685" s="11" t="s">
        <v>929</v>
      </c>
      <c r="D685" s="11" t="s">
        <v>31</v>
      </c>
      <c r="E685" s="11" t="s">
        <v>858</v>
      </c>
      <c r="F685" s="11" t="s">
        <v>833</v>
      </c>
      <c r="G685" s="7">
        <v>1</v>
      </c>
      <c r="H685" s="8">
        <v>67.12</v>
      </c>
      <c r="I685" s="13">
        <v>0.1</v>
      </c>
      <c r="J685" s="8">
        <f>(Table23[[#This Row],[Quantity]]*Table23[[#This Row],[Unit Price]])-(Table23[[#This Row],[Unit Price]]*Table23[[#This Row],[Dscount]])*Table23[[#This Row],[Quantity]]</f>
        <v>60.408000000000001</v>
      </c>
      <c r="K685" s="8">
        <v>46.677999999999997</v>
      </c>
      <c r="L685" s="8">
        <f>Table23[[#This Row],[Revenue]]-Table23[[#This Row],[Total Cost]]</f>
        <v>13.730000000000004</v>
      </c>
      <c r="M685" s="16">
        <f>(Table23[[#This Row],[Profit]]/Table23[[#This Row],[Revenue]])</f>
        <v>0.22728777645344994</v>
      </c>
      <c r="N685" t="s">
        <v>17</v>
      </c>
    </row>
    <row r="686" spans="1:14" x14ac:dyDescent="0.25">
      <c r="A686" s="11" t="s">
        <v>524</v>
      </c>
      <c r="B686" s="6">
        <v>45511</v>
      </c>
      <c r="C686" s="11" t="s">
        <v>525</v>
      </c>
      <c r="D686" s="11" t="s">
        <v>20</v>
      </c>
      <c r="E686" s="11" t="s">
        <v>505</v>
      </c>
      <c r="F686" s="11" t="s">
        <v>480</v>
      </c>
      <c r="G686" s="7">
        <v>1</v>
      </c>
      <c r="H686" s="8">
        <v>28.32</v>
      </c>
      <c r="I686" s="13">
        <v>0.05</v>
      </c>
      <c r="J686" s="8">
        <f>(Table23[[#This Row],[Quantity]]*Table23[[#This Row],[Unit Price]])-(Table23[[#This Row],[Unit Price]]*Table23[[#This Row],[Dscount]])*Table23[[#This Row],[Quantity]]</f>
        <v>26.904</v>
      </c>
      <c r="K686" s="8">
        <v>13.173999999999999</v>
      </c>
      <c r="L686" s="8">
        <f>Table23[[#This Row],[Revenue]]-Table23[[#This Row],[Total Cost]]</f>
        <v>13.73</v>
      </c>
      <c r="M686" s="16">
        <f>(Table23[[#This Row],[Profit]]/Table23[[#This Row],[Revenue]])</f>
        <v>0.51033303597977997</v>
      </c>
      <c r="N686" t="s">
        <v>48</v>
      </c>
    </row>
    <row r="687" spans="1:14" x14ac:dyDescent="0.25">
      <c r="A687" s="11" t="s">
        <v>129</v>
      </c>
      <c r="B687" s="6">
        <v>45630</v>
      </c>
      <c r="C687" s="11" t="s">
        <v>130</v>
      </c>
      <c r="D687" s="11" t="s">
        <v>20</v>
      </c>
      <c r="E687" s="11" t="s">
        <v>47</v>
      </c>
      <c r="F687" s="11" t="s">
        <v>16</v>
      </c>
      <c r="G687" s="7">
        <v>1</v>
      </c>
      <c r="H687" s="8">
        <v>21.55</v>
      </c>
      <c r="I687" s="13">
        <v>0</v>
      </c>
      <c r="J687" s="8">
        <f>(Table23[[#This Row],[Quantity]]*Table23[[#This Row],[Unit Price]])-(Table23[[#This Row],[Unit Price]]*Table23[[#This Row],[Dscount]])*Table23[[#This Row],[Quantity]]</f>
        <v>21.55</v>
      </c>
      <c r="K687" s="8">
        <v>7.84</v>
      </c>
      <c r="L687" s="8">
        <f>Table23[[#This Row],[Revenue]]-Table23[[#This Row],[Total Cost]]</f>
        <v>13.71</v>
      </c>
      <c r="M687" s="16">
        <f>(Table23[[#This Row],[Profit]]/Table23[[#This Row],[Revenue]])</f>
        <v>0.63619489559164732</v>
      </c>
      <c r="N687" t="s">
        <v>17</v>
      </c>
    </row>
    <row r="688" spans="1:14" x14ac:dyDescent="0.25">
      <c r="A688" s="11" t="s">
        <v>926</v>
      </c>
      <c r="B688" s="6">
        <v>46000</v>
      </c>
      <c r="C688" s="11" t="s">
        <v>927</v>
      </c>
      <c r="D688" s="11" t="s">
        <v>14</v>
      </c>
      <c r="E688" s="11" t="s">
        <v>856</v>
      </c>
      <c r="F688" s="11" t="s">
        <v>833</v>
      </c>
      <c r="G688" s="7">
        <v>1</v>
      </c>
      <c r="H688" s="8">
        <v>67.05</v>
      </c>
      <c r="I688" s="13">
        <v>0</v>
      </c>
      <c r="J688" s="8">
        <f>(Table23[[#This Row],[Quantity]]*Table23[[#This Row],[Unit Price]])-(Table23[[#This Row],[Unit Price]]*Table23[[#This Row],[Dscount]])*Table23[[#This Row],[Quantity]]</f>
        <v>67.05</v>
      </c>
      <c r="K688" s="8">
        <v>53.36</v>
      </c>
      <c r="L688" s="8">
        <f>Table23[[#This Row],[Revenue]]-Table23[[#This Row],[Total Cost]]</f>
        <v>13.689999999999998</v>
      </c>
      <c r="M688" s="16">
        <f>(Table23[[#This Row],[Profit]]/Table23[[#This Row],[Revenue]])</f>
        <v>0.20417598806860549</v>
      </c>
      <c r="N688" t="s">
        <v>33</v>
      </c>
    </row>
    <row r="689" spans="1:14" x14ac:dyDescent="0.25">
      <c r="A689" s="11" t="s">
        <v>127</v>
      </c>
      <c r="B689" s="6">
        <v>45411</v>
      </c>
      <c r="C689" s="11" t="s">
        <v>128</v>
      </c>
      <c r="D689" s="11" t="s">
        <v>36</v>
      </c>
      <c r="E689" s="11" t="s">
        <v>53</v>
      </c>
      <c r="F689" s="11" t="s">
        <v>16</v>
      </c>
      <c r="G689" s="7">
        <v>2</v>
      </c>
      <c r="H689" s="8">
        <v>16.260000000000002</v>
      </c>
      <c r="I689" s="13">
        <v>0</v>
      </c>
      <c r="J689" s="8">
        <f>(Table23[[#This Row],[Quantity]]*Table23[[#This Row],[Unit Price]])-(Table23[[#This Row],[Unit Price]]*Table23[[#This Row],[Dscount]])*Table23[[#This Row],[Quantity]]</f>
        <v>32.520000000000003</v>
      </c>
      <c r="K689" s="8">
        <v>18.850000000000001</v>
      </c>
      <c r="L689" s="8">
        <f>Table23[[#This Row],[Revenue]]-Table23[[#This Row],[Total Cost]]</f>
        <v>13.670000000000002</v>
      </c>
      <c r="M689" s="16">
        <f>(Table23[[#This Row],[Profit]]/Table23[[#This Row],[Revenue]])</f>
        <v>0.42035670356703569</v>
      </c>
      <c r="N689" t="s">
        <v>33</v>
      </c>
    </row>
    <row r="690" spans="1:14" x14ac:dyDescent="0.25">
      <c r="A690" s="11" t="s">
        <v>522</v>
      </c>
      <c r="B690" s="6">
        <v>45632</v>
      </c>
      <c r="C690" s="11" t="s">
        <v>523</v>
      </c>
      <c r="D690" s="11" t="s">
        <v>14</v>
      </c>
      <c r="E690" s="11" t="s">
        <v>496</v>
      </c>
      <c r="F690" s="11" t="s">
        <v>480</v>
      </c>
      <c r="G690" s="7">
        <v>1</v>
      </c>
      <c r="H690" s="8">
        <v>37.65</v>
      </c>
      <c r="I690" s="13">
        <v>0.1</v>
      </c>
      <c r="J690" s="8">
        <f>(Table23[[#This Row],[Quantity]]*Table23[[#This Row],[Unit Price]])-(Table23[[#This Row],[Unit Price]]*Table23[[#This Row],[Dscount]])*Table23[[#This Row],[Quantity]]</f>
        <v>33.884999999999998</v>
      </c>
      <c r="K690" s="8">
        <v>20.384999999999998</v>
      </c>
      <c r="L690" s="8">
        <f>Table23[[#This Row],[Revenue]]-Table23[[#This Row],[Total Cost]]</f>
        <v>13.5</v>
      </c>
      <c r="M690" s="16">
        <f>(Table23[[#This Row],[Profit]]/Table23[[#This Row],[Revenue]])</f>
        <v>0.39840637450199207</v>
      </c>
      <c r="N690" t="s">
        <v>17</v>
      </c>
    </row>
    <row r="691" spans="1:14" x14ac:dyDescent="0.25">
      <c r="A691" s="11" t="s">
        <v>1221</v>
      </c>
      <c r="B691" s="6">
        <v>45638</v>
      </c>
      <c r="C691" s="11" t="s">
        <v>533</v>
      </c>
      <c r="D691" s="11" t="s">
        <v>24</v>
      </c>
      <c r="E691" s="11" t="s">
        <v>1117</v>
      </c>
      <c r="F691" s="11" t="s">
        <v>1112</v>
      </c>
      <c r="G691" s="7">
        <v>1</v>
      </c>
      <c r="H691" s="8">
        <v>36.58</v>
      </c>
      <c r="I691" s="13">
        <v>0.05</v>
      </c>
      <c r="J691" s="8">
        <f>(Table23[[#This Row],[Quantity]]*Table23[[#This Row],[Unit Price]])-(Table23[[#This Row],[Unit Price]]*Table23[[#This Row],[Dscount]])*Table23[[#This Row],[Quantity]]</f>
        <v>34.750999999999998</v>
      </c>
      <c r="K691" s="8">
        <v>21.290999999999997</v>
      </c>
      <c r="L691" s="8">
        <f>Table23[[#This Row],[Revenue]]-Table23[[#This Row],[Total Cost]]</f>
        <v>13.46</v>
      </c>
      <c r="M691" s="16">
        <f>(Table23[[#This Row],[Profit]]/Table23[[#This Row],[Revenue]])</f>
        <v>0.38732698339616134</v>
      </c>
      <c r="N691" t="s">
        <v>33</v>
      </c>
    </row>
    <row r="692" spans="1:14" x14ac:dyDescent="0.25">
      <c r="A692" s="11" t="s">
        <v>1611</v>
      </c>
      <c r="B692" s="6">
        <v>45609</v>
      </c>
      <c r="C692" s="11" t="s">
        <v>874</v>
      </c>
      <c r="D692" s="11" t="s">
        <v>20</v>
      </c>
      <c r="E692" s="11" t="s">
        <v>1416</v>
      </c>
      <c r="F692" s="11" t="s">
        <v>1417</v>
      </c>
      <c r="G692" s="7">
        <v>2</v>
      </c>
      <c r="H692" s="8">
        <v>35.26</v>
      </c>
      <c r="I692" s="13">
        <v>0</v>
      </c>
      <c r="J692" s="8">
        <f>(Table23[[#This Row],[Quantity]]*Table23[[#This Row],[Unit Price]])-(Table23[[#This Row],[Unit Price]]*Table23[[#This Row],[Dscount]])*Table23[[#This Row],[Quantity]]</f>
        <v>70.52</v>
      </c>
      <c r="K692" s="8">
        <v>57.059999999999995</v>
      </c>
      <c r="L692" s="8">
        <f>Table23[[#This Row],[Revenue]]-Table23[[#This Row],[Total Cost]]</f>
        <v>13.46</v>
      </c>
      <c r="M692" s="16">
        <f>(Table23[[#This Row],[Profit]]/Table23[[#This Row],[Revenue]])</f>
        <v>0.19086783891094727</v>
      </c>
      <c r="N692" t="s">
        <v>33</v>
      </c>
    </row>
    <row r="693" spans="1:14" x14ac:dyDescent="0.25">
      <c r="A693" s="11" t="s">
        <v>1610</v>
      </c>
      <c r="B693" s="6">
        <v>45655</v>
      </c>
      <c r="C693" s="11" t="s">
        <v>1555</v>
      </c>
      <c r="D693" s="11" t="s">
        <v>31</v>
      </c>
      <c r="E693" s="11" t="s">
        <v>1420</v>
      </c>
      <c r="F693" s="11" t="s">
        <v>1417</v>
      </c>
      <c r="G693" s="7">
        <v>3</v>
      </c>
      <c r="H693" s="8">
        <v>24.14</v>
      </c>
      <c r="I693" s="13">
        <v>0.1</v>
      </c>
      <c r="J693" s="8">
        <f>(Table23[[#This Row],[Quantity]]*Table23[[#This Row],[Unit Price]])-(Table23[[#This Row],[Unit Price]]*Table23[[#This Row],[Dscount]])*Table23[[#This Row],[Quantity]]</f>
        <v>65.177999999999997</v>
      </c>
      <c r="K693" s="8">
        <v>51.777999999999999</v>
      </c>
      <c r="L693" s="8">
        <f>Table23[[#This Row],[Revenue]]-Table23[[#This Row],[Total Cost]]</f>
        <v>13.399999999999999</v>
      </c>
      <c r="M693" s="16">
        <f>(Table23[[#This Row],[Profit]]/Table23[[#This Row],[Revenue]])</f>
        <v>0.2055908435361625</v>
      </c>
      <c r="N693" t="s">
        <v>33</v>
      </c>
    </row>
    <row r="694" spans="1:14" x14ac:dyDescent="0.25">
      <c r="A694" s="11" t="s">
        <v>1608</v>
      </c>
      <c r="B694" s="6">
        <v>45670</v>
      </c>
      <c r="C694" s="11" t="s">
        <v>1609</v>
      </c>
      <c r="D694" s="11" t="s">
        <v>31</v>
      </c>
      <c r="E694" s="11" t="s">
        <v>1429</v>
      </c>
      <c r="F694" s="11" t="s">
        <v>1417</v>
      </c>
      <c r="G694" s="7">
        <v>1</v>
      </c>
      <c r="H694" s="8">
        <v>58.8</v>
      </c>
      <c r="I694" s="13">
        <v>0.05</v>
      </c>
      <c r="J694" s="8">
        <f>(Table23[[#This Row],[Quantity]]*Table23[[#This Row],[Unit Price]])-(Table23[[#This Row],[Unit Price]]*Table23[[#This Row],[Dscount]])*Table23[[#This Row],[Quantity]]</f>
        <v>55.86</v>
      </c>
      <c r="K694" s="8">
        <v>42.53</v>
      </c>
      <c r="L694" s="8">
        <f>Table23[[#This Row],[Revenue]]-Table23[[#This Row],[Total Cost]]</f>
        <v>13.329999999999998</v>
      </c>
      <c r="M694" s="16">
        <f>(Table23[[#This Row],[Profit]]/Table23[[#This Row],[Revenue]])</f>
        <v>0.23863229502327243</v>
      </c>
      <c r="N694" t="s">
        <v>17</v>
      </c>
    </row>
    <row r="695" spans="1:14" x14ac:dyDescent="0.25">
      <c r="A695" s="11" t="s">
        <v>924</v>
      </c>
      <c r="B695" s="6">
        <v>45758</v>
      </c>
      <c r="C695" s="11" t="s">
        <v>925</v>
      </c>
      <c r="D695" s="11" t="s">
        <v>14</v>
      </c>
      <c r="E695" s="11" t="s">
        <v>832</v>
      </c>
      <c r="F695" s="11" t="s">
        <v>833</v>
      </c>
      <c r="G695" s="7">
        <v>3</v>
      </c>
      <c r="H695" s="8">
        <v>53.52</v>
      </c>
      <c r="I695" s="13">
        <v>0.25</v>
      </c>
      <c r="J695" s="8">
        <f>(Table23[[#This Row],[Quantity]]*Table23[[#This Row],[Unit Price]])-(Table23[[#This Row],[Unit Price]]*Table23[[#This Row],[Dscount]])*Table23[[#This Row],[Quantity]]</f>
        <v>120.42</v>
      </c>
      <c r="K695" s="8">
        <v>107.12</v>
      </c>
      <c r="L695" s="8">
        <f>Table23[[#This Row],[Revenue]]-Table23[[#This Row],[Total Cost]]</f>
        <v>13.299999999999997</v>
      </c>
      <c r="M695" s="16">
        <f>(Table23[[#This Row],[Profit]]/Table23[[#This Row],[Revenue]])</f>
        <v>0.11044676963959472</v>
      </c>
      <c r="N695" t="s">
        <v>33</v>
      </c>
    </row>
    <row r="696" spans="1:14" x14ac:dyDescent="0.25">
      <c r="A696" s="11" t="s">
        <v>1607</v>
      </c>
      <c r="B696" s="6">
        <v>45634</v>
      </c>
      <c r="C696" s="11" t="s">
        <v>990</v>
      </c>
      <c r="D696" s="11" t="s">
        <v>24</v>
      </c>
      <c r="E696" s="11" t="s">
        <v>1429</v>
      </c>
      <c r="F696" s="11" t="s">
        <v>1417</v>
      </c>
      <c r="G696" s="7">
        <v>1</v>
      </c>
      <c r="H696" s="8">
        <v>46.7</v>
      </c>
      <c r="I696" s="13">
        <v>0.15</v>
      </c>
      <c r="J696" s="8">
        <f>(Table23[[#This Row],[Quantity]]*Table23[[#This Row],[Unit Price]])-(Table23[[#This Row],[Unit Price]]*Table23[[#This Row],[Dscount]])*Table23[[#This Row],[Quantity]]</f>
        <v>39.695</v>
      </c>
      <c r="K696" s="8">
        <v>26.435000000000002</v>
      </c>
      <c r="L696" s="8">
        <f>Table23[[#This Row],[Revenue]]-Table23[[#This Row],[Total Cost]]</f>
        <v>13.259999999999998</v>
      </c>
      <c r="M696" s="16">
        <f>(Table23[[#This Row],[Profit]]/Table23[[#This Row],[Revenue]])</f>
        <v>0.33404710920770875</v>
      </c>
      <c r="N696" t="s">
        <v>17</v>
      </c>
    </row>
    <row r="697" spans="1:14" x14ac:dyDescent="0.25">
      <c r="A697" s="11" t="s">
        <v>1220</v>
      </c>
      <c r="B697" s="6">
        <v>45818</v>
      </c>
      <c r="C697" s="11" t="s">
        <v>482</v>
      </c>
      <c r="D697" s="11" t="s">
        <v>24</v>
      </c>
      <c r="E697" s="11" t="s">
        <v>1132</v>
      </c>
      <c r="F697" s="11" t="s">
        <v>1112</v>
      </c>
      <c r="G697" s="7">
        <v>1</v>
      </c>
      <c r="H697" s="8">
        <v>65.209999999999994</v>
      </c>
      <c r="I697" s="13">
        <v>0.2</v>
      </c>
      <c r="J697" s="8">
        <f>(Table23[[#This Row],[Quantity]]*Table23[[#This Row],[Unit Price]])-(Table23[[#This Row],[Unit Price]]*Table23[[#This Row],[Dscount]])*Table23[[#This Row],[Quantity]]</f>
        <v>52.167999999999992</v>
      </c>
      <c r="K697" s="8">
        <v>38.967999999999989</v>
      </c>
      <c r="L697" s="8">
        <f>Table23[[#This Row],[Revenue]]-Table23[[#This Row],[Total Cost]]</f>
        <v>13.200000000000003</v>
      </c>
      <c r="M697" s="16">
        <f>(Table23[[#This Row],[Profit]]/Table23[[#This Row],[Revenue]])</f>
        <v>0.25302867658334621</v>
      </c>
      <c r="N697" t="s">
        <v>33</v>
      </c>
    </row>
    <row r="698" spans="1:14" x14ac:dyDescent="0.25">
      <c r="A698" s="11" t="s">
        <v>1219</v>
      </c>
      <c r="B698" s="6">
        <v>45721</v>
      </c>
      <c r="C698" s="11" t="s">
        <v>82</v>
      </c>
      <c r="D698" s="11" t="s">
        <v>20</v>
      </c>
      <c r="E698" s="11" t="s">
        <v>1124</v>
      </c>
      <c r="F698" s="11" t="s">
        <v>1112</v>
      </c>
      <c r="G698" s="7">
        <v>2</v>
      </c>
      <c r="H698" s="8">
        <v>31.72</v>
      </c>
      <c r="I698" s="13">
        <v>0</v>
      </c>
      <c r="J698" s="8">
        <f>(Table23[[#This Row],[Quantity]]*Table23[[#This Row],[Unit Price]])-(Table23[[#This Row],[Unit Price]]*Table23[[#This Row],[Dscount]])*Table23[[#This Row],[Quantity]]</f>
        <v>63.44</v>
      </c>
      <c r="K698" s="8">
        <v>50.25</v>
      </c>
      <c r="L698" s="8">
        <f>Table23[[#This Row],[Revenue]]-Table23[[#This Row],[Total Cost]]</f>
        <v>13.189999999999998</v>
      </c>
      <c r="M698" s="16">
        <f>(Table23[[#This Row],[Profit]]/Table23[[#This Row],[Revenue]])</f>
        <v>0.20791298865069355</v>
      </c>
      <c r="N698" t="s">
        <v>33</v>
      </c>
    </row>
    <row r="699" spans="1:14" x14ac:dyDescent="0.25">
      <c r="A699" s="11" t="s">
        <v>1218</v>
      </c>
      <c r="B699" s="6">
        <v>45887</v>
      </c>
      <c r="C699" s="11" t="s">
        <v>488</v>
      </c>
      <c r="D699" s="11" t="s">
        <v>36</v>
      </c>
      <c r="E699" s="11" t="s">
        <v>1114</v>
      </c>
      <c r="F699" s="11" t="s">
        <v>1112</v>
      </c>
      <c r="G699" s="7">
        <v>1</v>
      </c>
      <c r="H699" s="8">
        <v>47.81</v>
      </c>
      <c r="I699" s="13">
        <v>0.1</v>
      </c>
      <c r="J699" s="8">
        <f>(Table23[[#This Row],[Quantity]]*Table23[[#This Row],[Unit Price]])-(Table23[[#This Row],[Unit Price]]*Table23[[#This Row],[Dscount]])*Table23[[#This Row],[Quantity]]</f>
        <v>43.029000000000003</v>
      </c>
      <c r="K699" s="8">
        <v>29.899000000000001</v>
      </c>
      <c r="L699" s="8">
        <f>Table23[[#This Row],[Revenue]]-Table23[[#This Row],[Total Cost]]</f>
        <v>13.130000000000003</v>
      </c>
      <c r="M699" s="16">
        <f>(Table23[[#This Row],[Profit]]/Table23[[#This Row],[Revenue]])</f>
        <v>0.30514304306398016</v>
      </c>
      <c r="N699" t="s">
        <v>33</v>
      </c>
    </row>
    <row r="700" spans="1:14" x14ac:dyDescent="0.25">
      <c r="A700" s="11" t="s">
        <v>1606</v>
      </c>
      <c r="B700" s="6">
        <v>45361</v>
      </c>
      <c r="C700" s="11" t="s">
        <v>130</v>
      </c>
      <c r="D700" s="11" t="s">
        <v>36</v>
      </c>
      <c r="E700" s="11" t="s">
        <v>1439</v>
      </c>
      <c r="F700" s="11" t="s">
        <v>1417</v>
      </c>
      <c r="G700" s="7">
        <v>2</v>
      </c>
      <c r="H700" s="8">
        <v>37.020000000000003</v>
      </c>
      <c r="I700" s="13">
        <v>0</v>
      </c>
      <c r="J700" s="8">
        <f>(Table23[[#This Row],[Quantity]]*Table23[[#This Row],[Unit Price]])-(Table23[[#This Row],[Unit Price]]*Table23[[#This Row],[Dscount]])*Table23[[#This Row],[Quantity]]</f>
        <v>74.040000000000006</v>
      </c>
      <c r="K700" s="8">
        <v>60.940000000000005</v>
      </c>
      <c r="L700" s="8">
        <f>Table23[[#This Row],[Revenue]]-Table23[[#This Row],[Total Cost]]</f>
        <v>13.100000000000001</v>
      </c>
      <c r="M700" s="16">
        <f>(Table23[[#This Row],[Profit]]/Table23[[#This Row],[Revenue]])</f>
        <v>0.17693138843868181</v>
      </c>
      <c r="N700" t="s">
        <v>33</v>
      </c>
    </row>
    <row r="701" spans="1:14" x14ac:dyDescent="0.25">
      <c r="A701" s="11" t="s">
        <v>521</v>
      </c>
      <c r="B701" s="6">
        <v>45395</v>
      </c>
      <c r="C701" s="11" t="s">
        <v>456</v>
      </c>
      <c r="D701" s="11" t="s">
        <v>31</v>
      </c>
      <c r="E701" s="11" t="s">
        <v>483</v>
      </c>
      <c r="F701" s="11" t="s">
        <v>480</v>
      </c>
      <c r="G701" s="7">
        <v>1</v>
      </c>
      <c r="H701" s="8">
        <v>26.13</v>
      </c>
      <c r="I701" s="13">
        <v>0.05</v>
      </c>
      <c r="J701" s="8">
        <f>(Table23[[#This Row],[Quantity]]*Table23[[#This Row],[Unit Price]])-(Table23[[#This Row],[Unit Price]]*Table23[[#This Row],[Dscount]])*Table23[[#This Row],[Quantity]]</f>
        <v>24.823499999999999</v>
      </c>
      <c r="K701" s="8">
        <v>11.743499999999999</v>
      </c>
      <c r="L701" s="8">
        <f>Table23[[#This Row],[Revenue]]-Table23[[#This Row],[Total Cost]]</f>
        <v>13.08</v>
      </c>
      <c r="M701" s="16">
        <f>(Table23[[#This Row],[Profit]]/Table23[[#This Row],[Revenue]])</f>
        <v>0.52692005559248289</v>
      </c>
      <c r="N701" t="s">
        <v>33</v>
      </c>
    </row>
    <row r="702" spans="1:14" x14ac:dyDescent="0.25">
      <c r="A702" s="11" t="s">
        <v>1217</v>
      </c>
      <c r="B702" s="6">
        <v>45813</v>
      </c>
      <c r="C702" s="11" t="s">
        <v>307</v>
      </c>
      <c r="D702" s="11" t="s">
        <v>31</v>
      </c>
      <c r="E702" s="11" t="s">
        <v>1134</v>
      </c>
      <c r="F702" s="11" t="s">
        <v>1112</v>
      </c>
      <c r="G702" s="7">
        <v>1</v>
      </c>
      <c r="H702" s="8">
        <v>41.62</v>
      </c>
      <c r="I702" s="13">
        <v>0.1</v>
      </c>
      <c r="J702" s="8">
        <f>(Table23[[#This Row],[Quantity]]*Table23[[#This Row],[Unit Price]])-(Table23[[#This Row],[Unit Price]]*Table23[[#This Row],[Dscount]])*Table23[[#This Row],[Quantity]]</f>
        <v>37.457999999999998</v>
      </c>
      <c r="K702" s="8">
        <v>24.407999999999998</v>
      </c>
      <c r="L702" s="8">
        <f>Table23[[#This Row],[Revenue]]-Table23[[#This Row],[Total Cost]]</f>
        <v>13.05</v>
      </c>
      <c r="M702" s="16">
        <f>(Table23[[#This Row],[Profit]]/Table23[[#This Row],[Revenue]])</f>
        <v>0.34839019702066315</v>
      </c>
      <c r="N702" t="s">
        <v>33</v>
      </c>
    </row>
    <row r="703" spans="1:14" x14ac:dyDescent="0.25">
      <c r="A703" s="11" t="s">
        <v>1604</v>
      </c>
      <c r="B703" s="6">
        <v>45876</v>
      </c>
      <c r="C703" s="11" t="s">
        <v>1605</v>
      </c>
      <c r="D703" s="11" t="s">
        <v>36</v>
      </c>
      <c r="E703" s="11" t="s">
        <v>1478</v>
      </c>
      <c r="F703" s="11" t="s">
        <v>1417</v>
      </c>
      <c r="G703" s="7">
        <v>1</v>
      </c>
      <c r="H703" s="8">
        <v>41.49</v>
      </c>
      <c r="I703" s="13">
        <v>0</v>
      </c>
      <c r="J703" s="8">
        <f>(Table23[[#This Row],[Quantity]]*Table23[[#This Row],[Unit Price]])-(Table23[[#This Row],[Unit Price]]*Table23[[#This Row],[Dscount]])*Table23[[#This Row],[Quantity]]</f>
        <v>41.49</v>
      </c>
      <c r="K703" s="8">
        <v>28.46</v>
      </c>
      <c r="L703" s="8">
        <f>Table23[[#This Row],[Revenue]]-Table23[[#This Row],[Total Cost]]</f>
        <v>13.030000000000001</v>
      </c>
      <c r="M703" s="16">
        <f>(Table23[[#This Row],[Profit]]/Table23[[#This Row],[Revenue]])</f>
        <v>0.31405157869366113</v>
      </c>
      <c r="N703" t="s">
        <v>33</v>
      </c>
    </row>
    <row r="704" spans="1:14" x14ac:dyDescent="0.25">
      <c r="A704" s="11" t="s">
        <v>922</v>
      </c>
      <c r="B704" s="6">
        <v>45305</v>
      </c>
      <c r="C704" s="11" t="s">
        <v>923</v>
      </c>
      <c r="D704" s="11" t="s">
        <v>36</v>
      </c>
      <c r="E704" s="11" t="s">
        <v>840</v>
      </c>
      <c r="F704" s="11" t="s">
        <v>833</v>
      </c>
      <c r="G704" s="7">
        <v>2</v>
      </c>
      <c r="H704" s="8">
        <v>63.76</v>
      </c>
      <c r="I704" s="13">
        <v>0</v>
      </c>
      <c r="J704" s="8">
        <f>(Table23[[#This Row],[Quantity]]*Table23[[#This Row],[Unit Price]])-(Table23[[#This Row],[Unit Price]]*Table23[[#This Row],[Dscount]])*Table23[[#This Row],[Quantity]]</f>
        <v>127.52</v>
      </c>
      <c r="K704" s="8">
        <v>114.50999999999999</v>
      </c>
      <c r="L704" s="8">
        <f>Table23[[#This Row],[Revenue]]-Table23[[#This Row],[Total Cost]]</f>
        <v>13.010000000000005</v>
      </c>
      <c r="M704" s="16">
        <f>(Table23[[#This Row],[Profit]]/Table23[[#This Row],[Revenue]])</f>
        <v>0.10202321204516943</v>
      </c>
      <c r="N704" t="s">
        <v>48</v>
      </c>
    </row>
    <row r="705" spans="1:14" x14ac:dyDescent="0.25">
      <c r="A705" s="11" t="s">
        <v>125</v>
      </c>
      <c r="B705" s="6">
        <v>45299</v>
      </c>
      <c r="C705" s="11" t="s">
        <v>126</v>
      </c>
      <c r="D705" s="11" t="s">
        <v>14</v>
      </c>
      <c r="E705" s="11" t="s">
        <v>32</v>
      </c>
      <c r="F705" s="11" t="s">
        <v>16</v>
      </c>
      <c r="G705" s="7">
        <v>1</v>
      </c>
      <c r="H705" s="8">
        <v>22.47</v>
      </c>
      <c r="I705" s="13">
        <v>0.05</v>
      </c>
      <c r="J705" s="8">
        <f>(Table23[[#This Row],[Quantity]]*Table23[[#This Row],[Unit Price]])-(Table23[[#This Row],[Unit Price]]*Table23[[#This Row],[Dscount]])*Table23[[#This Row],[Quantity]]</f>
        <v>21.346499999999999</v>
      </c>
      <c r="K705" s="8">
        <v>8.3664999999999985</v>
      </c>
      <c r="L705" s="8">
        <f>Table23[[#This Row],[Revenue]]-Table23[[#This Row],[Total Cost]]</f>
        <v>12.98</v>
      </c>
      <c r="M705" s="16">
        <f>(Table23[[#This Row],[Profit]]/Table23[[#This Row],[Revenue]])</f>
        <v>0.60806221160377583</v>
      </c>
      <c r="N705" t="s">
        <v>33</v>
      </c>
    </row>
    <row r="706" spans="1:14" x14ac:dyDescent="0.25">
      <c r="A706" s="11" t="s">
        <v>1602</v>
      </c>
      <c r="B706" s="6">
        <v>45748</v>
      </c>
      <c r="C706" s="11" t="s">
        <v>1603</v>
      </c>
      <c r="D706" s="11" t="s">
        <v>20</v>
      </c>
      <c r="E706" s="11" t="s">
        <v>1443</v>
      </c>
      <c r="F706" s="11" t="s">
        <v>1417</v>
      </c>
      <c r="G706" s="7">
        <v>4</v>
      </c>
      <c r="H706" s="8">
        <v>17.04</v>
      </c>
      <c r="I706" s="13">
        <v>0</v>
      </c>
      <c r="J706" s="8">
        <f>(Table23[[#This Row],[Quantity]]*Table23[[#This Row],[Unit Price]])-(Table23[[#This Row],[Unit Price]]*Table23[[#This Row],[Dscount]])*Table23[[#This Row],[Quantity]]</f>
        <v>68.16</v>
      </c>
      <c r="K706" s="8">
        <v>55.22</v>
      </c>
      <c r="L706" s="8">
        <f>Table23[[#This Row],[Revenue]]-Table23[[#This Row],[Total Cost]]</f>
        <v>12.939999999999998</v>
      </c>
      <c r="M706" s="16">
        <f>(Table23[[#This Row],[Profit]]/Table23[[#This Row],[Revenue]])</f>
        <v>0.18984741784037557</v>
      </c>
      <c r="N706" t="s">
        <v>17</v>
      </c>
    </row>
    <row r="707" spans="1:14" x14ac:dyDescent="0.25">
      <c r="A707" s="11" t="s">
        <v>1214</v>
      </c>
      <c r="B707" s="6">
        <v>45463</v>
      </c>
      <c r="C707" s="11" t="s">
        <v>872</v>
      </c>
      <c r="D707" s="11" t="s">
        <v>14</v>
      </c>
      <c r="E707" s="11" t="s">
        <v>1132</v>
      </c>
      <c r="F707" s="11" t="s">
        <v>1112</v>
      </c>
      <c r="G707" s="7">
        <v>1</v>
      </c>
      <c r="H707" s="8">
        <v>38.049999999999997</v>
      </c>
      <c r="I707" s="13">
        <v>0</v>
      </c>
      <c r="J707" s="8">
        <f>(Table23[[#This Row],[Quantity]]*Table23[[#This Row],[Unit Price]])-(Table23[[#This Row],[Unit Price]]*Table23[[#This Row],[Dscount]])*Table23[[#This Row],[Quantity]]</f>
        <v>38.049999999999997</v>
      </c>
      <c r="K707" s="8">
        <v>25.139999999999997</v>
      </c>
      <c r="L707" s="8">
        <f>Table23[[#This Row],[Revenue]]-Table23[[#This Row],[Total Cost]]</f>
        <v>12.91</v>
      </c>
      <c r="M707" s="16">
        <f>(Table23[[#This Row],[Profit]]/Table23[[#This Row],[Revenue]])</f>
        <v>0.33929040735873855</v>
      </c>
      <c r="N707" t="s">
        <v>17</v>
      </c>
    </row>
    <row r="708" spans="1:14" x14ac:dyDescent="0.25">
      <c r="A708" s="11" t="s">
        <v>1215</v>
      </c>
      <c r="B708" s="6">
        <v>45886</v>
      </c>
      <c r="C708" s="11" t="s">
        <v>1216</v>
      </c>
      <c r="D708" s="11" t="s">
        <v>20</v>
      </c>
      <c r="E708" s="11" t="s">
        <v>1111</v>
      </c>
      <c r="F708" s="11" t="s">
        <v>1112</v>
      </c>
      <c r="G708" s="7">
        <v>1</v>
      </c>
      <c r="H708" s="8">
        <v>43.99</v>
      </c>
      <c r="I708" s="13">
        <v>0.05</v>
      </c>
      <c r="J708" s="8">
        <f>(Table23[[#This Row],[Quantity]]*Table23[[#This Row],[Unit Price]])-(Table23[[#This Row],[Unit Price]]*Table23[[#This Row],[Dscount]])*Table23[[#This Row],[Quantity]]</f>
        <v>41.790500000000002</v>
      </c>
      <c r="K708" s="8">
        <v>28.880500000000001</v>
      </c>
      <c r="L708" s="8">
        <f>Table23[[#This Row],[Revenue]]-Table23[[#This Row],[Total Cost]]</f>
        <v>12.91</v>
      </c>
      <c r="M708" s="16">
        <f>(Table23[[#This Row],[Profit]]/Table23[[#This Row],[Revenue]])</f>
        <v>0.30892188416027566</v>
      </c>
      <c r="N708" t="s">
        <v>17</v>
      </c>
    </row>
    <row r="709" spans="1:14" x14ac:dyDescent="0.25">
      <c r="A709" s="11" t="s">
        <v>1601</v>
      </c>
      <c r="B709" s="6">
        <v>45389</v>
      </c>
      <c r="C709" s="11" t="s">
        <v>742</v>
      </c>
      <c r="D709" s="11" t="s">
        <v>31</v>
      </c>
      <c r="E709" s="11" t="s">
        <v>1478</v>
      </c>
      <c r="F709" s="11" t="s">
        <v>1417</v>
      </c>
      <c r="G709" s="7">
        <v>2</v>
      </c>
      <c r="H709" s="8">
        <v>28.26</v>
      </c>
      <c r="I709" s="13">
        <v>0</v>
      </c>
      <c r="J709" s="8">
        <f>(Table23[[#This Row],[Quantity]]*Table23[[#This Row],[Unit Price]])-(Table23[[#This Row],[Unit Price]]*Table23[[#This Row],[Dscount]])*Table23[[#This Row],[Quantity]]</f>
        <v>56.52</v>
      </c>
      <c r="K709" s="8">
        <v>43.620000000000005</v>
      </c>
      <c r="L709" s="8">
        <f>Table23[[#This Row],[Revenue]]-Table23[[#This Row],[Total Cost]]</f>
        <v>12.899999999999999</v>
      </c>
      <c r="M709" s="16">
        <f>(Table23[[#This Row],[Profit]]/Table23[[#This Row],[Revenue]])</f>
        <v>0.2282377919320594</v>
      </c>
      <c r="N709" t="s">
        <v>33</v>
      </c>
    </row>
    <row r="710" spans="1:14" x14ac:dyDescent="0.25">
      <c r="A710" s="11" t="s">
        <v>920</v>
      </c>
      <c r="B710" s="6">
        <v>45551</v>
      </c>
      <c r="C710" s="11" t="s">
        <v>921</v>
      </c>
      <c r="D710" s="11" t="s">
        <v>14</v>
      </c>
      <c r="E710" s="11" t="s">
        <v>846</v>
      </c>
      <c r="F710" s="11" t="s">
        <v>833</v>
      </c>
      <c r="G710" s="7">
        <v>1</v>
      </c>
      <c r="H710" s="8">
        <v>119.01</v>
      </c>
      <c r="I710" s="13">
        <v>0.15</v>
      </c>
      <c r="J710" s="8">
        <f>(Table23[[#This Row],[Quantity]]*Table23[[#This Row],[Unit Price]])-(Table23[[#This Row],[Unit Price]]*Table23[[#This Row],[Dscount]])*Table23[[#This Row],[Quantity]]</f>
        <v>101.1585</v>
      </c>
      <c r="K710" s="8">
        <v>88.328500000000005</v>
      </c>
      <c r="L710" s="8">
        <f>Table23[[#This Row],[Revenue]]-Table23[[#This Row],[Total Cost]]</f>
        <v>12.829999999999998</v>
      </c>
      <c r="M710" s="16">
        <f>(Table23[[#This Row],[Profit]]/Table23[[#This Row],[Revenue]])</f>
        <v>0.12683066672597951</v>
      </c>
      <c r="N710" t="s">
        <v>17</v>
      </c>
    </row>
    <row r="711" spans="1:14" x14ac:dyDescent="0.25">
      <c r="A711" s="11" t="s">
        <v>123</v>
      </c>
      <c r="B711" s="6">
        <v>45859</v>
      </c>
      <c r="C711" s="11" t="s">
        <v>124</v>
      </c>
      <c r="D711" s="11" t="s">
        <v>36</v>
      </c>
      <c r="E711" s="11" t="s">
        <v>68</v>
      </c>
      <c r="F711" s="11" t="s">
        <v>16</v>
      </c>
      <c r="G711" s="7">
        <v>1</v>
      </c>
      <c r="H711" s="8">
        <v>22.95</v>
      </c>
      <c r="I711" s="13">
        <v>0</v>
      </c>
      <c r="J711" s="8">
        <f>(Table23[[#This Row],[Quantity]]*Table23[[#This Row],[Unit Price]])-(Table23[[#This Row],[Unit Price]]*Table23[[#This Row],[Dscount]])*Table23[[#This Row],[Quantity]]</f>
        <v>22.95</v>
      </c>
      <c r="K711" s="8">
        <v>10.139999999999999</v>
      </c>
      <c r="L711" s="8">
        <f>Table23[[#This Row],[Revenue]]-Table23[[#This Row],[Total Cost]]</f>
        <v>12.81</v>
      </c>
      <c r="M711" s="16">
        <f>(Table23[[#This Row],[Profit]]/Table23[[#This Row],[Revenue]])</f>
        <v>0.55816993464052289</v>
      </c>
      <c r="N711" t="s">
        <v>33</v>
      </c>
    </row>
    <row r="712" spans="1:14" x14ac:dyDescent="0.25">
      <c r="A712" s="11" t="s">
        <v>1212</v>
      </c>
      <c r="B712" s="6">
        <v>45409</v>
      </c>
      <c r="C712" s="11" t="s">
        <v>1213</v>
      </c>
      <c r="D712" s="11" t="s">
        <v>24</v>
      </c>
      <c r="E712" s="11" t="s">
        <v>1184</v>
      </c>
      <c r="F712" s="11" t="s">
        <v>1112</v>
      </c>
      <c r="G712" s="7">
        <v>2</v>
      </c>
      <c r="H712" s="8">
        <v>17.989999999999998</v>
      </c>
      <c r="I712" s="13">
        <v>0.1</v>
      </c>
      <c r="J712" s="8">
        <f>(Table23[[#This Row],[Quantity]]*Table23[[#This Row],[Unit Price]])-(Table23[[#This Row],[Unit Price]]*Table23[[#This Row],[Dscount]])*Table23[[#This Row],[Quantity]]</f>
        <v>32.381999999999998</v>
      </c>
      <c r="K712" s="8">
        <v>19.581999999999997</v>
      </c>
      <c r="L712" s="8">
        <f>Table23[[#This Row],[Revenue]]-Table23[[#This Row],[Total Cost]]</f>
        <v>12.8</v>
      </c>
      <c r="M712" s="16">
        <f>(Table23[[#This Row],[Profit]]/Table23[[#This Row],[Revenue]])</f>
        <v>0.39528132913346925</v>
      </c>
      <c r="N712" t="s">
        <v>17</v>
      </c>
    </row>
    <row r="713" spans="1:14" x14ac:dyDescent="0.25">
      <c r="A713" s="11" t="s">
        <v>1600</v>
      </c>
      <c r="B713" s="6">
        <v>45920</v>
      </c>
      <c r="C713" s="11" t="s">
        <v>1560</v>
      </c>
      <c r="D713" s="11" t="s">
        <v>20</v>
      </c>
      <c r="E713" s="11" t="s">
        <v>1478</v>
      </c>
      <c r="F713" s="11" t="s">
        <v>1417</v>
      </c>
      <c r="G713" s="7">
        <v>3</v>
      </c>
      <c r="H713" s="8">
        <v>13.52</v>
      </c>
      <c r="I713" s="13">
        <v>0</v>
      </c>
      <c r="J713" s="8">
        <f>(Table23[[#This Row],[Quantity]]*Table23[[#This Row],[Unit Price]])-(Table23[[#This Row],[Unit Price]]*Table23[[#This Row],[Dscount]])*Table23[[#This Row],[Quantity]]</f>
        <v>40.56</v>
      </c>
      <c r="K713" s="8">
        <v>27.82</v>
      </c>
      <c r="L713" s="8">
        <f>Table23[[#This Row],[Revenue]]-Table23[[#This Row],[Total Cost]]</f>
        <v>12.740000000000002</v>
      </c>
      <c r="M713" s="16">
        <f>(Table23[[#This Row],[Profit]]/Table23[[#This Row],[Revenue]])</f>
        <v>0.31410256410256415</v>
      </c>
      <c r="N713" t="s">
        <v>17</v>
      </c>
    </row>
    <row r="714" spans="1:14" x14ac:dyDescent="0.25">
      <c r="A714" s="11" t="s">
        <v>1211</v>
      </c>
      <c r="B714" s="6">
        <v>45475</v>
      </c>
      <c r="C714" s="11" t="s">
        <v>1087</v>
      </c>
      <c r="D714" s="11" t="s">
        <v>14</v>
      </c>
      <c r="E714" s="11" t="s">
        <v>1155</v>
      </c>
      <c r="F714" s="11" t="s">
        <v>1112</v>
      </c>
      <c r="G714" s="7">
        <v>3</v>
      </c>
      <c r="H714" s="8">
        <v>13.31</v>
      </c>
      <c r="I714" s="13">
        <v>0.2</v>
      </c>
      <c r="J714" s="8">
        <f>(Table23[[#This Row],[Quantity]]*Table23[[#This Row],[Unit Price]])-(Table23[[#This Row],[Unit Price]]*Table23[[#This Row],[Dscount]])*Table23[[#This Row],[Quantity]]</f>
        <v>31.943999999999999</v>
      </c>
      <c r="K714" s="8">
        <v>19.233999999999998</v>
      </c>
      <c r="L714" s="8">
        <f>Table23[[#This Row],[Revenue]]-Table23[[#This Row],[Total Cost]]</f>
        <v>12.71</v>
      </c>
      <c r="M714" s="16">
        <f>(Table23[[#This Row],[Profit]]/Table23[[#This Row],[Revenue]])</f>
        <v>0.39788379664412726</v>
      </c>
      <c r="N714" t="s">
        <v>48</v>
      </c>
    </row>
    <row r="715" spans="1:14" x14ac:dyDescent="0.25">
      <c r="A715" s="11" t="s">
        <v>1209</v>
      </c>
      <c r="B715" s="6">
        <v>45482</v>
      </c>
      <c r="C715" s="11" t="s">
        <v>1210</v>
      </c>
      <c r="D715" s="11" t="s">
        <v>31</v>
      </c>
      <c r="E715" s="11" t="s">
        <v>1114</v>
      </c>
      <c r="F715" s="11" t="s">
        <v>1112</v>
      </c>
      <c r="G715" s="7">
        <v>1</v>
      </c>
      <c r="H715" s="8">
        <v>63.5</v>
      </c>
      <c r="I715" s="13">
        <v>0.05</v>
      </c>
      <c r="J715" s="8">
        <f>(Table23[[#This Row],[Quantity]]*Table23[[#This Row],[Unit Price]])-(Table23[[#This Row],[Unit Price]]*Table23[[#This Row],[Dscount]])*Table23[[#This Row],[Quantity]]</f>
        <v>60.325000000000003</v>
      </c>
      <c r="K715" s="8">
        <v>47.625</v>
      </c>
      <c r="L715" s="8">
        <f>Table23[[#This Row],[Revenue]]-Table23[[#This Row],[Total Cost]]</f>
        <v>12.700000000000003</v>
      </c>
      <c r="M715" s="16">
        <f>(Table23[[#This Row],[Profit]]/Table23[[#This Row],[Revenue]])</f>
        <v>0.21052631578947373</v>
      </c>
      <c r="N715" t="s">
        <v>17</v>
      </c>
    </row>
    <row r="716" spans="1:14" x14ac:dyDescent="0.25">
      <c r="A716" s="11" t="s">
        <v>121</v>
      </c>
      <c r="B716" s="6">
        <v>45416</v>
      </c>
      <c r="C716" s="11" t="s">
        <v>122</v>
      </c>
      <c r="D716" s="11" t="s">
        <v>31</v>
      </c>
      <c r="E716" s="11" t="s">
        <v>47</v>
      </c>
      <c r="F716" s="11" t="s">
        <v>16</v>
      </c>
      <c r="G716" s="7">
        <v>1</v>
      </c>
      <c r="H716" s="8">
        <v>25.92</v>
      </c>
      <c r="I716" s="13">
        <v>0.1</v>
      </c>
      <c r="J716" s="8">
        <f>(Table23[[#This Row],[Quantity]]*Table23[[#This Row],[Unit Price]])-(Table23[[#This Row],[Unit Price]]*Table23[[#This Row],[Dscount]])*Table23[[#This Row],[Quantity]]</f>
        <v>23.328000000000003</v>
      </c>
      <c r="K716" s="8">
        <v>10.628000000000004</v>
      </c>
      <c r="L716" s="8">
        <f>Table23[[#This Row],[Revenue]]-Table23[[#This Row],[Total Cost]]</f>
        <v>12.7</v>
      </c>
      <c r="M716" s="16">
        <f>(Table23[[#This Row],[Profit]]/Table23[[#This Row],[Revenue]])</f>
        <v>0.54441015089163225</v>
      </c>
      <c r="N716" t="s">
        <v>33</v>
      </c>
    </row>
    <row r="717" spans="1:14" x14ac:dyDescent="0.25">
      <c r="A717" s="11" t="s">
        <v>1599</v>
      </c>
      <c r="B717" s="6">
        <v>45440</v>
      </c>
      <c r="C717" s="11" t="s">
        <v>244</v>
      </c>
      <c r="D717" s="11" t="s">
        <v>31</v>
      </c>
      <c r="E717" s="11" t="s">
        <v>1457</v>
      </c>
      <c r="F717" s="11" t="s">
        <v>1417</v>
      </c>
      <c r="G717" s="7">
        <v>1</v>
      </c>
      <c r="H717" s="8">
        <v>45.87</v>
      </c>
      <c r="I717" s="13">
        <v>0.15</v>
      </c>
      <c r="J717" s="8">
        <f>(Table23[[#This Row],[Quantity]]*Table23[[#This Row],[Unit Price]])-(Table23[[#This Row],[Unit Price]]*Table23[[#This Row],[Dscount]])*Table23[[#This Row],[Quantity]]</f>
        <v>38.9895</v>
      </c>
      <c r="K717" s="8">
        <v>26.2895</v>
      </c>
      <c r="L717" s="8">
        <f>Table23[[#This Row],[Revenue]]-Table23[[#This Row],[Total Cost]]</f>
        <v>12.7</v>
      </c>
      <c r="M717" s="16">
        <f>(Table23[[#This Row],[Profit]]/Table23[[#This Row],[Revenue]])</f>
        <v>0.32572872183536594</v>
      </c>
      <c r="N717" t="s">
        <v>17</v>
      </c>
    </row>
    <row r="718" spans="1:14" x14ac:dyDescent="0.25">
      <c r="A718" s="11" t="s">
        <v>1205</v>
      </c>
      <c r="B718" s="6">
        <v>45441</v>
      </c>
      <c r="C718" s="11" t="s">
        <v>1206</v>
      </c>
      <c r="D718" s="11" t="s">
        <v>24</v>
      </c>
      <c r="E718" s="11" t="s">
        <v>1124</v>
      </c>
      <c r="F718" s="11" t="s">
        <v>1112</v>
      </c>
      <c r="G718" s="7">
        <v>1</v>
      </c>
      <c r="H718" s="8">
        <v>43.27</v>
      </c>
      <c r="I718" s="13">
        <v>0.1</v>
      </c>
      <c r="J718" s="8">
        <f>(Table23[[#This Row],[Quantity]]*Table23[[#This Row],[Unit Price]])-(Table23[[#This Row],[Unit Price]]*Table23[[#This Row],[Dscount]])*Table23[[#This Row],[Quantity]]</f>
        <v>38.943000000000005</v>
      </c>
      <c r="K718" s="8">
        <v>26.273000000000003</v>
      </c>
      <c r="L718" s="8">
        <f>Table23[[#This Row],[Revenue]]-Table23[[#This Row],[Total Cost]]</f>
        <v>12.670000000000002</v>
      </c>
      <c r="M718" s="16">
        <f>(Table23[[#This Row],[Profit]]/Table23[[#This Row],[Revenue]])</f>
        <v>0.32534730246770921</v>
      </c>
      <c r="N718" t="s">
        <v>33</v>
      </c>
    </row>
    <row r="719" spans="1:14" x14ac:dyDescent="0.25">
      <c r="A719" s="11" t="s">
        <v>1207</v>
      </c>
      <c r="B719" s="6">
        <v>45742</v>
      </c>
      <c r="C719" s="11" t="s">
        <v>1208</v>
      </c>
      <c r="D719" s="11" t="s">
        <v>36</v>
      </c>
      <c r="E719" s="11" t="s">
        <v>1117</v>
      </c>
      <c r="F719" s="11" t="s">
        <v>1112</v>
      </c>
      <c r="G719" s="7">
        <v>2</v>
      </c>
      <c r="H719" s="8">
        <v>24.48</v>
      </c>
      <c r="I719" s="13">
        <v>0.1</v>
      </c>
      <c r="J719" s="8">
        <f>(Table23[[#This Row],[Quantity]]*Table23[[#This Row],[Unit Price]])-(Table23[[#This Row],[Unit Price]]*Table23[[#This Row],[Dscount]])*Table23[[#This Row],[Quantity]]</f>
        <v>44.064</v>
      </c>
      <c r="K719" s="8">
        <v>31.393999999999998</v>
      </c>
      <c r="L719" s="8">
        <f>Table23[[#This Row],[Revenue]]-Table23[[#This Row],[Total Cost]]</f>
        <v>12.670000000000002</v>
      </c>
      <c r="M719" s="16">
        <f>(Table23[[#This Row],[Profit]]/Table23[[#This Row],[Revenue]])</f>
        <v>0.28753631082062459</v>
      </c>
      <c r="N719" t="s">
        <v>33</v>
      </c>
    </row>
    <row r="720" spans="1:14" x14ac:dyDescent="0.25">
      <c r="A720" s="11" t="s">
        <v>119</v>
      </c>
      <c r="B720" s="6">
        <v>45996</v>
      </c>
      <c r="C720" s="11" t="s">
        <v>120</v>
      </c>
      <c r="D720" s="11" t="s">
        <v>20</v>
      </c>
      <c r="E720" s="11" t="s">
        <v>15</v>
      </c>
      <c r="F720" s="11" t="s">
        <v>16</v>
      </c>
      <c r="G720" s="7">
        <v>1</v>
      </c>
      <c r="H720" s="8">
        <v>29.24</v>
      </c>
      <c r="I720" s="13">
        <v>0.05</v>
      </c>
      <c r="J720" s="8">
        <f>(Table23[[#This Row],[Quantity]]*Table23[[#This Row],[Unit Price]])-(Table23[[#This Row],[Unit Price]]*Table23[[#This Row],[Dscount]])*Table23[[#This Row],[Quantity]]</f>
        <v>27.777999999999999</v>
      </c>
      <c r="K720" s="8">
        <v>15.107999999999999</v>
      </c>
      <c r="L720" s="8">
        <f>Table23[[#This Row],[Revenue]]-Table23[[#This Row],[Total Cost]]</f>
        <v>12.67</v>
      </c>
      <c r="M720" s="16">
        <f>(Table23[[#This Row],[Profit]]/Table23[[#This Row],[Revenue]])</f>
        <v>0.45611635106919146</v>
      </c>
      <c r="N720" t="s">
        <v>17</v>
      </c>
    </row>
    <row r="721" spans="1:14" x14ac:dyDescent="0.25">
      <c r="A721" s="11" t="s">
        <v>1597</v>
      </c>
      <c r="B721" s="6">
        <v>45791</v>
      </c>
      <c r="C721" s="11" t="s">
        <v>1598</v>
      </c>
      <c r="D721" s="11" t="s">
        <v>31</v>
      </c>
      <c r="E721" s="11" t="s">
        <v>1416</v>
      </c>
      <c r="F721" s="11" t="s">
        <v>1417</v>
      </c>
      <c r="G721" s="7">
        <v>3</v>
      </c>
      <c r="H721" s="8">
        <v>26.78</v>
      </c>
      <c r="I721" s="13">
        <v>0</v>
      </c>
      <c r="J721" s="8">
        <f>(Table23[[#This Row],[Quantity]]*Table23[[#This Row],[Unit Price]])-(Table23[[#This Row],[Unit Price]]*Table23[[#This Row],[Dscount]])*Table23[[#This Row],[Quantity]]</f>
        <v>80.34</v>
      </c>
      <c r="K721" s="8">
        <v>67.680000000000007</v>
      </c>
      <c r="L721" s="8">
        <f>Table23[[#This Row],[Revenue]]-Table23[[#This Row],[Total Cost]]</f>
        <v>12.659999999999997</v>
      </c>
      <c r="M721" s="16">
        <f>(Table23[[#This Row],[Profit]]/Table23[[#This Row],[Revenue]])</f>
        <v>0.15758028379387598</v>
      </c>
      <c r="N721" t="s">
        <v>33</v>
      </c>
    </row>
    <row r="722" spans="1:14" x14ac:dyDescent="0.25">
      <c r="A722" s="11" t="s">
        <v>117</v>
      </c>
      <c r="B722" s="6">
        <v>45791</v>
      </c>
      <c r="C722" s="11" t="s">
        <v>118</v>
      </c>
      <c r="D722" s="11" t="s">
        <v>36</v>
      </c>
      <c r="E722" s="11" t="s">
        <v>15</v>
      </c>
      <c r="F722" s="11" t="s">
        <v>16</v>
      </c>
      <c r="G722" s="7">
        <v>1</v>
      </c>
      <c r="H722" s="8">
        <v>30.47</v>
      </c>
      <c r="I722" s="13">
        <v>0.1</v>
      </c>
      <c r="J722" s="8">
        <f>(Table23[[#This Row],[Quantity]]*Table23[[#This Row],[Unit Price]])-(Table23[[#This Row],[Unit Price]]*Table23[[#This Row],[Dscount]])*Table23[[#This Row],[Quantity]]</f>
        <v>27.422999999999998</v>
      </c>
      <c r="K722" s="8">
        <v>14.772999999999998</v>
      </c>
      <c r="L722" s="8">
        <f>Table23[[#This Row],[Revenue]]-Table23[[#This Row],[Total Cost]]</f>
        <v>12.65</v>
      </c>
      <c r="M722" s="16">
        <f>(Table23[[#This Row],[Profit]]/Table23[[#This Row],[Revenue]])</f>
        <v>0.4612916165262736</v>
      </c>
      <c r="N722" t="s">
        <v>17</v>
      </c>
    </row>
    <row r="723" spans="1:14" x14ac:dyDescent="0.25">
      <c r="A723" s="11" t="s">
        <v>1596</v>
      </c>
      <c r="B723" s="6">
        <v>45368</v>
      </c>
      <c r="C723" s="11" t="s">
        <v>820</v>
      </c>
      <c r="D723" s="11" t="s">
        <v>20</v>
      </c>
      <c r="E723" s="11" t="s">
        <v>1478</v>
      </c>
      <c r="F723" s="11" t="s">
        <v>1417</v>
      </c>
      <c r="G723" s="7">
        <v>2</v>
      </c>
      <c r="H723" s="8">
        <v>36.159999999999997</v>
      </c>
      <c r="I723" s="13">
        <v>0.05</v>
      </c>
      <c r="J723" s="8">
        <f>(Table23[[#This Row],[Quantity]]*Table23[[#This Row],[Unit Price]])-(Table23[[#This Row],[Unit Price]]*Table23[[#This Row],[Dscount]])*Table23[[#This Row],[Quantity]]</f>
        <v>68.703999999999994</v>
      </c>
      <c r="K723" s="8">
        <v>56.063999999999993</v>
      </c>
      <c r="L723" s="8">
        <f>Table23[[#This Row],[Revenue]]-Table23[[#This Row],[Total Cost]]</f>
        <v>12.64</v>
      </c>
      <c r="M723" s="16">
        <f>(Table23[[#This Row],[Profit]]/Table23[[#This Row],[Revenue]])</f>
        <v>0.18397764322310203</v>
      </c>
      <c r="N723" t="s">
        <v>17</v>
      </c>
    </row>
    <row r="724" spans="1:14" x14ac:dyDescent="0.25">
      <c r="A724" s="11" t="s">
        <v>115</v>
      </c>
      <c r="B724" s="6">
        <v>45410</v>
      </c>
      <c r="C724" s="11" t="s">
        <v>116</v>
      </c>
      <c r="D724" s="11" t="s">
        <v>24</v>
      </c>
      <c r="E724" s="11" t="s">
        <v>47</v>
      </c>
      <c r="F724" s="11" t="s">
        <v>16</v>
      </c>
      <c r="G724" s="7">
        <v>1</v>
      </c>
      <c r="H724" s="8">
        <v>24.73</v>
      </c>
      <c r="I724" s="13">
        <v>0.15</v>
      </c>
      <c r="J724" s="8">
        <f>(Table23[[#This Row],[Quantity]]*Table23[[#This Row],[Unit Price]])-(Table23[[#This Row],[Unit Price]]*Table23[[#This Row],[Dscount]])*Table23[[#This Row],[Quantity]]</f>
        <v>21.020500000000002</v>
      </c>
      <c r="K724" s="8">
        <v>8.3905000000000012</v>
      </c>
      <c r="L724" s="8">
        <f>Table23[[#This Row],[Revenue]]-Table23[[#This Row],[Total Cost]]</f>
        <v>12.63</v>
      </c>
      <c r="M724" s="16">
        <f>(Table23[[#This Row],[Profit]]/Table23[[#This Row],[Revenue]])</f>
        <v>0.60084203515615708</v>
      </c>
      <c r="N724" t="s">
        <v>17</v>
      </c>
    </row>
    <row r="725" spans="1:14" x14ac:dyDescent="0.25">
      <c r="A725" s="11" t="s">
        <v>1204</v>
      </c>
      <c r="B725" s="6">
        <v>46020</v>
      </c>
      <c r="C725" s="11" t="s">
        <v>150</v>
      </c>
      <c r="D725" s="11" t="s">
        <v>31</v>
      </c>
      <c r="E725" s="11" t="s">
        <v>1124</v>
      </c>
      <c r="F725" s="11" t="s">
        <v>1112</v>
      </c>
      <c r="G725" s="7">
        <v>1</v>
      </c>
      <c r="H725" s="8">
        <v>49.34</v>
      </c>
      <c r="I725" s="13">
        <v>0.1</v>
      </c>
      <c r="J725" s="8">
        <f>(Table23[[#This Row],[Quantity]]*Table23[[#This Row],[Unit Price]])-(Table23[[#This Row],[Unit Price]]*Table23[[#This Row],[Dscount]])*Table23[[#This Row],[Quantity]]</f>
        <v>44.406000000000006</v>
      </c>
      <c r="K725" s="8">
        <v>31.916000000000004</v>
      </c>
      <c r="L725" s="8">
        <f>Table23[[#This Row],[Revenue]]-Table23[[#This Row],[Total Cost]]</f>
        <v>12.490000000000002</v>
      </c>
      <c r="M725" s="16">
        <f>(Table23[[#This Row],[Profit]]/Table23[[#This Row],[Revenue]])</f>
        <v>0.2812682970769716</v>
      </c>
      <c r="N725" t="s">
        <v>33</v>
      </c>
    </row>
    <row r="726" spans="1:14" x14ac:dyDescent="0.25">
      <c r="A726" s="11" t="s">
        <v>113</v>
      </c>
      <c r="B726" s="6">
        <v>45930</v>
      </c>
      <c r="C726" s="11" t="s">
        <v>114</v>
      </c>
      <c r="D726" s="11" t="s">
        <v>20</v>
      </c>
      <c r="E726" s="11" t="s">
        <v>25</v>
      </c>
      <c r="F726" s="11" t="s">
        <v>16</v>
      </c>
      <c r="G726" s="7">
        <v>3</v>
      </c>
      <c r="H726" s="8">
        <v>10.01</v>
      </c>
      <c r="I726" s="13">
        <v>0</v>
      </c>
      <c r="J726" s="8">
        <f>(Table23[[#This Row],[Quantity]]*Table23[[#This Row],[Unit Price]])-(Table23[[#This Row],[Unit Price]]*Table23[[#This Row],[Dscount]])*Table23[[#This Row],[Quantity]]</f>
        <v>30.03</v>
      </c>
      <c r="K726" s="8">
        <v>17.57</v>
      </c>
      <c r="L726" s="8">
        <f>Table23[[#This Row],[Revenue]]-Table23[[#This Row],[Total Cost]]</f>
        <v>12.46</v>
      </c>
      <c r="M726" s="16">
        <f>(Table23[[#This Row],[Profit]]/Table23[[#This Row],[Revenue]])</f>
        <v>0.41491841491841491</v>
      </c>
      <c r="N726" t="s">
        <v>33</v>
      </c>
    </row>
    <row r="727" spans="1:14" x14ac:dyDescent="0.25">
      <c r="A727" s="11" t="s">
        <v>1595</v>
      </c>
      <c r="B727" s="6">
        <v>45315</v>
      </c>
      <c r="C727" s="11" t="s">
        <v>361</v>
      </c>
      <c r="D727" s="11" t="s">
        <v>20</v>
      </c>
      <c r="E727" s="11" t="s">
        <v>1426</v>
      </c>
      <c r="F727" s="11" t="s">
        <v>1417</v>
      </c>
      <c r="G727" s="7">
        <v>1</v>
      </c>
      <c r="H727" s="8">
        <v>56.36</v>
      </c>
      <c r="I727" s="13">
        <v>0.1</v>
      </c>
      <c r="J727" s="8">
        <f>(Table23[[#This Row],[Quantity]]*Table23[[#This Row],[Unit Price]])-(Table23[[#This Row],[Unit Price]]*Table23[[#This Row],[Dscount]])*Table23[[#This Row],[Quantity]]</f>
        <v>50.723999999999997</v>
      </c>
      <c r="K727" s="8">
        <v>38.333999999999996</v>
      </c>
      <c r="L727" s="8">
        <f>Table23[[#This Row],[Revenue]]-Table23[[#This Row],[Total Cost]]</f>
        <v>12.39</v>
      </c>
      <c r="M727" s="16">
        <f>(Table23[[#This Row],[Profit]]/Table23[[#This Row],[Revenue]])</f>
        <v>0.24426307073574641</v>
      </c>
      <c r="N727" t="s">
        <v>33</v>
      </c>
    </row>
    <row r="728" spans="1:14" x14ac:dyDescent="0.25">
      <c r="A728" s="11" t="s">
        <v>1593</v>
      </c>
      <c r="B728" s="6">
        <v>45576</v>
      </c>
      <c r="C728" s="11" t="s">
        <v>1594</v>
      </c>
      <c r="D728" s="11" t="s">
        <v>36</v>
      </c>
      <c r="E728" s="11" t="s">
        <v>1416</v>
      </c>
      <c r="F728" s="11" t="s">
        <v>1417</v>
      </c>
      <c r="G728" s="7">
        <v>2</v>
      </c>
      <c r="H728" s="8">
        <v>40.67</v>
      </c>
      <c r="I728" s="13">
        <v>0.15</v>
      </c>
      <c r="J728" s="8">
        <f>(Table23[[#This Row],[Quantity]]*Table23[[#This Row],[Unit Price]])-(Table23[[#This Row],[Unit Price]]*Table23[[#This Row],[Dscount]])*Table23[[#This Row],[Quantity]]</f>
        <v>69.13900000000001</v>
      </c>
      <c r="K728" s="8">
        <v>56.769000000000013</v>
      </c>
      <c r="L728" s="8">
        <f>Table23[[#This Row],[Revenue]]-Table23[[#This Row],[Total Cost]]</f>
        <v>12.369999999999997</v>
      </c>
      <c r="M728" s="16">
        <f>(Table23[[#This Row],[Profit]]/Table23[[#This Row],[Revenue]])</f>
        <v>0.17891493946976375</v>
      </c>
      <c r="N728" t="s">
        <v>33</v>
      </c>
    </row>
    <row r="729" spans="1:14" x14ac:dyDescent="0.25">
      <c r="A729" s="11" t="s">
        <v>519</v>
      </c>
      <c r="B729" s="6">
        <v>45515</v>
      </c>
      <c r="C729" s="11" t="s">
        <v>520</v>
      </c>
      <c r="D729" s="11" t="s">
        <v>24</v>
      </c>
      <c r="E729" s="11" t="s">
        <v>503</v>
      </c>
      <c r="F729" s="11" t="s">
        <v>480</v>
      </c>
      <c r="G729" s="7">
        <v>1</v>
      </c>
      <c r="H729" s="8">
        <v>47.82</v>
      </c>
      <c r="I729" s="13">
        <v>0.2</v>
      </c>
      <c r="J729" s="8">
        <f>(Table23[[#This Row],[Quantity]]*Table23[[#This Row],[Unit Price]])-(Table23[[#This Row],[Unit Price]]*Table23[[#This Row],[Dscount]])*Table23[[#This Row],[Quantity]]</f>
        <v>38.256</v>
      </c>
      <c r="K729" s="8">
        <v>25.916</v>
      </c>
      <c r="L729" s="8">
        <f>Table23[[#This Row],[Revenue]]-Table23[[#This Row],[Total Cost]]</f>
        <v>12.34</v>
      </c>
      <c r="M729" s="16">
        <f>(Table23[[#This Row],[Profit]]/Table23[[#This Row],[Revenue]])</f>
        <v>0.32256378084483478</v>
      </c>
      <c r="N729" t="s">
        <v>48</v>
      </c>
    </row>
    <row r="730" spans="1:14" x14ac:dyDescent="0.25">
      <c r="A730" s="11" t="s">
        <v>111</v>
      </c>
      <c r="B730" s="6">
        <v>45327</v>
      </c>
      <c r="C730" s="11" t="s">
        <v>112</v>
      </c>
      <c r="D730" s="11" t="s">
        <v>36</v>
      </c>
      <c r="E730" s="11" t="s">
        <v>21</v>
      </c>
      <c r="F730" s="11" t="s">
        <v>16</v>
      </c>
      <c r="G730" s="7">
        <v>1</v>
      </c>
      <c r="H730" s="8">
        <v>36</v>
      </c>
      <c r="I730" s="13">
        <v>0.15</v>
      </c>
      <c r="J730" s="8">
        <f>(Table23[[#This Row],[Quantity]]*Table23[[#This Row],[Unit Price]])-(Table23[[#This Row],[Unit Price]]*Table23[[#This Row],[Dscount]])*Table23[[#This Row],[Quantity]]</f>
        <v>30.6</v>
      </c>
      <c r="K730" s="8">
        <v>18.270000000000003</v>
      </c>
      <c r="L730" s="8">
        <f>Table23[[#This Row],[Revenue]]-Table23[[#This Row],[Total Cost]]</f>
        <v>12.329999999999998</v>
      </c>
      <c r="M730" s="16">
        <f>(Table23[[#This Row],[Profit]]/Table23[[#This Row],[Revenue]])</f>
        <v>0.40294117647058814</v>
      </c>
      <c r="N730" t="s">
        <v>33</v>
      </c>
    </row>
    <row r="731" spans="1:14" x14ac:dyDescent="0.25">
      <c r="A731" s="11" t="s">
        <v>1592</v>
      </c>
      <c r="B731" s="6">
        <v>45577</v>
      </c>
      <c r="C731" s="11" t="s">
        <v>407</v>
      </c>
      <c r="D731" s="11" t="s">
        <v>24</v>
      </c>
      <c r="E731" s="11" t="s">
        <v>1439</v>
      </c>
      <c r="F731" s="11" t="s">
        <v>1417</v>
      </c>
      <c r="G731" s="7">
        <v>2</v>
      </c>
      <c r="H731" s="8">
        <v>30.35</v>
      </c>
      <c r="I731" s="13">
        <v>0.2</v>
      </c>
      <c r="J731" s="8">
        <f>(Table23[[#This Row],[Quantity]]*Table23[[#This Row],[Unit Price]])-(Table23[[#This Row],[Unit Price]]*Table23[[#This Row],[Dscount]])*Table23[[#This Row],[Quantity]]</f>
        <v>48.56</v>
      </c>
      <c r="K731" s="8">
        <v>36.270000000000003</v>
      </c>
      <c r="L731" s="8">
        <f>Table23[[#This Row],[Revenue]]-Table23[[#This Row],[Total Cost]]</f>
        <v>12.29</v>
      </c>
      <c r="M731" s="16">
        <f>(Table23[[#This Row],[Profit]]/Table23[[#This Row],[Revenue]])</f>
        <v>0.25308896210873144</v>
      </c>
      <c r="N731" t="s">
        <v>33</v>
      </c>
    </row>
    <row r="732" spans="1:14" x14ac:dyDescent="0.25">
      <c r="A732" s="11" t="s">
        <v>1590</v>
      </c>
      <c r="B732" s="6">
        <v>45411</v>
      </c>
      <c r="C732" s="11" t="s">
        <v>1591</v>
      </c>
      <c r="D732" s="11" t="s">
        <v>24</v>
      </c>
      <c r="E732" s="11" t="s">
        <v>1457</v>
      </c>
      <c r="F732" s="11" t="s">
        <v>1417</v>
      </c>
      <c r="G732" s="7">
        <v>2</v>
      </c>
      <c r="H732" s="8">
        <v>33.33</v>
      </c>
      <c r="I732" s="13">
        <v>0.05</v>
      </c>
      <c r="J732" s="8">
        <f>(Table23[[#This Row],[Quantity]]*Table23[[#This Row],[Unit Price]])-(Table23[[#This Row],[Unit Price]]*Table23[[#This Row],[Dscount]])*Table23[[#This Row],[Quantity]]</f>
        <v>63.326999999999998</v>
      </c>
      <c r="K732" s="8">
        <v>51.046999999999997</v>
      </c>
      <c r="L732" s="8">
        <f>Table23[[#This Row],[Revenue]]-Table23[[#This Row],[Total Cost]]</f>
        <v>12.280000000000001</v>
      </c>
      <c r="M732" s="16">
        <f>(Table23[[#This Row],[Profit]]/Table23[[#This Row],[Revenue]])</f>
        <v>0.19391412825493079</v>
      </c>
      <c r="N732" t="s">
        <v>17</v>
      </c>
    </row>
    <row r="733" spans="1:14" x14ac:dyDescent="0.25">
      <c r="A733" s="11" t="s">
        <v>918</v>
      </c>
      <c r="B733" s="6">
        <v>46013</v>
      </c>
      <c r="C733" s="11" t="s">
        <v>919</v>
      </c>
      <c r="D733" s="11" t="s">
        <v>24</v>
      </c>
      <c r="E733" s="11" t="s">
        <v>843</v>
      </c>
      <c r="F733" s="11" t="s">
        <v>833</v>
      </c>
      <c r="G733" s="7">
        <v>1</v>
      </c>
      <c r="H733" s="8">
        <v>141.1</v>
      </c>
      <c r="I733" s="13">
        <v>0</v>
      </c>
      <c r="J733" s="8">
        <f>(Table23[[#This Row],[Quantity]]*Table23[[#This Row],[Unit Price]])-(Table23[[#This Row],[Unit Price]]*Table23[[#This Row],[Dscount]])*Table23[[#This Row],[Quantity]]</f>
        <v>141.1</v>
      </c>
      <c r="K733" s="8">
        <v>128.82999999999998</v>
      </c>
      <c r="L733" s="8">
        <f>Table23[[#This Row],[Revenue]]-Table23[[#This Row],[Total Cost]]</f>
        <v>12.27000000000001</v>
      </c>
      <c r="M733" s="16">
        <f>(Table23[[#This Row],[Profit]]/Table23[[#This Row],[Revenue]])</f>
        <v>8.6959603118355849E-2</v>
      </c>
      <c r="N733" t="s">
        <v>48</v>
      </c>
    </row>
    <row r="734" spans="1:14" x14ac:dyDescent="0.25">
      <c r="A734" s="11" t="s">
        <v>1588</v>
      </c>
      <c r="B734" s="6">
        <v>45747</v>
      </c>
      <c r="C734" s="11" t="s">
        <v>1589</v>
      </c>
      <c r="D734" s="11" t="s">
        <v>36</v>
      </c>
      <c r="E734" s="11" t="s">
        <v>1478</v>
      </c>
      <c r="F734" s="11" t="s">
        <v>1417</v>
      </c>
      <c r="G734" s="7">
        <v>2</v>
      </c>
      <c r="H734" s="8">
        <v>29.64</v>
      </c>
      <c r="I734" s="13">
        <v>0.1</v>
      </c>
      <c r="J734" s="8">
        <f>(Table23[[#This Row],[Quantity]]*Table23[[#This Row],[Unit Price]])-(Table23[[#This Row],[Unit Price]]*Table23[[#This Row],[Dscount]])*Table23[[#This Row],[Quantity]]</f>
        <v>53.352000000000004</v>
      </c>
      <c r="K734" s="8">
        <v>41.132000000000005</v>
      </c>
      <c r="L734" s="8">
        <f>Table23[[#This Row],[Revenue]]-Table23[[#This Row],[Total Cost]]</f>
        <v>12.219999999999999</v>
      </c>
      <c r="M734" s="16">
        <f>(Table23[[#This Row],[Profit]]/Table23[[#This Row],[Revenue]])</f>
        <v>0.22904483430799216</v>
      </c>
      <c r="N734" t="s">
        <v>33</v>
      </c>
    </row>
    <row r="735" spans="1:14" x14ac:dyDescent="0.25">
      <c r="A735" s="11" t="s">
        <v>109</v>
      </c>
      <c r="B735" s="6">
        <v>45320</v>
      </c>
      <c r="C735" s="11" t="s">
        <v>110</v>
      </c>
      <c r="D735" s="11" t="s">
        <v>24</v>
      </c>
      <c r="E735" s="11" t="s">
        <v>25</v>
      </c>
      <c r="F735" s="11" t="s">
        <v>16</v>
      </c>
      <c r="G735" s="7">
        <v>1</v>
      </c>
      <c r="H735" s="8">
        <v>26.28</v>
      </c>
      <c r="I735" s="13">
        <v>0</v>
      </c>
      <c r="J735" s="8">
        <f>(Table23[[#This Row],[Quantity]]*Table23[[#This Row],[Unit Price]])-(Table23[[#This Row],[Unit Price]]*Table23[[#This Row],[Dscount]])*Table23[[#This Row],[Quantity]]</f>
        <v>26.28</v>
      </c>
      <c r="K735" s="8">
        <v>14.110000000000001</v>
      </c>
      <c r="L735" s="8">
        <f>Table23[[#This Row],[Revenue]]-Table23[[#This Row],[Total Cost]]</f>
        <v>12.17</v>
      </c>
      <c r="M735" s="16">
        <f>(Table23[[#This Row],[Profit]]/Table23[[#This Row],[Revenue]])</f>
        <v>0.46308980213089801</v>
      </c>
      <c r="N735" t="s">
        <v>17</v>
      </c>
    </row>
    <row r="736" spans="1:14" x14ac:dyDescent="0.25">
      <c r="A736" s="11" t="s">
        <v>1587</v>
      </c>
      <c r="B736" s="6">
        <v>45438</v>
      </c>
      <c r="C736" s="11" t="s">
        <v>495</v>
      </c>
      <c r="D736" s="11" t="s">
        <v>31</v>
      </c>
      <c r="E736" s="11" t="s">
        <v>1426</v>
      </c>
      <c r="F736" s="11" t="s">
        <v>1417</v>
      </c>
      <c r="G736" s="7">
        <v>2</v>
      </c>
      <c r="H736" s="8">
        <v>38.549999999999997</v>
      </c>
      <c r="I736" s="13">
        <v>0</v>
      </c>
      <c r="J736" s="8">
        <f>(Table23[[#This Row],[Quantity]]*Table23[[#This Row],[Unit Price]])-(Table23[[#This Row],[Unit Price]]*Table23[[#This Row],[Dscount]])*Table23[[#This Row],[Quantity]]</f>
        <v>77.099999999999994</v>
      </c>
      <c r="K736" s="8">
        <v>64.989999999999995</v>
      </c>
      <c r="L736" s="8">
        <f>Table23[[#This Row],[Revenue]]-Table23[[#This Row],[Total Cost]]</f>
        <v>12.11</v>
      </c>
      <c r="M736" s="16">
        <f>(Table23[[#This Row],[Profit]]/Table23[[#This Row],[Revenue]])</f>
        <v>0.15706874189364461</v>
      </c>
      <c r="N736" t="s">
        <v>33</v>
      </c>
    </row>
    <row r="737" spans="1:14" x14ac:dyDescent="0.25">
      <c r="A737" s="11" t="s">
        <v>1203</v>
      </c>
      <c r="B737" s="6">
        <v>45954</v>
      </c>
      <c r="C737" s="11" t="s">
        <v>327</v>
      </c>
      <c r="D737" s="11" t="s">
        <v>14</v>
      </c>
      <c r="E737" s="11" t="s">
        <v>1184</v>
      </c>
      <c r="F737" s="11" t="s">
        <v>1112</v>
      </c>
      <c r="G737" s="7">
        <v>2</v>
      </c>
      <c r="H737" s="8">
        <v>26.03</v>
      </c>
      <c r="I737" s="13">
        <v>0</v>
      </c>
      <c r="J737" s="8">
        <f>(Table23[[#This Row],[Quantity]]*Table23[[#This Row],[Unit Price]])-(Table23[[#This Row],[Unit Price]]*Table23[[#This Row],[Dscount]])*Table23[[#This Row],[Quantity]]</f>
        <v>52.06</v>
      </c>
      <c r="K737" s="8">
        <v>39.96</v>
      </c>
      <c r="L737" s="8">
        <f>Table23[[#This Row],[Revenue]]-Table23[[#This Row],[Total Cost]]</f>
        <v>12.100000000000001</v>
      </c>
      <c r="M737" s="16">
        <f>(Table23[[#This Row],[Profit]]/Table23[[#This Row],[Revenue]])</f>
        <v>0.2324241260084518</v>
      </c>
      <c r="N737" t="s">
        <v>17</v>
      </c>
    </row>
    <row r="738" spans="1:14" x14ac:dyDescent="0.25">
      <c r="A738" s="11" t="s">
        <v>517</v>
      </c>
      <c r="B738" s="6">
        <v>45628</v>
      </c>
      <c r="C738" s="11" t="s">
        <v>518</v>
      </c>
      <c r="D738" s="11" t="s">
        <v>36</v>
      </c>
      <c r="E738" s="11" t="s">
        <v>503</v>
      </c>
      <c r="F738" s="11" t="s">
        <v>480</v>
      </c>
      <c r="G738" s="7">
        <v>1</v>
      </c>
      <c r="H738" s="8">
        <v>41.98</v>
      </c>
      <c r="I738" s="13">
        <v>0.25</v>
      </c>
      <c r="J738" s="8">
        <f>(Table23[[#This Row],[Quantity]]*Table23[[#This Row],[Unit Price]])-(Table23[[#This Row],[Unit Price]]*Table23[[#This Row],[Dscount]])*Table23[[#This Row],[Quantity]]</f>
        <v>31.484999999999999</v>
      </c>
      <c r="K738" s="8">
        <v>19.445</v>
      </c>
      <c r="L738" s="8">
        <f>Table23[[#This Row],[Revenue]]-Table23[[#This Row],[Total Cost]]</f>
        <v>12.04</v>
      </c>
      <c r="M738" s="16">
        <f>(Table23[[#This Row],[Profit]]/Table23[[#This Row],[Revenue]])</f>
        <v>0.38240431951723042</v>
      </c>
      <c r="N738" t="s">
        <v>17</v>
      </c>
    </row>
    <row r="739" spans="1:14" x14ac:dyDescent="0.25">
      <c r="A739" s="11" t="s">
        <v>1586</v>
      </c>
      <c r="B739" s="6">
        <v>45585</v>
      </c>
      <c r="C739" s="11" t="s">
        <v>735</v>
      </c>
      <c r="D739" s="11" t="s">
        <v>20</v>
      </c>
      <c r="E739" s="11" t="s">
        <v>1436</v>
      </c>
      <c r="F739" s="11" t="s">
        <v>1417</v>
      </c>
      <c r="G739" s="7">
        <v>3</v>
      </c>
      <c r="H739" s="8">
        <v>19.27</v>
      </c>
      <c r="I739" s="13">
        <v>0</v>
      </c>
      <c r="J739" s="8">
        <f>(Table23[[#This Row],[Quantity]]*Table23[[#This Row],[Unit Price]])-(Table23[[#This Row],[Unit Price]]*Table23[[#This Row],[Dscount]])*Table23[[#This Row],[Quantity]]</f>
        <v>57.81</v>
      </c>
      <c r="K739" s="8">
        <v>45.78</v>
      </c>
      <c r="L739" s="8">
        <f>Table23[[#This Row],[Revenue]]-Table23[[#This Row],[Total Cost]]</f>
        <v>12.030000000000001</v>
      </c>
      <c r="M739" s="16">
        <f>(Table23[[#This Row],[Profit]]/Table23[[#This Row],[Revenue]])</f>
        <v>0.20809548521017127</v>
      </c>
      <c r="N739" t="s">
        <v>33</v>
      </c>
    </row>
    <row r="740" spans="1:14" x14ac:dyDescent="0.25">
      <c r="A740" s="11" t="s">
        <v>516</v>
      </c>
      <c r="B740" s="6">
        <v>45364</v>
      </c>
      <c r="C740" s="11" t="s">
        <v>102</v>
      </c>
      <c r="D740" s="11" t="s">
        <v>24</v>
      </c>
      <c r="E740" s="11" t="s">
        <v>503</v>
      </c>
      <c r="F740" s="11" t="s">
        <v>480</v>
      </c>
      <c r="G740" s="7">
        <v>1</v>
      </c>
      <c r="H740" s="8">
        <v>38.19</v>
      </c>
      <c r="I740" s="13">
        <v>0.25</v>
      </c>
      <c r="J740" s="8">
        <f>(Table23[[#This Row],[Quantity]]*Table23[[#This Row],[Unit Price]])-(Table23[[#This Row],[Unit Price]]*Table23[[#This Row],[Dscount]])*Table23[[#This Row],[Quantity]]</f>
        <v>28.642499999999998</v>
      </c>
      <c r="K740" s="8">
        <v>16.722499999999997</v>
      </c>
      <c r="L740" s="8">
        <f>Table23[[#This Row],[Revenue]]-Table23[[#This Row],[Total Cost]]</f>
        <v>11.920000000000002</v>
      </c>
      <c r="M740" s="16">
        <f>(Table23[[#This Row],[Profit]]/Table23[[#This Row],[Revenue]])</f>
        <v>0.4161647900846645</v>
      </c>
      <c r="N740" t="s">
        <v>33</v>
      </c>
    </row>
    <row r="741" spans="1:14" x14ac:dyDescent="0.25">
      <c r="A741" s="11" t="s">
        <v>1584</v>
      </c>
      <c r="B741" s="6">
        <v>45351</v>
      </c>
      <c r="C741" s="11" t="s">
        <v>1585</v>
      </c>
      <c r="D741" s="11" t="s">
        <v>36</v>
      </c>
      <c r="E741" s="11" t="s">
        <v>1422</v>
      </c>
      <c r="F741" s="11" t="s">
        <v>1417</v>
      </c>
      <c r="G741" s="7">
        <v>3</v>
      </c>
      <c r="H741" s="8">
        <v>15.54</v>
      </c>
      <c r="I741" s="13">
        <v>0</v>
      </c>
      <c r="J741" s="8">
        <f>(Table23[[#This Row],[Quantity]]*Table23[[#This Row],[Unit Price]])-(Table23[[#This Row],[Unit Price]]*Table23[[#This Row],[Dscount]])*Table23[[#This Row],[Quantity]]</f>
        <v>46.62</v>
      </c>
      <c r="K741" s="8">
        <v>34.709999999999994</v>
      </c>
      <c r="L741" s="8">
        <f>Table23[[#This Row],[Revenue]]-Table23[[#This Row],[Total Cost]]</f>
        <v>11.910000000000004</v>
      </c>
      <c r="M741" s="16">
        <f>(Table23[[#This Row],[Profit]]/Table23[[#This Row],[Revenue]])</f>
        <v>0.25546975546975559</v>
      </c>
      <c r="N741" t="s">
        <v>33</v>
      </c>
    </row>
    <row r="742" spans="1:14" x14ac:dyDescent="0.25">
      <c r="A742" s="11" t="s">
        <v>916</v>
      </c>
      <c r="B742" s="6">
        <v>45694</v>
      </c>
      <c r="C742" s="11" t="s">
        <v>917</v>
      </c>
      <c r="D742" s="11" t="s">
        <v>24</v>
      </c>
      <c r="E742" s="11" t="s">
        <v>846</v>
      </c>
      <c r="F742" s="11" t="s">
        <v>833</v>
      </c>
      <c r="G742" s="7">
        <v>1</v>
      </c>
      <c r="H742" s="8">
        <v>50.52</v>
      </c>
      <c r="I742" s="13">
        <v>0.05</v>
      </c>
      <c r="J742" s="8">
        <f>(Table23[[#This Row],[Quantity]]*Table23[[#This Row],[Unit Price]])-(Table23[[#This Row],[Unit Price]]*Table23[[#This Row],[Dscount]])*Table23[[#This Row],[Quantity]]</f>
        <v>47.994</v>
      </c>
      <c r="K742" s="8">
        <v>36.103999999999999</v>
      </c>
      <c r="L742" s="8">
        <f>Table23[[#This Row],[Revenue]]-Table23[[#This Row],[Total Cost]]</f>
        <v>11.89</v>
      </c>
      <c r="M742" s="16">
        <f>(Table23[[#This Row],[Profit]]/Table23[[#This Row],[Revenue]])</f>
        <v>0.24773930074592659</v>
      </c>
      <c r="N742" t="s">
        <v>48</v>
      </c>
    </row>
    <row r="743" spans="1:14" x14ac:dyDescent="0.25">
      <c r="A743" s="11" t="s">
        <v>1202</v>
      </c>
      <c r="B743" s="6">
        <v>45768</v>
      </c>
      <c r="C743" s="11" t="s">
        <v>667</v>
      </c>
      <c r="D743" s="11" t="s">
        <v>24</v>
      </c>
      <c r="E743" s="11" t="s">
        <v>1111</v>
      </c>
      <c r="F743" s="11" t="s">
        <v>1112</v>
      </c>
      <c r="G743" s="7">
        <v>1</v>
      </c>
      <c r="H743" s="8">
        <v>36.03</v>
      </c>
      <c r="I743" s="13">
        <v>0.15</v>
      </c>
      <c r="J743" s="8">
        <f>(Table23[[#This Row],[Quantity]]*Table23[[#This Row],[Unit Price]])-(Table23[[#This Row],[Unit Price]]*Table23[[#This Row],[Dscount]])*Table23[[#This Row],[Quantity]]</f>
        <v>30.625500000000002</v>
      </c>
      <c r="K743" s="8">
        <v>18.775500000000001</v>
      </c>
      <c r="L743" s="8">
        <f>Table23[[#This Row],[Revenue]]-Table23[[#This Row],[Total Cost]]</f>
        <v>11.850000000000001</v>
      </c>
      <c r="M743" s="16">
        <f>(Table23[[#This Row],[Profit]]/Table23[[#This Row],[Revenue]])</f>
        <v>0.3869324582455797</v>
      </c>
      <c r="N743" t="s">
        <v>17</v>
      </c>
    </row>
    <row r="744" spans="1:14" x14ac:dyDescent="0.25">
      <c r="A744" s="11" t="s">
        <v>1201</v>
      </c>
      <c r="B744" s="6">
        <v>45469</v>
      </c>
      <c r="C744" s="11" t="s">
        <v>889</v>
      </c>
      <c r="D744" s="11" t="s">
        <v>24</v>
      </c>
      <c r="E744" s="11" t="s">
        <v>1111</v>
      </c>
      <c r="F744" s="11" t="s">
        <v>1112</v>
      </c>
      <c r="G744" s="7">
        <v>1</v>
      </c>
      <c r="H744" s="8">
        <v>62.54</v>
      </c>
      <c r="I744" s="13">
        <v>0.25</v>
      </c>
      <c r="J744" s="8">
        <f>(Table23[[#This Row],[Quantity]]*Table23[[#This Row],[Unit Price]])-(Table23[[#This Row],[Unit Price]]*Table23[[#This Row],[Dscount]])*Table23[[#This Row],[Quantity]]</f>
        <v>46.905000000000001</v>
      </c>
      <c r="K744" s="8">
        <v>35.075000000000003</v>
      </c>
      <c r="L744" s="8">
        <f>Table23[[#This Row],[Revenue]]-Table23[[#This Row],[Total Cost]]</f>
        <v>11.829999999999998</v>
      </c>
      <c r="M744" s="16">
        <f>(Table23[[#This Row],[Profit]]/Table23[[#This Row],[Revenue]])</f>
        <v>0.25221191770600143</v>
      </c>
      <c r="N744" t="s">
        <v>33</v>
      </c>
    </row>
    <row r="745" spans="1:14" x14ac:dyDescent="0.25">
      <c r="A745" s="11" t="s">
        <v>914</v>
      </c>
      <c r="B745" s="6">
        <v>45391</v>
      </c>
      <c r="C745" s="11" t="s">
        <v>915</v>
      </c>
      <c r="D745" s="11" t="s">
        <v>20</v>
      </c>
      <c r="E745" s="11" t="s">
        <v>858</v>
      </c>
      <c r="F745" s="11" t="s">
        <v>833</v>
      </c>
      <c r="G745" s="7">
        <v>3</v>
      </c>
      <c r="H745" s="8">
        <v>61.28</v>
      </c>
      <c r="I745" s="13">
        <v>0.2</v>
      </c>
      <c r="J745" s="8">
        <f>(Table23[[#This Row],[Quantity]]*Table23[[#This Row],[Unit Price]])-(Table23[[#This Row],[Unit Price]]*Table23[[#This Row],[Dscount]])*Table23[[#This Row],[Quantity]]</f>
        <v>147.072</v>
      </c>
      <c r="K745" s="8">
        <v>135.25200000000001</v>
      </c>
      <c r="L745" s="8">
        <f>Table23[[#This Row],[Revenue]]-Table23[[#This Row],[Total Cost]]</f>
        <v>11.819999999999993</v>
      </c>
      <c r="M745" s="16">
        <f>(Table23[[#This Row],[Profit]]/Table23[[#This Row],[Revenue]])</f>
        <v>8.0368798955613524E-2</v>
      </c>
      <c r="N745" t="s">
        <v>48</v>
      </c>
    </row>
    <row r="746" spans="1:14" x14ac:dyDescent="0.25">
      <c r="A746" s="11" t="s">
        <v>912</v>
      </c>
      <c r="B746" s="6">
        <v>45641</v>
      </c>
      <c r="C746" s="11" t="s">
        <v>913</v>
      </c>
      <c r="D746" s="11" t="s">
        <v>20</v>
      </c>
      <c r="E746" s="11" t="s">
        <v>858</v>
      </c>
      <c r="F746" s="11" t="s">
        <v>833</v>
      </c>
      <c r="G746" s="7">
        <v>1</v>
      </c>
      <c r="H746" s="8">
        <v>74.36</v>
      </c>
      <c r="I746" s="13">
        <v>0.05</v>
      </c>
      <c r="J746" s="8">
        <f>(Table23[[#This Row],[Quantity]]*Table23[[#This Row],[Unit Price]])-(Table23[[#This Row],[Unit Price]]*Table23[[#This Row],[Dscount]])*Table23[[#This Row],[Quantity]]</f>
        <v>70.641999999999996</v>
      </c>
      <c r="K746" s="8">
        <v>58.861999999999995</v>
      </c>
      <c r="L746" s="8">
        <f>Table23[[#This Row],[Revenue]]-Table23[[#This Row],[Total Cost]]</f>
        <v>11.780000000000001</v>
      </c>
      <c r="M746" s="16">
        <f>(Table23[[#This Row],[Profit]]/Table23[[#This Row],[Revenue]])</f>
        <v>0.16675632060247447</v>
      </c>
      <c r="N746" t="s">
        <v>33</v>
      </c>
    </row>
    <row r="747" spans="1:14" x14ac:dyDescent="0.25">
      <c r="A747" s="11" t="s">
        <v>1200</v>
      </c>
      <c r="B747" s="6">
        <v>45505</v>
      </c>
      <c r="C747" s="11" t="s">
        <v>235</v>
      </c>
      <c r="D747" s="11" t="s">
        <v>31</v>
      </c>
      <c r="E747" s="11" t="s">
        <v>1124</v>
      </c>
      <c r="F747" s="11" t="s">
        <v>1112</v>
      </c>
      <c r="G747" s="7">
        <v>2</v>
      </c>
      <c r="H747" s="8">
        <v>28.15</v>
      </c>
      <c r="I747" s="13">
        <v>0.1</v>
      </c>
      <c r="J747" s="8">
        <f>(Table23[[#This Row],[Quantity]]*Table23[[#This Row],[Unit Price]])-(Table23[[#This Row],[Unit Price]]*Table23[[#This Row],[Dscount]])*Table23[[#This Row],[Quantity]]</f>
        <v>50.669999999999995</v>
      </c>
      <c r="K747" s="8">
        <v>38.899999999999991</v>
      </c>
      <c r="L747" s="8">
        <f>Table23[[#This Row],[Revenue]]-Table23[[#This Row],[Total Cost]]</f>
        <v>11.770000000000003</v>
      </c>
      <c r="M747" s="16">
        <f>(Table23[[#This Row],[Profit]]/Table23[[#This Row],[Revenue]])</f>
        <v>0.23228734951647925</v>
      </c>
      <c r="N747" t="s">
        <v>33</v>
      </c>
    </row>
    <row r="748" spans="1:14" x14ac:dyDescent="0.25">
      <c r="A748" s="11" t="s">
        <v>910</v>
      </c>
      <c r="B748" s="6">
        <v>45509</v>
      </c>
      <c r="C748" s="11" t="s">
        <v>911</v>
      </c>
      <c r="D748" s="11" t="s">
        <v>31</v>
      </c>
      <c r="E748" s="11" t="s">
        <v>840</v>
      </c>
      <c r="F748" s="11" t="s">
        <v>833</v>
      </c>
      <c r="G748" s="7">
        <v>1</v>
      </c>
      <c r="H748" s="8">
        <v>77.989999999999995</v>
      </c>
      <c r="I748" s="13">
        <v>0.05</v>
      </c>
      <c r="J748" s="8">
        <f>(Table23[[#This Row],[Quantity]]*Table23[[#This Row],[Unit Price]])-(Table23[[#This Row],[Unit Price]]*Table23[[#This Row],[Dscount]])*Table23[[#This Row],[Quantity]]</f>
        <v>74.090499999999992</v>
      </c>
      <c r="K748" s="8">
        <v>62.320499999999996</v>
      </c>
      <c r="L748" s="8">
        <f>Table23[[#This Row],[Revenue]]-Table23[[#This Row],[Total Cost]]</f>
        <v>11.769999999999996</v>
      </c>
      <c r="M748" s="16">
        <f>(Table23[[#This Row],[Profit]]/Table23[[#This Row],[Revenue]])</f>
        <v>0.15885977284537151</v>
      </c>
      <c r="N748" t="s">
        <v>33</v>
      </c>
    </row>
    <row r="749" spans="1:14" x14ac:dyDescent="0.25">
      <c r="A749" s="11" t="s">
        <v>1583</v>
      </c>
      <c r="B749" s="6">
        <v>45939</v>
      </c>
      <c r="C749" s="11" t="s">
        <v>724</v>
      </c>
      <c r="D749" s="11" t="s">
        <v>31</v>
      </c>
      <c r="E749" s="11" t="s">
        <v>1420</v>
      </c>
      <c r="F749" s="11" t="s">
        <v>1417</v>
      </c>
      <c r="G749" s="7">
        <v>2</v>
      </c>
      <c r="H749" s="8">
        <v>22.86</v>
      </c>
      <c r="I749" s="13">
        <v>0.1</v>
      </c>
      <c r="J749" s="8">
        <f>(Table23[[#This Row],[Quantity]]*Table23[[#This Row],[Unit Price]])-(Table23[[#This Row],[Unit Price]]*Table23[[#This Row],[Dscount]])*Table23[[#This Row],[Quantity]]</f>
        <v>41.147999999999996</v>
      </c>
      <c r="K749" s="8">
        <v>29.397999999999996</v>
      </c>
      <c r="L749" s="8">
        <f>Table23[[#This Row],[Revenue]]-Table23[[#This Row],[Total Cost]]</f>
        <v>11.75</v>
      </c>
      <c r="M749" s="16">
        <f>(Table23[[#This Row],[Profit]]/Table23[[#This Row],[Revenue]])</f>
        <v>0.28555458345484597</v>
      </c>
      <c r="N749" t="s">
        <v>48</v>
      </c>
    </row>
    <row r="750" spans="1:14" x14ac:dyDescent="0.25">
      <c r="A750" s="11" t="s">
        <v>1198</v>
      </c>
      <c r="B750" s="6">
        <v>45553</v>
      </c>
      <c r="C750" s="11" t="s">
        <v>1199</v>
      </c>
      <c r="D750" s="11" t="s">
        <v>14</v>
      </c>
      <c r="E750" s="11" t="s">
        <v>1120</v>
      </c>
      <c r="F750" s="11" t="s">
        <v>1112</v>
      </c>
      <c r="G750" s="7">
        <v>1</v>
      </c>
      <c r="H750" s="8">
        <v>31.03</v>
      </c>
      <c r="I750" s="13">
        <v>0</v>
      </c>
      <c r="J750" s="8">
        <f>(Table23[[#This Row],[Quantity]]*Table23[[#This Row],[Unit Price]])-(Table23[[#This Row],[Unit Price]]*Table23[[#This Row],[Dscount]])*Table23[[#This Row],[Quantity]]</f>
        <v>31.03</v>
      </c>
      <c r="K750" s="8">
        <v>19.450000000000003</v>
      </c>
      <c r="L750" s="8">
        <f>Table23[[#This Row],[Revenue]]-Table23[[#This Row],[Total Cost]]</f>
        <v>11.579999999999998</v>
      </c>
      <c r="M750" s="16">
        <f>(Table23[[#This Row],[Profit]]/Table23[[#This Row],[Revenue]])</f>
        <v>0.37318723815662258</v>
      </c>
      <c r="N750" t="s">
        <v>17</v>
      </c>
    </row>
    <row r="751" spans="1:14" x14ac:dyDescent="0.25">
      <c r="A751" s="11" t="s">
        <v>1581</v>
      </c>
      <c r="B751" s="6">
        <v>45603</v>
      </c>
      <c r="C751" s="11" t="s">
        <v>1582</v>
      </c>
      <c r="D751" s="11" t="s">
        <v>14</v>
      </c>
      <c r="E751" s="11" t="s">
        <v>1426</v>
      </c>
      <c r="F751" s="11" t="s">
        <v>1417</v>
      </c>
      <c r="G751" s="7">
        <v>1</v>
      </c>
      <c r="H751" s="8">
        <v>49.73</v>
      </c>
      <c r="I751" s="13">
        <v>0.25</v>
      </c>
      <c r="J751" s="8">
        <f>(Table23[[#This Row],[Quantity]]*Table23[[#This Row],[Unit Price]])-(Table23[[#This Row],[Unit Price]]*Table23[[#This Row],[Dscount]])*Table23[[#This Row],[Quantity]]</f>
        <v>37.297499999999999</v>
      </c>
      <c r="K751" s="8">
        <v>25.767499999999998</v>
      </c>
      <c r="L751" s="8">
        <f>Table23[[#This Row],[Revenue]]-Table23[[#This Row],[Total Cost]]</f>
        <v>11.530000000000001</v>
      </c>
      <c r="M751" s="16">
        <f>(Table23[[#This Row],[Profit]]/Table23[[#This Row],[Revenue]])</f>
        <v>0.30913600107245798</v>
      </c>
      <c r="N751" t="s">
        <v>17</v>
      </c>
    </row>
    <row r="752" spans="1:14" x14ac:dyDescent="0.25">
      <c r="A752" s="11" t="s">
        <v>515</v>
      </c>
      <c r="B752" s="6">
        <v>45359</v>
      </c>
      <c r="C752" s="11" t="s">
        <v>448</v>
      </c>
      <c r="D752" s="11" t="s">
        <v>24</v>
      </c>
      <c r="E752" s="11" t="s">
        <v>514</v>
      </c>
      <c r="F752" s="11" t="s">
        <v>480</v>
      </c>
      <c r="G752" s="7">
        <v>1</v>
      </c>
      <c r="H752" s="8">
        <v>30.67</v>
      </c>
      <c r="I752" s="13">
        <v>0.15</v>
      </c>
      <c r="J752" s="8">
        <f>(Table23[[#This Row],[Quantity]]*Table23[[#This Row],[Unit Price]])-(Table23[[#This Row],[Unit Price]]*Table23[[#This Row],[Dscount]])*Table23[[#This Row],[Quantity]]</f>
        <v>26.069500000000001</v>
      </c>
      <c r="K752" s="8">
        <v>14.579500000000001</v>
      </c>
      <c r="L752" s="8">
        <f>Table23[[#This Row],[Revenue]]-Table23[[#This Row],[Total Cost]]</f>
        <v>11.49</v>
      </c>
      <c r="M752" s="16">
        <f>(Table23[[#This Row],[Profit]]/Table23[[#This Row],[Revenue]])</f>
        <v>0.44074493181687413</v>
      </c>
      <c r="N752" t="s">
        <v>33</v>
      </c>
    </row>
    <row r="753" spans="1:14" x14ac:dyDescent="0.25">
      <c r="A753" s="11" t="s">
        <v>908</v>
      </c>
      <c r="B753" s="6">
        <v>45333</v>
      </c>
      <c r="C753" s="11" t="s">
        <v>909</v>
      </c>
      <c r="D753" s="11" t="s">
        <v>20</v>
      </c>
      <c r="E753" s="11" t="s">
        <v>832</v>
      </c>
      <c r="F753" s="11" t="s">
        <v>833</v>
      </c>
      <c r="G753" s="7">
        <v>1</v>
      </c>
      <c r="H753" s="8">
        <v>89.98</v>
      </c>
      <c r="I753" s="13">
        <v>0</v>
      </c>
      <c r="J753" s="8">
        <f>(Table23[[#This Row],[Quantity]]*Table23[[#This Row],[Unit Price]])-(Table23[[#This Row],[Unit Price]]*Table23[[#This Row],[Dscount]])*Table23[[#This Row],[Quantity]]</f>
        <v>89.98</v>
      </c>
      <c r="K753" s="8">
        <v>78.52000000000001</v>
      </c>
      <c r="L753" s="8">
        <f>Table23[[#This Row],[Revenue]]-Table23[[#This Row],[Total Cost]]</f>
        <v>11.459999999999994</v>
      </c>
      <c r="M753" s="16">
        <f>(Table23[[#This Row],[Profit]]/Table23[[#This Row],[Revenue]])</f>
        <v>0.12736163591909305</v>
      </c>
      <c r="N753" t="s">
        <v>33</v>
      </c>
    </row>
    <row r="754" spans="1:14" x14ac:dyDescent="0.25">
      <c r="A754" s="11" t="s">
        <v>1579</v>
      </c>
      <c r="B754" s="6">
        <v>45933</v>
      </c>
      <c r="C754" s="11" t="s">
        <v>1580</v>
      </c>
      <c r="D754" s="11" t="s">
        <v>31</v>
      </c>
      <c r="E754" s="11" t="s">
        <v>1443</v>
      </c>
      <c r="F754" s="11" t="s">
        <v>1417</v>
      </c>
      <c r="G754" s="7">
        <v>1</v>
      </c>
      <c r="H754" s="8">
        <v>33.369999999999997</v>
      </c>
      <c r="I754" s="13">
        <v>0</v>
      </c>
      <c r="J754" s="8">
        <f>(Table23[[#This Row],[Quantity]]*Table23[[#This Row],[Unit Price]])-(Table23[[#This Row],[Unit Price]]*Table23[[#This Row],[Dscount]])*Table23[[#This Row],[Quantity]]</f>
        <v>33.369999999999997</v>
      </c>
      <c r="K754" s="8">
        <v>22.059999999999995</v>
      </c>
      <c r="L754" s="8">
        <f>Table23[[#This Row],[Revenue]]-Table23[[#This Row],[Total Cost]]</f>
        <v>11.310000000000002</v>
      </c>
      <c r="M754" s="16">
        <f>(Table23[[#This Row],[Profit]]/Table23[[#This Row],[Revenue]])</f>
        <v>0.33892718010188799</v>
      </c>
      <c r="N754" t="s">
        <v>17</v>
      </c>
    </row>
    <row r="755" spans="1:14" x14ac:dyDescent="0.25">
      <c r="A755" s="11" t="s">
        <v>107</v>
      </c>
      <c r="B755" s="6">
        <v>45953</v>
      </c>
      <c r="C755" s="11" t="s">
        <v>108</v>
      </c>
      <c r="D755" s="11" t="s">
        <v>20</v>
      </c>
      <c r="E755" s="11" t="s">
        <v>21</v>
      </c>
      <c r="F755" s="11" t="s">
        <v>16</v>
      </c>
      <c r="G755" s="7">
        <v>1</v>
      </c>
      <c r="H755" s="8">
        <v>19.62</v>
      </c>
      <c r="I755" s="13">
        <v>0.1</v>
      </c>
      <c r="J755" s="8">
        <f>(Table23[[#This Row],[Quantity]]*Table23[[#This Row],[Unit Price]])-(Table23[[#This Row],[Unit Price]]*Table23[[#This Row],[Dscount]])*Table23[[#This Row],[Quantity]]</f>
        <v>17.658000000000001</v>
      </c>
      <c r="K755" s="8">
        <v>6.418000000000001</v>
      </c>
      <c r="L755" s="8">
        <f>Table23[[#This Row],[Revenue]]-Table23[[#This Row],[Total Cost]]</f>
        <v>11.24</v>
      </c>
      <c r="M755" s="16">
        <f>(Table23[[#This Row],[Profit]]/Table23[[#This Row],[Revenue]])</f>
        <v>0.63653867935213493</v>
      </c>
      <c r="N755" t="s">
        <v>33</v>
      </c>
    </row>
    <row r="756" spans="1:14" x14ac:dyDescent="0.25">
      <c r="A756" s="11" t="s">
        <v>906</v>
      </c>
      <c r="B756" s="6">
        <v>45910</v>
      </c>
      <c r="C756" s="11" t="s">
        <v>907</v>
      </c>
      <c r="D756" s="11" t="s">
        <v>31</v>
      </c>
      <c r="E756" s="11" t="s">
        <v>832</v>
      </c>
      <c r="F756" s="11" t="s">
        <v>833</v>
      </c>
      <c r="G756" s="7">
        <v>1</v>
      </c>
      <c r="H756" s="8">
        <v>70.52</v>
      </c>
      <c r="I756" s="13">
        <v>0.2</v>
      </c>
      <c r="J756" s="8">
        <f>(Table23[[#This Row],[Quantity]]*Table23[[#This Row],[Unit Price]])-(Table23[[#This Row],[Unit Price]]*Table23[[#This Row],[Dscount]])*Table23[[#This Row],[Quantity]]</f>
        <v>56.415999999999997</v>
      </c>
      <c r="K756" s="8">
        <v>45.205999999999996</v>
      </c>
      <c r="L756" s="8">
        <f>Table23[[#This Row],[Revenue]]-Table23[[#This Row],[Total Cost]]</f>
        <v>11.21</v>
      </c>
      <c r="M756" s="16">
        <f>(Table23[[#This Row],[Profit]]/Table23[[#This Row],[Revenue]])</f>
        <v>0.19870249574588772</v>
      </c>
      <c r="N756" t="s">
        <v>17</v>
      </c>
    </row>
    <row r="757" spans="1:14" x14ac:dyDescent="0.25">
      <c r="A757" s="11" t="s">
        <v>103</v>
      </c>
      <c r="B757" s="6">
        <v>45904</v>
      </c>
      <c r="C757" s="11" t="s">
        <v>104</v>
      </c>
      <c r="D757" s="11" t="s">
        <v>20</v>
      </c>
      <c r="E757" s="11" t="s">
        <v>32</v>
      </c>
      <c r="F757" s="11" t="s">
        <v>16</v>
      </c>
      <c r="G757" s="7">
        <v>1</v>
      </c>
      <c r="H757" s="8">
        <v>19.16</v>
      </c>
      <c r="I757" s="13">
        <v>0.1</v>
      </c>
      <c r="J757" s="8">
        <f>(Table23[[#This Row],[Quantity]]*Table23[[#This Row],[Unit Price]])-(Table23[[#This Row],[Unit Price]]*Table23[[#This Row],[Dscount]])*Table23[[#This Row],[Quantity]]</f>
        <v>17.244</v>
      </c>
      <c r="K757" s="8">
        <v>6.0440000000000005</v>
      </c>
      <c r="L757" s="8">
        <f>Table23[[#This Row],[Revenue]]-Table23[[#This Row],[Total Cost]]</f>
        <v>11.2</v>
      </c>
      <c r="M757" s="16">
        <f>(Table23[[#This Row],[Profit]]/Table23[[#This Row],[Revenue]])</f>
        <v>0.64950127580607742</v>
      </c>
      <c r="N757" t="s">
        <v>33</v>
      </c>
    </row>
    <row r="758" spans="1:14" x14ac:dyDescent="0.25">
      <c r="A758" s="11" t="s">
        <v>105</v>
      </c>
      <c r="B758" s="6">
        <v>45804</v>
      </c>
      <c r="C758" s="11" t="s">
        <v>106</v>
      </c>
      <c r="D758" s="11" t="s">
        <v>31</v>
      </c>
      <c r="E758" s="11" t="s">
        <v>44</v>
      </c>
      <c r="F758" s="11" t="s">
        <v>16</v>
      </c>
      <c r="G758" s="7">
        <v>1</v>
      </c>
      <c r="H758" s="8">
        <v>29.06</v>
      </c>
      <c r="I758" s="13">
        <v>0.05</v>
      </c>
      <c r="J758" s="8">
        <f>(Table23[[#This Row],[Quantity]]*Table23[[#This Row],[Unit Price]])-(Table23[[#This Row],[Unit Price]]*Table23[[#This Row],[Dscount]])*Table23[[#This Row],[Quantity]]</f>
        <v>27.606999999999999</v>
      </c>
      <c r="K758" s="8">
        <v>16.407</v>
      </c>
      <c r="L758" s="8">
        <f>Table23[[#This Row],[Revenue]]-Table23[[#This Row],[Total Cost]]</f>
        <v>11.2</v>
      </c>
      <c r="M758" s="16">
        <f>(Table23[[#This Row],[Profit]]/Table23[[#This Row],[Revenue]])</f>
        <v>0.40569420799072697</v>
      </c>
      <c r="N758" t="s">
        <v>33</v>
      </c>
    </row>
    <row r="759" spans="1:14" x14ac:dyDescent="0.25">
      <c r="A759" s="11" t="s">
        <v>1578</v>
      </c>
      <c r="B759" s="6">
        <v>45551</v>
      </c>
      <c r="C759" s="11" t="s">
        <v>691</v>
      </c>
      <c r="D759" s="11" t="s">
        <v>24</v>
      </c>
      <c r="E759" s="11" t="s">
        <v>1457</v>
      </c>
      <c r="F759" s="11" t="s">
        <v>1417</v>
      </c>
      <c r="G759" s="7">
        <v>2</v>
      </c>
      <c r="H759" s="8">
        <v>41.3</v>
      </c>
      <c r="I759" s="13">
        <v>0.15</v>
      </c>
      <c r="J759" s="8">
        <f>(Table23[[#This Row],[Quantity]]*Table23[[#This Row],[Unit Price]])-(Table23[[#This Row],[Unit Price]]*Table23[[#This Row],[Dscount]])*Table23[[#This Row],[Quantity]]</f>
        <v>70.209999999999994</v>
      </c>
      <c r="K759" s="8">
        <v>59.029999999999994</v>
      </c>
      <c r="L759" s="8">
        <f>Table23[[#This Row],[Revenue]]-Table23[[#This Row],[Total Cost]]</f>
        <v>11.18</v>
      </c>
      <c r="M759" s="16">
        <f>(Table23[[#This Row],[Profit]]/Table23[[#This Row],[Revenue]])</f>
        <v>0.15923657598632673</v>
      </c>
      <c r="N759" t="s">
        <v>17</v>
      </c>
    </row>
    <row r="760" spans="1:14" x14ac:dyDescent="0.25">
      <c r="A760" s="11" t="s">
        <v>512</v>
      </c>
      <c r="B760" s="6">
        <v>45967</v>
      </c>
      <c r="C760" s="11" t="s">
        <v>513</v>
      </c>
      <c r="D760" s="11" t="s">
        <v>31</v>
      </c>
      <c r="E760" s="11" t="s">
        <v>514</v>
      </c>
      <c r="F760" s="11" t="s">
        <v>480</v>
      </c>
      <c r="G760" s="7">
        <v>1</v>
      </c>
      <c r="H760" s="8">
        <v>26.24</v>
      </c>
      <c r="I760" s="13">
        <v>0.1</v>
      </c>
      <c r="J760" s="8">
        <f>(Table23[[#This Row],[Quantity]]*Table23[[#This Row],[Unit Price]])-(Table23[[#This Row],[Unit Price]]*Table23[[#This Row],[Dscount]])*Table23[[#This Row],[Quantity]]</f>
        <v>23.616</v>
      </c>
      <c r="K760" s="8">
        <v>12.565999999999999</v>
      </c>
      <c r="L760" s="8">
        <f>Table23[[#This Row],[Revenue]]-Table23[[#This Row],[Total Cost]]</f>
        <v>11.05</v>
      </c>
      <c r="M760" s="16">
        <f>(Table23[[#This Row],[Profit]]/Table23[[#This Row],[Revenue]])</f>
        <v>0.46790311653116534</v>
      </c>
      <c r="N760" t="s">
        <v>17</v>
      </c>
    </row>
    <row r="761" spans="1:14" x14ac:dyDescent="0.25">
      <c r="A761" s="11" t="s">
        <v>1577</v>
      </c>
      <c r="B761" s="6">
        <v>45335</v>
      </c>
      <c r="C761" s="11" t="s">
        <v>1079</v>
      </c>
      <c r="D761" s="11" t="s">
        <v>24</v>
      </c>
      <c r="E761" s="11" t="s">
        <v>1416</v>
      </c>
      <c r="F761" s="11" t="s">
        <v>1417</v>
      </c>
      <c r="G761" s="7">
        <v>2</v>
      </c>
      <c r="H761" s="8">
        <v>19.77</v>
      </c>
      <c r="I761" s="13">
        <v>0.2</v>
      </c>
      <c r="J761" s="8">
        <f>(Table23[[#This Row],[Quantity]]*Table23[[#This Row],[Unit Price]])-(Table23[[#This Row],[Unit Price]]*Table23[[#This Row],[Dscount]])*Table23[[#This Row],[Quantity]]</f>
        <v>31.631999999999998</v>
      </c>
      <c r="K761" s="8">
        <v>20.591999999999999</v>
      </c>
      <c r="L761" s="8">
        <f>Table23[[#This Row],[Revenue]]-Table23[[#This Row],[Total Cost]]</f>
        <v>11.04</v>
      </c>
      <c r="M761" s="16">
        <f>(Table23[[#This Row],[Profit]]/Table23[[#This Row],[Revenue]])</f>
        <v>0.34901365705614568</v>
      </c>
      <c r="N761" t="s">
        <v>48</v>
      </c>
    </row>
    <row r="762" spans="1:14" x14ac:dyDescent="0.25">
      <c r="A762" s="11" t="s">
        <v>1575</v>
      </c>
      <c r="B762" s="6">
        <v>45511</v>
      </c>
      <c r="C762" s="11" t="s">
        <v>1576</v>
      </c>
      <c r="D762" s="11" t="s">
        <v>31</v>
      </c>
      <c r="E762" s="11" t="s">
        <v>1429</v>
      </c>
      <c r="F762" s="11" t="s">
        <v>1417</v>
      </c>
      <c r="G762" s="7">
        <v>4</v>
      </c>
      <c r="H762" s="8">
        <v>12.01</v>
      </c>
      <c r="I762" s="13">
        <v>0</v>
      </c>
      <c r="J762" s="8">
        <f>(Table23[[#This Row],[Quantity]]*Table23[[#This Row],[Unit Price]])-(Table23[[#This Row],[Unit Price]]*Table23[[#This Row],[Dscount]])*Table23[[#This Row],[Quantity]]</f>
        <v>48.04</v>
      </c>
      <c r="K762" s="8">
        <v>37.019999999999996</v>
      </c>
      <c r="L762" s="8">
        <f>Table23[[#This Row],[Revenue]]-Table23[[#This Row],[Total Cost]]</f>
        <v>11.020000000000003</v>
      </c>
      <c r="M762" s="16">
        <f>(Table23[[#This Row],[Profit]]/Table23[[#This Row],[Revenue]])</f>
        <v>0.22939217318900923</v>
      </c>
      <c r="N762" t="s">
        <v>33</v>
      </c>
    </row>
    <row r="763" spans="1:14" x14ac:dyDescent="0.25">
      <c r="A763" s="11" t="s">
        <v>1197</v>
      </c>
      <c r="B763" s="6">
        <v>45410</v>
      </c>
      <c r="C763" s="11" t="s">
        <v>1126</v>
      </c>
      <c r="D763" s="11" t="s">
        <v>14</v>
      </c>
      <c r="E763" s="11" t="s">
        <v>1128</v>
      </c>
      <c r="F763" s="11" t="s">
        <v>1112</v>
      </c>
      <c r="G763" s="7">
        <v>1</v>
      </c>
      <c r="H763" s="8">
        <v>43.03</v>
      </c>
      <c r="I763" s="13">
        <v>0</v>
      </c>
      <c r="J763" s="8">
        <f>(Table23[[#This Row],[Quantity]]*Table23[[#This Row],[Unit Price]])-(Table23[[#This Row],[Unit Price]]*Table23[[#This Row],[Dscount]])*Table23[[#This Row],[Quantity]]</f>
        <v>43.03</v>
      </c>
      <c r="K763" s="8">
        <v>32.010000000000005</v>
      </c>
      <c r="L763" s="8">
        <f>Table23[[#This Row],[Revenue]]-Table23[[#This Row],[Total Cost]]</f>
        <v>11.019999999999996</v>
      </c>
      <c r="M763" s="16">
        <f>(Table23[[#This Row],[Profit]]/Table23[[#This Row],[Revenue]])</f>
        <v>0.25610039507320465</v>
      </c>
      <c r="N763" t="s">
        <v>33</v>
      </c>
    </row>
    <row r="764" spans="1:14" x14ac:dyDescent="0.25">
      <c r="A764" s="11" t="s">
        <v>1573</v>
      </c>
      <c r="B764" s="6">
        <v>45969</v>
      </c>
      <c r="C764" s="11" t="s">
        <v>1574</v>
      </c>
      <c r="D764" s="11" t="s">
        <v>36</v>
      </c>
      <c r="E764" s="11" t="s">
        <v>1457</v>
      </c>
      <c r="F764" s="11" t="s">
        <v>1417</v>
      </c>
      <c r="G764" s="7">
        <v>1</v>
      </c>
      <c r="H764" s="8">
        <v>43.88</v>
      </c>
      <c r="I764" s="13">
        <v>0</v>
      </c>
      <c r="J764" s="8">
        <f>(Table23[[#This Row],[Quantity]]*Table23[[#This Row],[Unit Price]])-(Table23[[#This Row],[Unit Price]]*Table23[[#This Row],[Dscount]])*Table23[[#This Row],[Quantity]]</f>
        <v>43.88</v>
      </c>
      <c r="K764" s="8">
        <v>32.900000000000006</v>
      </c>
      <c r="L764" s="8">
        <f>Table23[[#This Row],[Revenue]]-Table23[[#This Row],[Total Cost]]</f>
        <v>10.979999999999997</v>
      </c>
      <c r="M764" s="16">
        <f>(Table23[[#This Row],[Profit]]/Table23[[#This Row],[Revenue]])</f>
        <v>0.25022789425706465</v>
      </c>
      <c r="N764" t="s">
        <v>33</v>
      </c>
    </row>
    <row r="765" spans="1:14" x14ac:dyDescent="0.25">
      <c r="A765" s="11" t="s">
        <v>1195</v>
      </c>
      <c r="B765" s="6">
        <v>45665</v>
      </c>
      <c r="C765" s="11" t="s">
        <v>1196</v>
      </c>
      <c r="D765" s="11" t="s">
        <v>14</v>
      </c>
      <c r="E765" s="11" t="s">
        <v>1132</v>
      </c>
      <c r="F765" s="11" t="s">
        <v>1112</v>
      </c>
      <c r="G765" s="7">
        <v>4</v>
      </c>
      <c r="H765" s="8">
        <v>14.57</v>
      </c>
      <c r="I765" s="13">
        <v>0.1</v>
      </c>
      <c r="J765" s="8">
        <f>(Table23[[#This Row],[Quantity]]*Table23[[#This Row],[Unit Price]])-(Table23[[#This Row],[Unit Price]]*Table23[[#This Row],[Dscount]])*Table23[[#This Row],[Quantity]]</f>
        <v>52.451999999999998</v>
      </c>
      <c r="K765" s="8">
        <v>41.501999999999995</v>
      </c>
      <c r="L765" s="8">
        <f>Table23[[#This Row],[Revenue]]-Table23[[#This Row],[Total Cost]]</f>
        <v>10.950000000000003</v>
      </c>
      <c r="M765" s="16">
        <f>(Table23[[#This Row],[Profit]]/Table23[[#This Row],[Revenue]])</f>
        <v>0.2087622969572181</v>
      </c>
      <c r="N765" t="s">
        <v>33</v>
      </c>
    </row>
    <row r="766" spans="1:14" x14ac:dyDescent="0.25">
      <c r="A766" s="11" t="s">
        <v>904</v>
      </c>
      <c r="B766" s="6">
        <v>45308</v>
      </c>
      <c r="C766" s="11" t="s">
        <v>905</v>
      </c>
      <c r="D766" s="11" t="s">
        <v>20</v>
      </c>
      <c r="E766" s="11" t="s">
        <v>848</v>
      </c>
      <c r="F766" s="11" t="s">
        <v>833</v>
      </c>
      <c r="G766" s="7">
        <v>1</v>
      </c>
      <c r="H766" s="8">
        <v>115.81</v>
      </c>
      <c r="I766" s="13">
        <v>0.2</v>
      </c>
      <c r="J766" s="8">
        <f>(Table23[[#This Row],[Quantity]]*Table23[[#This Row],[Unit Price]])-(Table23[[#This Row],[Unit Price]]*Table23[[#This Row],[Dscount]])*Table23[[#This Row],[Quantity]]</f>
        <v>92.647999999999996</v>
      </c>
      <c r="K766" s="8">
        <v>81.707999999999998</v>
      </c>
      <c r="L766" s="8">
        <f>Table23[[#This Row],[Revenue]]-Table23[[#This Row],[Total Cost]]</f>
        <v>10.939999999999998</v>
      </c>
      <c r="M766" s="16">
        <f>(Table23[[#This Row],[Profit]]/Table23[[#This Row],[Revenue]])</f>
        <v>0.11808134012606854</v>
      </c>
      <c r="N766" t="s">
        <v>33</v>
      </c>
    </row>
    <row r="767" spans="1:14" x14ac:dyDescent="0.25">
      <c r="A767" s="11" t="s">
        <v>1571</v>
      </c>
      <c r="B767" s="6">
        <v>45333</v>
      </c>
      <c r="C767" s="11" t="s">
        <v>1572</v>
      </c>
      <c r="D767" s="11" t="s">
        <v>36</v>
      </c>
      <c r="E767" s="11" t="s">
        <v>1420</v>
      </c>
      <c r="F767" s="11" t="s">
        <v>1417</v>
      </c>
      <c r="G767" s="7">
        <v>1</v>
      </c>
      <c r="H767" s="8">
        <v>39.17</v>
      </c>
      <c r="I767" s="13">
        <v>0.05</v>
      </c>
      <c r="J767" s="8">
        <f>(Table23[[#This Row],[Quantity]]*Table23[[#This Row],[Unit Price]])-(Table23[[#This Row],[Unit Price]]*Table23[[#This Row],[Dscount]])*Table23[[#This Row],[Quantity]]</f>
        <v>37.211500000000001</v>
      </c>
      <c r="K767" s="8">
        <v>26.301500000000001</v>
      </c>
      <c r="L767" s="8">
        <f>Table23[[#This Row],[Revenue]]-Table23[[#This Row],[Total Cost]]</f>
        <v>10.91</v>
      </c>
      <c r="M767" s="16">
        <f>(Table23[[#This Row],[Profit]]/Table23[[#This Row],[Revenue]])</f>
        <v>0.29318893352861347</v>
      </c>
      <c r="N767" t="s">
        <v>17</v>
      </c>
    </row>
    <row r="768" spans="1:14" x14ac:dyDescent="0.25">
      <c r="A768" s="11" t="s">
        <v>1193</v>
      </c>
      <c r="B768" s="6">
        <v>45889</v>
      </c>
      <c r="C768" s="11" t="s">
        <v>1194</v>
      </c>
      <c r="D768" s="11" t="s">
        <v>14</v>
      </c>
      <c r="E768" s="11" t="s">
        <v>1184</v>
      </c>
      <c r="F768" s="11" t="s">
        <v>1112</v>
      </c>
      <c r="G768" s="7">
        <v>2</v>
      </c>
      <c r="H768" s="8">
        <v>14.51</v>
      </c>
      <c r="I768" s="13">
        <v>0</v>
      </c>
      <c r="J768" s="8">
        <f>(Table23[[#This Row],[Quantity]]*Table23[[#This Row],[Unit Price]])-(Table23[[#This Row],[Unit Price]]*Table23[[#This Row],[Dscount]])*Table23[[#This Row],[Quantity]]</f>
        <v>29.02</v>
      </c>
      <c r="K768" s="8">
        <v>18.189999999999998</v>
      </c>
      <c r="L768" s="8">
        <f>Table23[[#This Row],[Revenue]]-Table23[[#This Row],[Total Cost]]</f>
        <v>10.830000000000002</v>
      </c>
      <c r="M768" s="16">
        <f>(Table23[[#This Row],[Profit]]/Table23[[#This Row],[Revenue]])</f>
        <v>0.37319090282563755</v>
      </c>
      <c r="N768" t="s">
        <v>17</v>
      </c>
    </row>
    <row r="769" spans="1:14" x14ac:dyDescent="0.25">
      <c r="A769" s="11" t="s">
        <v>1570</v>
      </c>
      <c r="B769" s="6">
        <v>45891</v>
      </c>
      <c r="C769" s="11" t="s">
        <v>579</v>
      </c>
      <c r="D769" s="11" t="s">
        <v>31</v>
      </c>
      <c r="E769" s="11" t="s">
        <v>1426</v>
      </c>
      <c r="F769" s="11" t="s">
        <v>1417</v>
      </c>
      <c r="G769" s="7">
        <v>1</v>
      </c>
      <c r="H769" s="8">
        <v>57.55</v>
      </c>
      <c r="I769" s="13">
        <v>0.15</v>
      </c>
      <c r="J769" s="8">
        <f>(Table23[[#This Row],[Quantity]]*Table23[[#This Row],[Unit Price]])-(Table23[[#This Row],[Unit Price]]*Table23[[#This Row],[Dscount]])*Table23[[#This Row],[Quantity]]</f>
        <v>48.917499999999997</v>
      </c>
      <c r="K769" s="8">
        <v>38.147499999999994</v>
      </c>
      <c r="L769" s="8">
        <f>Table23[[#This Row],[Revenue]]-Table23[[#This Row],[Total Cost]]</f>
        <v>10.770000000000003</v>
      </c>
      <c r="M769" s="16">
        <f>(Table23[[#This Row],[Profit]]/Table23[[#This Row],[Revenue]])</f>
        <v>0.22016660704246954</v>
      </c>
      <c r="N769" t="s">
        <v>33</v>
      </c>
    </row>
    <row r="770" spans="1:14" x14ac:dyDescent="0.25">
      <c r="A770" s="11" t="s">
        <v>1191</v>
      </c>
      <c r="B770" s="6">
        <v>45632</v>
      </c>
      <c r="C770" s="11" t="s">
        <v>1192</v>
      </c>
      <c r="D770" s="11" t="s">
        <v>36</v>
      </c>
      <c r="E770" s="11" t="s">
        <v>1124</v>
      </c>
      <c r="F770" s="11" t="s">
        <v>1112</v>
      </c>
      <c r="G770" s="7">
        <v>1</v>
      </c>
      <c r="H770" s="8">
        <v>38.43</v>
      </c>
      <c r="I770" s="13">
        <v>0</v>
      </c>
      <c r="J770" s="8">
        <f>(Table23[[#This Row],[Quantity]]*Table23[[#This Row],[Unit Price]])-(Table23[[#This Row],[Unit Price]]*Table23[[#This Row],[Dscount]])*Table23[[#This Row],[Quantity]]</f>
        <v>38.43</v>
      </c>
      <c r="K770" s="8">
        <v>27.71</v>
      </c>
      <c r="L770" s="8">
        <f>Table23[[#This Row],[Revenue]]-Table23[[#This Row],[Total Cost]]</f>
        <v>10.719999999999999</v>
      </c>
      <c r="M770" s="16">
        <f>(Table23[[#This Row],[Profit]]/Table23[[#This Row],[Revenue]])</f>
        <v>0.27894873796513137</v>
      </c>
      <c r="N770" t="s">
        <v>33</v>
      </c>
    </row>
    <row r="771" spans="1:14" x14ac:dyDescent="0.25">
      <c r="A771" s="11" t="s">
        <v>903</v>
      </c>
      <c r="B771" s="6">
        <v>45881</v>
      </c>
      <c r="C771" s="11" t="s">
        <v>233</v>
      </c>
      <c r="D771" s="11" t="s">
        <v>36</v>
      </c>
      <c r="E771" s="11" t="s">
        <v>856</v>
      </c>
      <c r="F771" s="11" t="s">
        <v>833</v>
      </c>
      <c r="G771" s="7">
        <v>2</v>
      </c>
      <c r="H771" s="8">
        <v>39.04</v>
      </c>
      <c r="I771" s="13">
        <v>0</v>
      </c>
      <c r="J771" s="8">
        <f>(Table23[[#This Row],[Quantity]]*Table23[[#This Row],[Unit Price]])-(Table23[[#This Row],[Unit Price]]*Table23[[#This Row],[Dscount]])*Table23[[#This Row],[Quantity]]</f>
        <v>78.08</v>
      </c>
      <c r="K771" s="8">
        <v>67.38</v>
      </c>
      <c r="L771" s="8">
        <f>Table23[[#This Row],[Revenue]]-Table23[[#This Row],[Total Cost]]</f>
        <v>10.700000000000003</v>
      </c>
      <c r="M771" s="16">
        <f>(Table23[[#This Row],[Profit]]/Table23[[#This Row],[Revenue]])</f>
        <v>0.13703893442622955</v>
      </c>
      <c r="N771" t="s">
        <v>33</v>
      </c>
    </row>
    <row r="772" spans="1:14" x14ac:dyDescent="0.25">
      <c r="A772" s="11" t="s">
        <v>901</v>
      </c>
      <c r="B772" s="6">
        <v>45633</v>
      </c>
      <c r="C772" s="11" t="s">
        <v>902</v>
      </c>
      <c r="D772" s="11" t="s">
        <v>36</v>
      </c>
      <c r="E772" s="11" t="s">
        <v>858</v>
      </c>
      <c r="F772" s="11" t="s">
        <v>833</v>
      </c>
      <c r="G772" s="7">
        <v>2</v>
      </c>
      <c r="H772" s="8">
        <v>29.6</v>
      </c>
      <c r="I772" s="13">
        <v>0</v>
      </c>
      <c r="J772" s="8">
        <f>(Table23[[#This Row],[Quantity]]*Table23[[#This Row],[Unit Price]])-(Table23[[#This Row],[Unit Price]]*Table23[[#This Row],[Dscount]])*Table23[[#This Row],[Quantity]]</f>
        <v>59.2</v>
      </c>
      <c r="K772" s="8">
        <v>48.510000000000005</v>
      </c>
      <c r="L772" s="8">
        <f>Table23[[#This Row],[Revenue]]-Table23[[#This Row],[Total Cost]]</f>
        <v>10.689999999999998</v>
      </c>
      <c r="M772" s="16">
        <f>(Table23[[#This Row],[Profit]]/Table23[[#This Row],[Revenue]])</f>
        <v>0.18057432432432427</v>
      </c>
      <c r="N772" t="s">
        <v>33</v>
      </c>
    </row>
    <row r="773" spans="1:14" x14ac:dyDescent="0.25">
      <c r="A773" s="11" t="s">
        <v>510</v>
      </c>
      <c r="B773" s="6">
        <v>45454</v>
      </c>
      <c r="C773" s="11" t="s">
        <v>511</v>
      </c>
      <c r="D773" s="11" t="s">
        <v>31</v>
      </c>
      <c r="E773" s="11" t="s">
        <v>496</v>
      </c>
      <c r="F773" s="11" t="s">
        <v>480</v>
      </c>
      <c r="G773" s="7">
        <v>1</v>
      </c>
      <c r="H773" s="8">
        <v>20.92</v>
      </c>
      <c r="I773" s="13">
        <v>0.05</v>
      </c>
      <c r="J773" s="8">
        <f>(Table23[[#This Row],[Quantity]]*Table23[[#This Row],[Unit Price]])-(Table23[[#This Row],[Unit Price]]*Table23[[#This Row],[Dscount]])*Table23[[#This Row],[Quantity]]</f>
        <v>19.874000000000002</v>
      </c>
      <c r="K773" s="8">
        <v>9.2040000000000024</v>
      </c>
      <c r="L773" s="8">
        <f>Table23[[#This Row],[Revenue]]-Table23[[#This Row],[Total Cost]]</f>
        <v>10.67</v>
      </c>
      <c r="M773" s="16">
        <f>(Table23[[#This Row],[Profit]]/Table23[[#This Row],[Revenue]])</f>
        <v>0.53688235886082314</v>
      </c>
      <c r="N773" t="s">
        <v>33</v>
      </c>
    </row>
    <row r="774" spans="1:14" x14ac:dyDescent="0.25">
      <c r="A774" s="11" t="s">
        <v>101</v>
      </c>
      <c r="B774" s="6">
        <v>45896</v>
      </c>
      <c r="C774" s="11" t="s">
        <v>102</v>
      </c>
      <c r="D774" s="11" t="s">
        <v>20</v>
      </c>
      <c r="E774" s="11" t="s">
        <v>53</v>
      </c>
      <c r="F774" s="11" t="s">
        <v>16</v>
      </c>
      <c r="G774" s="7">
        <v>2</v>
      </c>
      <c r="H774" s="8">
        <v>11.41</v>
      </c>
      <c r="I774" s="13">
        <v>0.2</v>
      </c>
      <c r="J774" s="8">
        <f>(Table23[[#This Row],[Quantity]]*Table23[[#This Row],[Unit Price]])-(Table23[[#This Row],[Unit Price]]*Table23[[#This Row],[Dscount]])*Table23[[#This Row],[Quantity]]</f>
        <v>18.256</v>
      </c>
      <c r="K774" s="8">
        <v>7.6059999999999999</v>
      </c>
      <c r="L774" s="8">
        <f>Table23[[#This Row],[Revenue]]-Table23[[#This Row],[Total Cost]]</f>
        <v>10.65</v>
      </c>
      <c r="M774" s="16">
        <f>(Table23[[#This Row],[Profit]]/Table23[[#This Row],[Revenue]])</f>
        <v>0.58336985100788785</v>
      </c>
      <c r="N774" t="s">
        <v>17</v>
      </c>
    </row>
    <row r="775" spans="1:14" x14ac:dyDescent="0.25">
      <c r="A775" s="11" t="s">
        <v>900</v>
      </c>
      <c r="B775" s="6">
        <v>45864</v>
      </c>
      <c r="C775" s="11" t="s">
        <v>130</v>
      </c>
      <c r="D775" s="11" t="s">
        <v>20</v>
      </c>
      <c r="E775" s="11" t="s">
        <v>832</v>
      </c>
      <c r="F775" s="11" t="s">
        <v>833</v>
      </c>
      <c r="G775" s="7">
        <v>1</v>
      </c>
      <c r="H775" s="8">
        <v>51.42</v>
      </c>
      <c r="I775" s="13">
        <v>0</v>
      </c>
      <c r="J775" s="8">
        <f>(Table23[[#This Row],[Quantity]]*Table23[[#This Row],[Unit Price]])-(Table23[[#This Row],[Unit Price]]*Table23[[#This Row],[Dscount]])*Table23[[#This Row],[Quantity]]</f>
        <v>51.42</v>
      </c>
      <c r="K775" s="8">
        <v>40.770000000000003</v>
      </c>
      <c r="L775" s="8">
        <f>Table23[[#This Row],[Revenue]]-Table23[[#This Row],[Total Cost]]</f>
        <v>10.649999999999999</v>
      </c>
      <c r="M775" s="16">
        <f>(Table23[[#This Row],[Profit]]/Table23[[#This Row],[Revenue]])</f>
        <v>0.20711785297549587</v>
      </c>
      <c r="N775" t="s">
        <v>33</v>
      </c>
    </row>
    <row r="776" spans="1:14" x14ac:dyDescent="0.25">
      <c r="A776" s="11" t="s">
        <v>1568</v>
      </c>
      <c r="B776" s="6">
        <v>45846</v>
      </c>
      <c r="C776" s="11" t="s">
        <v>1569</v>
      </c>
      <c r="D776" s="11" t="s">
        <v>14</v>
      </c>
      <c r="E776" s="11" t="s">
        <v>1439</v>
      </c>
      <c r="F776" s="11" t="s">
        <v>1417</v>
      </c>
      <c r="G776" s="7">
        <v>3</v>
      </c>
      <c r="H776" s="8">
        <v>12.48</v>
      </c>
      <c r="I776" s="13">
        <v>0.15</v>
      </c>
      <c r="J776" s="8">
        <f>(Table23[[#This Row],[Quantity]]*Table23[[#This Row],[Unit Price]])-(Table23[[#This Row],[Unit Price]]*Table23[[#This Row],[Dscount]])*Table23[[#This Row],[Quantity]]</f>
        <v>31.823999999999998</v>
      </c>
      <c r="K776" s="8">
        <v>21.173999999999999</v>
      </c>
      <c r="L776" s="8">
        <f>Table23[[#This Row],[Revenue]]-Table23[[#This Row],[Total Cost]]</f>
        <v>10.649999999999999</v>
      </c>
      <c r="M776" s="16">
        <f>(Table23[[#This Row],[Profit]]/Table23[[#This Row],[Revenue]])</f>
        <v>0.33465309200603316</v>
      </c>
      <c r="N776" t="s">
        <v>17</v>
      </c>
    </row>
    <row r="777" spans="1:14" x14ac:dyDescent="0.25">
      <c r="A777" s="11" t="s">
        <v>1190</v>
      </c>
      <c r="B777" s="6">
        <v>45707</v>
      </c>
      <c r="C777" s="11" t="s">
        <v>441</v>
      </c>
      <c r="D777" s="11" t="s">
        <v>14</v>
      </c>
      <c r="E777" s="11" t="s">
        <v>1114</v>
      </c>
      <c r="F777" s="11" t="s">
        <v>1112</v>
      </c>
      <c r="G777" s="7">
        <v>2</v>
      </c>
      <c r="H777" s="8">
        <v>17.55</v>
      </c>
      <c r="I777" s="13">
        <v>0.2</v>
      </c>
      <c r="J777" s="8">
        <f>(Table23[[#This Row],[Quantity]]*Table23[[#This Row],[Unit Price]])-(Table23[[#This Row],[Unit Price]]*Table23[[#This Row],[Dscount]])*Table23[[#This Row],[Quantity]]</f>
        <v>28.080000000000002</v>
      </c>
      <c r="K777" s="8">
        <v>17.440000000000001</v>
      </c>
      <c r="L777" s="8">
        <f>Table23[[#This Row],[Revenue]]-Table23[[#This Row],[Total Cost]]</f>
        <v>10.64</v>
      </c>
      <c r="M777" s="16">
        <f>(Table23[[#This Row],[Profit]]/Table23[[#This Row],[Revenue]])</f>
        <v>0.37891737891737892</v>
      </c>
      <c r="N777" t="s">
        <v>33</v>
      </c>
    </row>
    <row r="778" spans="1:14" x14ac:dyDescent="0.25">
      <c r="A778" s="11" t="s">
        <v>1567</v>
      </c>
      <c r="B778" s="6">
        <v>45600</v>
      </c>
      <c r="C778" s="11" t="s">
        <v>297</v>
      </c>
      <c r="D778" s="11" t="s">
        <v>14</v>
      </c>
      <c r="E778" s="11" t="s">
        <v>1420</v>
      </c>
      <c r="F778" s="11" t="s">
        <v>1417</v>
      </c>
      <c r="G778" s="7">
        <v>3</v>
      </c>
      <c r="H778" s="8">
        <v>23.15</v>
      </c>
      <c r="I778" s="13">
        <v>0.2</v>
      </c>
      <c r="J778" s="8">
        <f>(Table23[[#This Row],[Quantity]]*Table23[[#This Row],[Unit Price]])-(Table23[[#This Row],[Unit Price]]*Table23[[#This Row],[Dscount]])*Table23[[#This Row],[Quantity]]</f>
        <v>55.559999999999988</v>
      </c>
      <c r="K778" s="8">
        <v>44.929999999999986</v>
      </c>
      <c r="L778" s="8">
        <f>Table23[[#This Row],[Revenue]]-Table23[[#This Row],[Total Cost]]</f>
        <v>10.630000000000003</v>
      </c>
      <c r="M778" s="16">
        <f>(Table23[[#This Row],[Profit]]/Table23[[#This Row],[Revenue]])</f>
        <v>0.19132469402447813</v>
      </c>
      <c r="N778" t="s">
        <v>33</v>
      </c>
    </row>
    <row r="779" spans="1:14" x14ac:dyDescent="0.25">
      <c r="A779" s="11" t="s">
        <v>97</v>
      </c>
      <c r="B779" s="6">
        <v>45696</v>
      </c>
      <c r="C779" s="11" t="s">
        <v>98</v>
      </c>
      <c r="D779" s="11" t="s">
        <v>36</v>
      </c>
      <c r="E779" s="11" t="s">
        <v>28</v>
      </c>
      <c r="F779" s="11" t="s">
        <v>16</v>
      </c>
      <c r="G779" s="7">
        <v>2</v>
      </c>
      <c r="H779" s="8">
        <v>9</v>
      </c>
      <c r="I779" s="13">
        <v>0</v>
      </c>
      <c r="J779" s="8">
        <f>(Table23[[#This Row],[Quantity]]*Table23[[#This Row],[Unit Price]])-(Table23[[#This Row],[Unit Price]]*Table23[[#This Row],[Dscount]])*Table23[[#This Row],[Quantity]]</f>
        <v>18</v>
      </c>
      <c r="K779" s="8">
        <v>7.3900000000000006</v>
      </c>
      <c r="L779" s="8">
        <f>Table23[[#This Row],[Revenue]]-Table23[[#This Row],[Total Cost]]</f>
        <v>10.61</v>
      </c>
      <c r="M779" s="16">
        <f>(Table23[[#This Row],[Profit]]/Table23[[#This Row],[Revenue]])</f>
        <v>0.58944444444444444</v>
      </c>
      <c r="N779" t="s">
        <v>33</v>
      </c>
    </row>
    <row r="780" spans="1:14" x14ac:dyDescent="0.25">
      <c r="A780" s="11" t="s">
        <v>99</v>
      </c>
      <c r="B780" s="6">
        <v>45361</v>
      </c>
      <c r="C780" s="11" t="s">
        <v>100</v>
      </c>
      <c r="D780" s="11" t="s">
        <v>20</v>
      </c>
      <c r="E780" s="11" t="s">
        <v>28</v>
      </c>
      <c r="F780" s="11" t="s">
        <v>16</v>
      </c>
      <c r="G780" s="7">
        <v>1</v>
      </c>
      <c r="H780" s="8">
        <v>25.17</v>
      </c>
      <c r="I780" s="13">
        <v>0.15</v>
      </c>
      <c r="J780" s="8">
        <f>(Table23[[#This Row],[Quantity]]*Table23[[#This Row],[Unit Price]])-(Table23[[#This Row],[Unit Price]]*Table23[[#This Row],[Dscount]])*Table23[[#This Row],[Quantity]]</f>
        <v>21.394500000000001</v>
      </c>
      <c r="K780" s="8">
        <v>10.784500000000001</v>
      </c>
      <c r="L780" s="8">
        <f>Table23[[#This Row],[Revenue]]-Table23[[#This Row],[Total Cost]]</f>
        <v>10.61</v>
      </c>
      <c r="M780" s="16">
        <f>(Table23[[#This Row],[Profit]]/Table23[[#This Row],[Revenue]])</f>
        <v>0.49592184907335995</v>
      </c>
      <c r="N780" t="s">
        <v>33</v>
      </c>
    </row>
    <row r="781" spans="1:14" x14ac:dyDescent="0.25">
      <c r="A781" s="11" t="s">
        <v>1565</v>
      </c>
      <c r="B781" s="6">
        <v>45583</v>
      </c>
      <c r="C781" s="11" t="s">
        <v>1566</v>
      </c>
      <c r="D781" s="11" t="s">
        <v>31</v>
      </c>
      <c r="E781" s="11" t="s">
        <v>1457</v>
      </c>
      <c r="F781" s="11" t="s">
        <v>1417</v>
      </c>
      <c r="G781" s="7">
        <v>3</v>
      </c>
      <c r="H781" s="8">
        <v>15.44</v>
      </c>
      <c r="I781" s="13">
        <v>0</v>
      </c>
      <c r="J781" s="8">
        <f>(Table23[[#This Row],[Quantity]]*Table23[[#This Row],[Unit Price]])-(Table23[[#This Row],[Unit Price]]*Table23[[#This Row],[Dscount]])*Table23[[#This Row],[Quantity]]</f>
        <v>46.32</v>
      </c>
      <c r="K781" s="8">
        <v>35.72</v>
      </c>
      <c r="L781" s="8">
        <f>Table23[[#This Row],[Revenue]]-Table23[[#This Row],[Total Cost]]</f>
        <v>10.600000000000001</v>
      </c>
      <c r="M781" s="16">
        <f>(Table23[[#This Row],[Profit]]/Table23[[#This Row],[Revenue]])</f>
        <v>0.22884283246977549</v>
      </c>
      <c r="N781" t="s">
        <v>33</v>
      </c>
    </row>
    <row r="782" spans="1:14" x14ac:dyDescent="0.25">
      <c r="A782" s="11" t="s">
        <v>1563</v>
      </c>
      <c r="B782" s="6">
        <v>45783</v>
      </c>
      <c r="C782" s="11" t="s">
        <v>1564</v>
      </c>
      <c r="D782" s="11" t="s">
        <v>24</v>
      </c>
      <c r="E782" s="11" t="s">
        <v>1420</v>
      </c>
      <c r="F782" s="11" t="s">
        <v>1417</v>
      </c>
      <c r="G782" s="7">
        <v>3</v>
      </c>
      <c r="H782" s="8">
        <v>22.37</v>
      </c>
      <c r="I782" s="13">
        <v>0</v>
      </c>
      <c r="J782" s="8">
        <f>(Table23[[#This Row],[Quantity]]*Table23[[#This Row],[Unit Price]])-(Table23[[#This Row],[Unit Price]]*Table23[[#This Row],[Dscount]])*Table23[[#This Row],[Quantity]]</f>
        <v>67.11</v>
      </c>
      <c r="K782" s="8">
        <v>56.55</v>
      </c>
      <c r="L782" s="8">
        <f>Table23[[#This Row],[Revenue]]-Table23[[#This Row],[Total Cost]]</f>
        <v>10.560000000000002</v>
      </c>
      <c r="M782" s="16">
        <f>(Table23[[#This Row],[Profit]]/Table23[[#This Row],[Revenue]])</f>
        <v>0.15735359856951278</v>
      </c>
      <c r="N782" t="s">
        <v>48</v>
      </c>
    </row>
    <row r="783" spans="1:14" x14ac:dyDescent="0.25">
      <c r="A783" s="11" t="s">
        <v>1561</v>
      </c>
      <c r="B783" s="6">
        <v>45448</v>
      </c>
      <c r="C783" s="11" t="s">
        <v>1562</v>
      </c>
      <c r="D783" s="11" t="s">
        <v>36</v>
      </c>
      <c r="E783" s="11" t="s">
        <v>1416</v>
      </c>
      <c r="F783" s="11" t="s">
        <v>1417</v>
      </c>
      <c r="G783" s="7">
        <v>1</v>
      </c>
      <c r="H783" s="8">
        <v>32.49</v>
      </c>
      <c r="I783" s="13">
        <v>0</v>
      </c>
      <c r="J783" s="8">
        <f>(Table23[[#This Row],[Quantity]]*Table23[[#This Row],[Unit Price]])-(Table23[[#This Row],[Unit Price]]*Table23[[#This Row],[Dscount]])*Table23[[#This Row],[Quantity]]</f>
        <v>32.49</v>
      </c>
      <c r="K783" s="8">
        <v>21.94</v>
      </c>
      <c r="L783" s="8">
        <f>Table23[[#This Row],[Revenue]]-Table23[[#This Row],[Total Cost]]</f>
        <v>10.55</v>
      </c>
      <c r="M783" s="16">
        <f>(Table23[[#This Row],[Profit]]/Table23[[#This Row],[Revenue]])</f>
        <v>0.324715297014466</v>
      </c>
      <c r="N783" t="s">
        <v>48</v>
      </c>
    </row>
    <row r="784" spans="1:14" x14ac:dyDescent="0.25">
      <c r="A784" s="11" t="s">
        <v>508</v>
      </c>
      <c r="B784" s="6">
        <v>45511</v>
      </c>
      <c r="C784" s="11" t="s">
        <v>509</v>
      </c>
      <c r="D784" s="11" t="s">
        <v>24</v>
      </c>
      <c r="E784" s="11" t="s">
        <v>500</v>
      </c>
      <c r="F784" s="11" t="s">
        <v>480</v>
      </c>
      <c r="G784" s="7">
        <v>1</v>
      </c>
      <c r="H784" s="8">
        <v>20.170000000000002</v>
      </c>
      <c r="I784" s="13">
        <v>0</v>
      </c>
      <c r="J784" s="8">
        <f>(Table23[[#This Row],[Quantity]]*Table23[[#This Row],[Unit Price]])-(Table23[[#This Row],[Unit Price]]*Table23[[#This Row],[Dscount]])*Table23[[#This Row],[Quantity]]</f>
        <v>20.170000000000002</v>
      </c>
      <c r="K784" s="8">
        <v>9.6800000000000015</v>
      </c>
      <c r="L784" s="8">
        <f>Table23[[#This Row],[Revenue]]-Table23[[#This Row],[Total Cost]]</f>
        <v>10.49</v>
      </c>
      <c r="M784" s="16">
        <f>(Table23[[#This Row],[Profit]]/Table23[[#This Row],[Revenue]])</f>
        <v>0.52007932573128401</v>
      </c>
      <c r="N784" t="s">
        <v>33</v>
      </c>
    </row>
    <row r="785" spans="1:14" x14ac:dyDescent="0.25">
      <c r="A785" s="11" t="s">
        <v>1559</v>
      </c>
      <c r="B785" s="6">
        <v>45757</v>
      </c>
      <c r="C785" s="11" t="s">
        <v>1560</v>
      </c>
      <c r="D785" s="11" t="s">
        <v>36</v>
      </c>
      <c r="E785" s="11" t="s">
        <v>1420</v>
      </c>
      <c r="F785" s="11" t="s">
        <v>1417</v>
      </c>
      <c r="G785" s="7">
        <v>1</v>
      </c>
      <c r="H785" s="8">
        <v>56.95</v>
      </c>
      <c r="I785" s="13">
        <v>0</v>
      </c>
      <c r="J785" s="8">
        <f>(Table23[[#This Row],[Quantity]]*Table23[[#This Row],[Unit Price]])-(Table23[[#This Row],[Unit Price]]*Table23[[#This Row],[Dscount]])*Table23[[#This Row],[Quantity]]</f>
        <v>56.95</v>
      </c>
      <c r="K785" s="8">
        <v>46.47</v>
      </c>
      <c r="L785" s="8">
        <f>Table23[[#This Row],[Revenue]]-Table23[[#This Row],[Total Cost]]</f>
        <v>10.480000000000004</v>
      </c>
      <c r="M785" s="16">
        <f>(Table23[[#This Row],[Profit]]/Table23[[#This Row],[Revenue]])</f>
        <v>0.18402107111501323</v>
      </c>
      <c r="N785" t="s">
        <v>33</v>
      </c>
    </row>
    <row r="786" spans="1:14" x14ac:dyDescent="0.25">
      <c r="A786" s="11" t="s">
        <v>1558</v>
      </c>
      <c r="B786" s="6">
        <v>45903</v>
      </c>
      <c r="C786" s="11" t="s">
        <v>1533</v>
      </c>
      <c r="D786" s="11" t="s">
        <v>36</v>
      </c>
      <c r="E786" s="11" t="s">
        <v>1457</v>
      </c>
      <c r="F786" s="11" t="s">
        <v>1417</v>
      </c>
      <c r="G786" s="7">
        <v>1</v>
      </c>
      <c r="H786" s="8">
        <v>37.1</v>
      </c>
      <c r="I786" s="13">
        <v>0.15</v>
      </c>
      <c r="J786" s="8">
        <f>(Table23[[#This Row],[Quantity]]*Table23[[#This Row],[Unit Price]])-(Table23[[#This Row],[Unit Price]]*Table23[[#This Row],[Dscount]])*Table23[[#This Row],[Quantity]]</f>
        <v>31.535</v>
      </c>
      <c r="K786" s="8">
        <v>21.074999999999999</v>
      </c>
      <c r="L786" s="8">
        <f>Table23[[#This Row],[Revenue]]-Table23[[#This Row],[Total Cost]]</f>
        <v>10.46</v>
      </c>
      <c r="M786" s="16">
        <f>(Table23[[#This Row],[Profit]]/Table23[[#This Row],[Revenue]])</f>
        <v>0.33169494212779455</v>
      </c>
      <c r="N786" t="s">
        <v>48</v>
      </c>
    </row>
    <row r="787" spans="1:14" x14ac:dyDescent="0.25">
      <c r="A787" s="11" t="s">
        <v>1189</v>
      </c>
      <c r="B787" s="6">
        <v>45717</v>
      </c>
      <c r="C787" s="11" t="s">
        <v>30</v>
      </c>
      <c r="D787" s="11" t="s">
        <v>14</v>
      </c>
      <c r="E787" s="11" t="s">
        <v>1114</v>
      </c>
      <c r="F787" s="11" t="s">
        <v>1112</v>
      </c>
      <c r="G787" s="7">
        <v>2</v>
      </c>
      <c r="H787" s="8">
        <v>21.3</v>
      </c>
      <c r="I787" s="13">
        <v>0</v>
      </c>
      <c r="J787" s="8">
        <f>(Table23[[#This Row],[Quantity]]*Table23[[#This Row],[Unit Price]])-(Table23[[#This Row],[Unit Price]]*Table23[[#This Row],[Dscount]])*Table23[[#This Row],[Quantity]]</f>
        <v>42.6</v>
      </c>
      <c r="K787" s="8">
        <v>32.160000000000004</v>
      </c>
      <c r="L787" s="8">
        <f>Table23[[#This Row],[Revenue]]-Table23[[#This Row],[Total Cost]]</f>
        <v>10.439999999999998</v>
      </c>
      <c r="M787" s="16">
        <f>(Table23[[#This Row],[Profit]]/Table23[[#This Row],[Revenue]])</f>
        <v>0.24507042253521122</v>
      </c>
      <c r="N787" t="s">
        <v>33</v>
      </c>
    </row>
    <row r="788" spans="1:14" x14ac:dyDescent="0.25">
      <c r="A788" s="11" t="s">
        <v>1554</v>
      </c>
      <c r="B788" s="6">
        <v>45960</v>
      </c>
      <c r="C788" s="11" t="s">
        <v>1555</v>
      </c>
      <c r="D788" s="11" t="s">
        <v>14</v>
      </c>
      <c r="E788" s="11" t="s">
        <v>1422</v>
      </c>
      <c r="F788" s="11" t="s">
        <v>1417</v>
      </c>
      <c r="G788" s="7">
        <v>1</v>
      </c>
      <c r="H788" s="8">
        <v>32.68</v>
      </c>
      <c r="I788" s="13">
        <v>0.05</v>
      </c>
      <c r="J788" s="8">
        <f>(Table23[[#This Row],[Quantity]]*Table23[[#This Row],[Unit Price]])-(Table23[[#This Row],[Unit Price]]*Table23[[#This Row],[Dscount]])*Table23[[#This Row],[Quantity]]</f>
        <v>31.045999999999999</v>
      </c>
      <c r="K788" s="8">
        <v>20.655999999999999</v>
      </c>
      <c r="L788" s="8">
        <f>Table23[[#This Row],[Revenue]]-Table23[[#This Row],[Total Cost]]</f>
        <v>10.39</v>
      </c>
      <c r="M788" s="16">
        <f>(Table23[[#This Row],[Profit]]/Table23[[#This Row],[Revenue]])</f>
        <v>0.33466469110352381</v>
      </c>
      <c r="N788" t="s">
        <v>33</v>
      </c>
    </row>
    <row r="789" spans="1:14" x14ac:dyDescent="0.25">
      <c r="A789" s="11" t="s">
        <v>1556</v>
      </c>
      <c r="B789" s="6">
        <v>45357</v>
      </c>
      <c r="C789" s="11" t="s">
        <v>1557</v>
      </c>
      <c r="D789" s="11" t="s">
        <v>31</v>
      </c>
      <c r="E789" s="11" t="s">
        <v>1457</v>
      </c>
      <c r="F789" s="11" t="s">
        <v>1417</v>
      </c>
      <c r="G789" s="7">
        <v>1</v>
      </c>
      <c r="H789" s="8">
        <v>50.87</v>
      </c>
      <c r="I789" s="13">
        <v>0.1</v>
      </c>
      <c r="J789" s="8">
        <f>(Table23[[#This Row],[Quantity]]*Table23[[#This Row],[Unit Price]])-(Table23[[#This Row],[Unit Price]]*Table23[[#This Row],[Dscount]])*Table23[[#This Row],[Quantity]]</f>
        <v>45.783000000000001</v>
      </c>
      <c r="K789" s="8">
        <v>35.393000000000001</v>
      </c>
      <c r="L789" s="8">
        <f>Table23[[#This Row],[Revenue]]-Table23[[#This Row],[Total Cost]]</f>
        <v>10.39</v>
      </c>
      <c r="M789" s="16">
        <f>(Table23[[#This Row],[Profit]]/Table23[[#This Row],[Revenue]])</f>
        <v>0.22694013061616758</v>
      </c>
      <c r="N789" t="s">
        <v>33</v>
      </c>
    </row>
    <row r="790" spans="1:14" x14ac:dyDescent="0.25">
      <c r="A790" s="11" t="s">
        <v>506</v>
      </c>
      <c r="B790" s="6">
        <v>45651</v>
      </c>
      <c r="C790" s="11" t="s">
        <v>507</v>
      </c>
      <c r="D790" s="11" t="s">
        <v>14</v>
      </c>
      <c r="E790" s="11" t="s">
        <v>505</v>
      </c>
      <c r="F790" s="11" t="s">
        <v>480</v>
      </c>
      <c r="G790" s="7">
        <v>1</v>
      </c>
      <c r="H790" s="8">
        <v>30.6</v>
      </c>
      <c r="I790" s="13">
        <v>0.05</v>
      </c>
      <c r="J790" s="8">
        <f>(Table23[[#This Row],[Quantity]]*Table23[[#This Row],[Unit Price]])-(Table23[[#This Row],[Unit Price]]*Table23[[#This Row],[Dscount]])*Table23[[#This Row],[Quantity]]</f>
        <v>29.07</v>
      </c>
      <c r="K790" s="8">
        <v>18.75</v>
      </c>
      <c r="L790" s="8">
        <f>Table23[[#This Row],[Revenue]]-Table23[[#This Row],[Total Cost]]</f>
        <v>10.32</v>
      </c>
      <c r="M790" s="16">
        <f>(Table23[[#This Row],[Profit]]/Table23[[#This Row],[Revenue]])</f>
        <v>0.35500515995872034</v>
      </c>
      <c r="N790" t="s">
        <v>33</v>
      </c>
    </row>
    <row r="791" spans="1:14" x14ac:dyDescent="0.25">
      <c r="A791" s="11" t="s">
        <v>1187</v>
      </c>
      <c r="B791" s="6">
        <v>45535</v>
      </c>
      <c r="C791" s="11" t="s">
        <v>1188</v>
      </c>
      <c r="D791" s="11" t="s">
        <v>31</v>
      </c>
      <c r="E791" s="11" t="s">
        <v>1134</v>
      </c>
      <c r="F791" s="11" t="s">
        <v>1112</v>
      </c>
      <c r="G791" s="7">
        <v>1</v>
      </c>
      <c r="H791" s="8">
        <v>40.950000000000003</v>
      </c>
      <c r="I791" s="13">
        <v>0</v>
      </c>
      <c r="J791" s="8">
        <f>(Table23[[#This Row],[Quantity]]*Table23[[#This Row],[Unit Price]])-(Table23[[#This Row],[Unit Price]]*Table23[[#This Row],[Dscount]])*Table23[[#This Row],[Quantity]]</f>
        <v>40.950000000000003</v>
      </c>
      <c r="K791" s="8">
        <v>30.630000000000003</v>
      </c>
      <c r="L791" s="8">
        <f>Table23[[#This Row],[Revenue]]-Table23[[#This Row],[Total Cost]]</f>
        <v>10.32</v>
      </c>
      <c r="M791" s="16">
        <f>(Table23[[#This Row],[Profit]]/Table23[[#This Row],[Revenue]])</f>
        <v>0.25201465201465201</v>
      </c>
      <c r="N791" t="s">
        <v>33</v>
      </c>
    </row>
    <row r="792" spans="1:14" x14ac:dyDescent="0.25">
      <c r="A792" s="11" t="s">
        <v>95</v>
      </c>
      <c r="B792" s="6">
        <v>45852</v>
      </c>
      <c r="C792" s="11" t="s">
        <v>96</v>
      </c>
      <c r="D792" s="11" t="s">
        <v>36</v>
      </c>
      <c r="E792" s="11" t="s">
        <v>28</v>
      </c>
      <c r="F792" s="11" t="s">
        <v>16</v>
      </c>
      <c r="G792" s="7">
        <v>1</v>
      </c>
      <c r="H792" s="8">
        <v>19.46</v>
      </c>
      <c r="I792" s="13">
        <v>0</v>
      </c>
      <c r="J792" s="8">
        <f>(Table23[[#This Row],[Quantity]]*Table23[[#This Row],[Unit Price]])-(Table23[[#This Row],[Unit Price]]*Table23[[#This Row],[Dscount]])*Table23[[#This Row],[Quantity]]</f>
        <v>19.46</v>
      </c>
      <c r="K792" s="8">
        <v>9.16</v>
      </c>
      <c r="L792" s="8">
        <f>Table23[[#This Row],[Revenue]]-Table23[[#This Row],[Total Cost]]</f>
        <v>10.3</v>
      </c>
      <c r="M792" s="16">
        <f>(Table23[[#This Row],[Profit]]/Table23[[#This Row],[Revenue]])</f>
        <v>0.52929085303186019</v>
      </c>
      <c r="N792" t="s">
        <v>33</v>
      </c>
    </row>
    <row r="793" spans="1:14" x14ac:dyDescent="0.25">
      <c r="A793" s="11" t="s">
        <v>1552</v>
      </c>
      <c r="B793" s="6">
        <v>45339</v>
      </c>
      <c r="C793" s="11" t="s">
        <v>1553</v>
      </c>
      <c r="D793" s="11" t="s">
        <v>20</v>
      </c>
      <c r="E793" s="11" t="s">
        <v>1429</v>
      </c>
      <c r="F793" s="11" t="s">
        <v>1417</v>
      </c>
      <c r="G793" s="7">
        <v>2</v>
      </c>
      <c r="H793" s="8">
        <v>23.88</v>
      </c>
      <c r="I793" s="13">
        <v>0</v>
      </c>
      <c r="J793" s="8">
        <f>(Table23[[#This Row],[Quantity]]*Table23[[#This Row],[Unit Price]])-(Table23[[#This Row],[Unit Price]]*Table23[[#This Row],[Dscount]])*Table23[[#This Row],[Quantity]]</f>
        <v>47.76</v>
      </c>
      <c r="K793" s="8">
        <v>37.519999999999996</v>
      </c>
      <c r="L793" s="8">
        <f>Table23[[#This Row],[Revenue]]-Table23[[#This Row],[Total Cost]]</f>
        <v>10.240000000000002</v>
      </c>
      <c r="M793" s="16">
        <f>(Table23[[#This Row],[Profit]]/Table23[[#This Row],[Revenue]])</f>
        <v>0.21440536013400341</v>
      </c>
      <c r="N793" t="s">
        <v>33</v>
      </c>
    </row>
    <row r="794" spans="1:14" x14ac:dyDescent="0.25">
      <c r="A794" s="11" t="s">
        <v>93</v>
      </c>
      <c r="B794" s="6">
        <v>45776</v>
      </c>
      <c r="C794" s="11" t="s">
        <v>94</v>
      </c>
      <c r="D794" s="11" t="s">
        <v>31</v>
      </c>
      <c r="E794" s="11" t="s">
        <v>21</v>
      </c>
      <c r="F794" s="11" t="s">
        <v>16</v>
      </c>
      <c r="G794" s="7">
        <v>2</v>
      </c>
      <c r="H794" s="8">
        <v>8.23</v>
      </c>
      <c r="I794" s="13">
        <v>0</v>
      </c>
      <c r="J794" s="8">
        <f>(Table23[[#This Row],[Quantity]]*Table23[[#This Row],[Unit Price]])-(Table23[[#This Row],[Unit Price]]*Table23[[#This Row],[Dscount]])*Table23[[#This Row],[Quantity]]</f>
        <v>16.46</v>
      </c>
      <c r="K794" s="8">
        <v>6.24</v>
      </c>
      <c r="L794" s="8">
        <f>Table23[[#This Row],[Revenue]]-Table23[[#This Row],[Total Cost]]</f>
        <v>10.220000000000001</v>
      </c>
      <c r="M794" s="16">
        <f>(Table23[[#This Row],[Profit]]/Table23[[#This Row],[Revenue]])</f>
        <v>0.62089914945321989</v>
      </c>
      <c r="N794" t="s">
        <v>17</v>
      </c>
    </row>
    <row r="795" spans="1:14" x14ac:dyDescent="0.25">
      <c r="A795" s="11" t="s">
        <v>1185</v>
      </c>
      <c r="B795" s="6">
        <v>45974</v>
      </c>
      <c r="C795" s="11" t="s">
        <v>1186</v>
      </c>
      <c r="D795" s="11" t="s">
        <v>14</v>
      </c>
      <c r="E795" s="11" t="s">
        <v>1132</v>
      </c>
      <c r="F795" s="11" t="s">
        <v>1112</v>
      </c>
      <c r="G795" s="7">
        <v>1</v>
      </c>
      <c r="H795" s="8">
        <v>27.61</v>
      </c>
      <c r="I795" s="13">
        <v>0</v>
      </c>
      <c r="J795" s="8">
        <f>(Table23[[#This Row],[Quantity]]*Table23[[#This Row],[Unit Price]])-(Table23[[#This Row],[Unit Price]]*Table23[[#This Row],[Dscount]])*Table23[[#This Row],[Quantity]]</f>
        <v>27.61</v>
      </c>
      <c r="K795" s="8">
        <v>17.39</v>
      </c>
      <c r="L795" s="8">
        <f>Table23[[#This Row],[Revenue]]-Table23[[#This Row],[Total Cost]]</f>
        <v>10.219999999999999</v>
      </c>
      <c r="M795" s="16">
        <f>(Table23[[#This Row],[Profit]]/Table23[[#This Row],[Revenue]])</f>
        <v>0.37015574067366891</v>
      </c>
      <c r="N795" t="s">
        <v>33</v>
      </c>
    </row>
    <row r="796" spans="1:14" x14ac:dyDescent="0.25">
      <c r="A796" s="11" t="s">
        <v>504</v>
      </c>
      <c r="B796" s="6">
        <v>45293</v>
      </c>
      <c r="C796" s="11" t="s">
        <v>182</v>
      </c>
      <c r="D796" s="11" t="s">
        <v>24</v>
      </c>
      <c r="E796" s="11" t="s">
        <v>505</v>
      </c>
      <c r="F796" s="11" t="s">
        <v>480</v>
      </c>
      <c r="G796" s="7">
        <v>1</v>
      </c>
      <c r="H796" s="8">
        <v>27.35</v>
      </c>
      <c r="I796" s="13">
        <v>0.05</v>
      </c>
      <c r="J796" s="8">
        <f>(Table23[[#This Row],[Quantity]]*Table23[[#This Row],[Unit Price]])-(Table23[[#This Row],[Unit Price]]*Table23[[#This Row],[Dscount]])*Table23[[#This Row],[Quantity]]</f>
        <v>25.982500000000002</v>
      </c>
      <c r="K796" s="8">
        <v>15.782500000000002</v>
      </c>
      <c r="L796" s="8">
        <f>Table23[[#This Row],[Revenue]]-Table23[[#This Row],[Total Cost]]</f>
        <v>10.199999999999999</v>
      </c>
      <c r="M796" s="16">
        <f>(Table23[[#This Row],[Profit]]/Table23[[#This Row],[Revenue]])</f>
        <v>0.39257192340998742</v>
      </c>
      <c r="N796" t="s">
        <v>33</v>
      </c>
    </row>
    <row r="797" spans="1:14" x14ac:dyDescent="0.25">
      <c r="A797" s="11" t="s">
        <v>91</v>
      </c>
      <c r="B797" s="6">
        <v>46020</v>
      </c>
      <c r="C797" s="11" t="s">
        <v>92</v>
      </c>
      <c r="D797" s="11" t="s">
        <v>20</v>
      </c>
      <c r="E797" s="11" t="s">
        <v>25</v>
      </c>
      <c r="F797" s="11" t="s">
        <v>16</v>
      </c>
      <c r="G797" s="7">
        <v>1</v>
      </c>
      <c r="H797" s="8">
        <v>29.91</v>
      </c>
      <c r="I797" s="13">
        <v>0.15</v>
      </c>
      <c r="J797" s="8">
        <f>(Table23[[#This Row],[Quantity]]*Table23[[#This Row],[Unit Price]])-(Table23[[#This Row],[Unit Price]]*Table23[[#This Row],[Dscount]])*Table23[[#This Row],[Quantity]]</f>
        <v>25.423500000000001</v>
      </c>
      <c r="K797" s="8">
        <v>15.233500000000001</v>
      </c>
      <c r="L797" s="8">
        <f>Table23[[#This Row],[Revenue]]-Table23[[#This Row],[Total Cost]]</f>
        <v>10.19</v>
      </c>
      <c r="M797" s="16">
        <f>(Table23[[#This Row],[Profit]]/Table23[[#This Row],[Revenue]])</f>
        <v>0.40081027395913227</v>
      </c>
      <c r="N797" t="s">
        <v>17</v>
      </c>
    </row>
    <row r="798" spans="1:14" x14ac:dyDescent="0.25">
      <c r="A798" s="11" t="s">
        <v>1182</v>
      </c>
      <c r="B798" s="6">
        <v>45693</v>
      </c>
      <c r="C798" s="11" t="s">
        <v>1183</v>
      </c>
      <c r="D798" s="11" t="s">
        <v>14</v>
      </c>
      <c r="E798" s="11" t="s">
        <v>1184</v>
      </c>
      <c r="F798" s="11" t="s">
        <v>1112</v>
      </c>
      <c r="G798" s="7">
        <v>2</v>
      </c>
      <c r="H798" s="8">
        <v>27.91</v>
      </c>
      <c r="I798" s="13">
        <v>0.15</v>
      </c>
      <c r="J798" s="8">
        <f>(Table23[[#This Row],[Quantity]]*Table23[[#This Row],[Unit Price]])-(Table23[[#This Row],[Unit Price]]*Table23[[#This Row],[Dscount]])*Table23[[#This Row],[Quantity]]</f>
        <v>47.447000000000003</v>
      </c>
      <c r="K798" s="8">
        <v>37.337000000000003</v>
      </c>
      <c r="L798" s="8">
        <f>Table23[[#This Row],[Revenue]]-Table23[[#This Row],[Total Cost]]</f>
        <v>10.11</v>
      </c>
      <c r="M798" s="16">
        <f>(Table23[[#This Row],[Profit]]/Table23[[#This Row],[Revenue]])</f>
        <v>0.21307985752523867</v>
      </c>
      <c r="N798" t="s">
        <v>17</v>
      </c>
    </row>
    <row r="799" spans="1:14" x14ac:dyDescent="0.25">
      <c r="A799" s="11" t="s">
        <v>1550</v>
      </c>
      <c r="B799" s="6">
        <v>45343</v>
      </c>
      <c r="C799" s="11" t="s">
        <v>352</v>
      </c>
      <c r="D799" s="11" t="s">
        <v>14</v>
      </c>
      <c r="E799" s="11" t="s">
        <v>1443</v>
      </c>
      <c r="F799" s="11" t="s">
        <v>1417</v>
      </c>
      <c r="G799" s="7">
        <v>1</v>
      </c>
      <c r="H799" s="8">
        <v>36.47</v>
      </c>
      <c r="I799" s="13">
        <v>0</v>
      </c>
      <c r="J799" s="8">
        <f>(Table23[[#This Row],[Quantity]]*Table23[[#This Row],[Unit Price]])-(Table23[[#This Row],[Unit Price]]*Table23[[#This Row],[Dscount]])*Table23[[#This Row],[Quantity]]</f>
        <v>36.47</v>
      </c>
      <c r="K799" s="8">
        <v>26.409999999999997</v>
      </c>
      <c r="L799" s="8">
        <f>Table23[[#This Row],[Revenue]]-Table23[[#This Row],[Total Cost]]</f>
        <v>10.060000000000002</v>
      </c>
      <c r="M799" s="16">
        <f>(Table23[[#This Row],[Profit]]/Table23[[#This Row],[Revenue]])</f>
        <v>0.27584315876062526</v>
      </c>
      <c r="N799" t="s">
        <v>33</v>
      </c>
    </row>
    <row r="800" spans="1:14" x14ac:dyDescent="0.25">
      <c r="A800" s="11" t="s">
        <v>1551</v>
      </c>
      <c r="B800" s="6">
        <v>46004</v>
      </c>
      <c r="C800" s="11" t="s">
        <v>325</v>
      </c>
      <c r="D800" s="11" t="s">
        <v>36</v>
      </c>
      <c r="E800" s="11" t="s">
        <v>1457</v>
      </c>
      <c r="F800" s="11" t="s">
        <v>1417</v>
      </c>
      <c r="G800" s="7">
        <v>1</v>
      </c>
      <c r="H800" s="8">
        <v>48.3</v>
      </c>
      <c r="I800" s="13">
        <v>0.1</v>
      </c>
      <c r="J800" s="8">
        <f>(Table23[[#This Row],[Quantity]]*Table23[[#This Row],[Unit Price]])-(Table23[[#This Row],[Unit Price]]*Table23[[#This Row],[Dscount]])*Table23[[#This Row],[Quantity]]</f>
        <v>43.47</v>
      </c>
      <c r="K800" s="8">
        <v>33.409999999999997</v>
      </c>
      <c r="L800" s="8">
        <f>Table23[[#This Row],[Revenue]]-Table23[[#This Row],[Total Cost]]</f>
        <v>10.060000000000002</v>
      </c>
      <c r="M800" s="16">
        <f>(Table23[[#This Row],[Profit]]/Table23[[#This Row],[Revenue]])</f>
        <v>0.23142397055440539</v>
      </c>
      <c r="N800" t="s">
        <v>33</v>
      </c>
    </row>
    <row r="801" spans="1:14" x14ac:dyDescent="0.25">
      <c r="A801" s="11" t="s">
        <v>89</v>
      </c>
      <c r="B801" s="6">
        <v>45733</v>
      </c>
      <c r="C801" s="11" t="s">
        <v>90</v>
      </c>
      <c r="D801" s="11" t="s">
        <v>20</v>
      </c>
      <c r="E801" s="11" t="s">
        <v>44</v>
      </c>
      <c r="F801" s="11" t="s">
        <v>16</v>
      </c>
      <c r="G801" s="7">
        <v>1</v>
      </c>
      <c r="H801" s="8">
        <v>18.100000000000001</v>
      </c>
      <c r="I801" s="13">
        <v>0.1</v>
      </c>
      <c r="J801" s="8">
        <f>(Table23[[#This Row],[Quantity]]*Table23[[#This Row],[Unit Price]])-(Table23[[#This Row],[Unit Price]]*Table23[[#This Row],[Dscount]])*Table23[[#This Row],[Quantity]]</f>
        <v>16.290000000000003</v>
      </c>
      <c r="K801" s="8">
        <v>6.240000000000002</v>
      </c>
      <c r="L801" s="8">
        <f>Table23[[#This Row],[Revenue]]-Table23[[#This Row],[Total Cost]]</f>
        <v>10.050000000000001</v>
      </c>
      <c r="M801" s="16">
        <f>(Table23[[#This Row],[Profit]]/Table23[[#This Row],[Revenue]])</f>
        <v>0.6169429097605893</v>
      </c>
      <c r="N801" t="s">
        <v>33</v>
      </c>
    </row>
    <row r="802" spans="1:14" x14ac:dyDescent="0.25">
      <c r="A802" s="11" t="s">
        <v>1180</v>
      </c>
      <c r="B802" s="6">
        <v>45631</v>
      </c>
      <c r="C802" s="11" t="s">
        <v>1181</v>
      </c>
      <c r="D802" s="11" t="s">
        <v>31</v>
      </c>
      <c r="E802" s="11" t="s">
        <v>1111</v>
      </c>
      <c r="F802" s="11" t="s">
        <v>1112</v>
      </c>
      <c r="G802" s="7">
        <v>4</v>
      </c>
      <c r="H802" s="8">
        <v>10.199999999999999</v>
      </c>
      <c r="I802" s="13">
        <v>0.2</v>
      </c>
      <c r="J802" s="8">
        <f>(Table23[[#This Row],[Quantity]]*Table23[[#This Row],[Unit Price]])-(Table23[[#This Row],[Unit Price]]*Table23[[#This Row],[Dscount]])*Table23[[#This Row],[Quantity]]</f>
        <v>32.64</v>
      </c>
      <c r="K802" s="8">
        <v>22.66</v>
      </c>
      <c r="L802" s="8">
        <f>Table23[[#This Row],[Revenue]]-Table23[[#This Row],[Total Cost]]</f>
        <v>9.98</v>
      </c>
      <c r="M802" s="16">
        <f>(Table23[[#This Row],[Profit]]/Table23[[#This Row],[Revenue]])</f>
        <v>0.30575980392156865</v>
      </c>
      <c r="N802" t="s">
        <v>33</v>
      </c>
    </row>
    <row r="803" spans="1:14" x14ac:dyDescent="0.25">
      <c r="A803" s="11" t="s">
        <v>1548</v>
      </c>
      <c r="B803" s="6">
        <v>45747</v>
      </c>
      <c r="C803" s="11" t="s">
        <v>1549</v>
      </c>
      <c r="D803" s="11" t="s">
        <v>24</v>
      </c>
      <c r="E803" s="11" t="s">
        <v>1420</v>
      </c>
      <c r="F803" s="11" t="s">
        <v>1417</v>
      </c>
      <c r="G803" s="7">
        <v>2</v>
      </c>
      <c r="H803" s="8">
        <v>27.55</v>
      </c>
      <c r="I803" s="13">
        <v>0.1</v>
      </c>
      <c r="J803" s="8">
        <f>(Table23[[#This Row],[Quantity]]*Table23[[#This Row],[Unit Price]])-(Table23[[#This Row],[Unit Price]]*Table23[[#This Row],[Dscount]])*Table23[[#This Row],[Quantity]]</f>
        <v>49.59</v>
      </c>
      <c r="K803" s="8">
        <v>39.81</v>
      </c>
      <c r="L803" s="8">
        <f>Table23[[#This Row],[Revenue]]-Table23[[#This Row],[Total Cost]]</f>
        <v>9.7800000000000011</v>
      </c>
      <c r="M803" s="16">
        <f>(Table23[[#This Row],[Profit]]/Table23[[#This Row],[Revenue]])</f>
        <v>0.19721718088324261</v>
      </c>
      <c r="N803" t="s">
        <v>17</v>
      </c>
    </row>
    <row r="804" spans="1:14" x14ac:dyDescent="0.25">
      <c r="A804" s="11" t="s">
        <v>501</v>
      </c>
      <c r="B804" s="6">
        <v>45620</v>
      </c>
      <c r="C804" s="11" t="s">
        <v>502</v>
      </c>
      <c r="D804" s="11" t="s">
        <v>20</v>
      </c>
      <c r="E804" s="11" t="s">
        <v>503</v>
      </c>
      <c r="F804" s="11" t="s">
        <v>480</v>
      </c>
      <c r="G804" s="7">
        <v>1</v>
      </c>
      <c r="H804" s="8">
        <v>31.5</v>
      </c>
      <c r="I804" s="13">
        <v>0</v>
      </c>
      <c r="J804" s="8">
        <f>(Table23[[#This Row],[Quantity]]*Table23[[#This Row],[Unit Price]])-(Table23[[#This Row],[Unit Price]]*Table23[[#This Row],[Dscount]])*Table23[[#This Row],[Quantity]]</f>
        <v>31.5</v>
      </c>
      <c r="K804" s="8">
        <v>21.759999999999998</v>
      </c>
      <c r="L804" s="8">
        <f>Table23[[#This Row],[Revenue]]-Table23[[#This Row],[Total Cost]]</f>
        <v>9.740000000000002</v>
      </c>
      <c r="M804" s="16">
        <f>(Table23[[#This Row],[Profit]]/Table23[[#This Row],[Revenue]])</f>
        <v>0.30920634920634926</v>
      </c>
      <c r="N804" t="s">
        <v>17</v>
      </c>
    </row>
    <row r="805" spans="1:14" x14ac:dyDescent="0.25">
      <c r="A805" s="11" t="s">
        <v>87</v>
      </c>
      <c r="B805" s="6">
        <v>45409</v>
      </c>
      <c r="C805" s="11" t="s">
        <v>88</v>
      </c>
      <c r="D805" s="11" t="s">
        <v>31</v>
      </c>
      <c r="E805" s="11" t="s">
        <v>39</v>
      </c>
      <c r="F805" s="11" t="s">
        <v>16</v>
      </c>
      <c r="G805" s="7">
        <v>1</v>
      </c>
      <c r="H805" s="8">
        <v>26.51</v>
      </c>
      <c r="I805" s="13">
        <v>0.15</v>
      </c>
      <c r="J805" s="8">
        <f>(Table23[[#This Row],[Quantity]]*Table23[[#This Row],[Unit Price]])-(Table23[[#This Row],[Unit Price]]*Table23[[#This Row],[Dscount]])*Table23[[#This Row],[Quantity]]</f>
        <v>22.5335</v>
      </c>
      <c r="K805" s="8">
        <v>12.8035</v>
      </c>
      <c r="L805" s="8">
        <f>Table23[[#This Row],[Revenue]]-Table23[[#This Row],[Total Cost]]</f>
        <v>9.73</v>
      </c>
      <c r="M805" s="16">
        <f>(Table23[[#This Row],[Profit]]/Table23[[#This Row],[Revenue]])</f>
        <v>0.43180153992943843</v>
      </c>
      <c r="N805" t="s">
        <v>17</v>
      </c>
    </row>
    <row r="806" spans="1:14" x14ac:dyDescent="0.25">
      <c r="A806" s="11" t="s">
        <v>1179</v>
      </c>
      <c r="B806" s="6">
        <v>45385</v>
      </c>
      <c r="C806" s="11" t="s">
        <v>1169</v>
      </c>
      <c r="D806" s="11" t="s">
        <v>24</v>
      </c>
      <c r="E806" s="11" t="s">
        <v>1134</v>
      </c>
      <c r="F806" s="11" t="s">
        <v>1112</v>
      </c>
      <c r="G806" s="7">
        <v>1</v>
      </c>
      <c r="H806" s="8">
        <v>29.55</v>
      </c>
      <c r="I806" s="13">
        <v>0.15</v>
      </c>
      <c r="J806" s="8">
        <f>(Table23[[#This Row],[Quantity]]*Table23[[#This Row],[Unit Price]])-(Table23[[#This Row],[Unit Price]]*Table23[[#This Row],[Dscount]])*Table23[[#This Row],[Quantity]]</f>
        <v>25.1175</v>
      </c>
      <c r="K806" s="8">
        <v>15.4275</v>
      </c>
      <c r="L806" s="8">
        <f>Table23[[#This Row],[Revenue]]-Table23[[#This Row],[Total Cost]]</f>
        <v>9.69</v>
      </c>
      <c r="M806" s="16">
        <f>(Table23[[#This Row],[Profit]]/Table23[[#This Row],[Revenue]])</f>
        <v>0.38578680203045684</v>
      </c>
      <c r="N806" t="s">
        <v>33</v>
      </c>
    </row>
    <row r="807" spans="1:14" x14ac:dyDescent="0.25">
      <c r="A807" s="11" t="s">
        <v>1178</v>
      </c>
      <c r="B807" s="6">
        <v>45940</v>
      </c>
      <c r="C807" s="11" t="s">
        <v>156</v>
      </c>
      <c r="D807" s="11" t="s">
        <v>36</v>
      </c>
      <c r="E807" s="11" t="s">
        <v>1111</v>
      </c>
      <c r="F807" s="11" t="s">
        <v>1112</v>
      </c>
      <c r="G807" s="7">
        <v>1</v>
      </c>
      <c r="H807" s="8">
        <v>36</v>
      </c>
      <c r="I807" s="13">
        <v>0.1</v>
      </c>
      <c r="J807" s="8">
        <f>(Table23[[#This Row],[Quantity]]*Table23[[#This Row],[Unit Price]])-(Table23[[#This Row],[Unit Price]]*Table23[[#This Row],[Dscount]])*Table23[[#This Row],[Quantity]]</f>
        <v>32.4</v>
      </c>
      <c r="K807" s="8">
        <v>22.72</v>
      </c>
      <c r="L807" s="8">
        <f>Table23[[#This Row],[Revenue]]-Table23[[#This Row],[Total Cost]]</f>
        <v>9.68</v>
      </c>
      <c r="M807" s="16">
        <f>(Table23[[#This Row],[Profit]]/Table23[[#This Row],[Revenue]])</f>
        <v>0.29876543209876544</v>
      </c>
      <c r="N807" t="s">
        <v>33</v>
      </c>
    </row>
    <row r="808" spans="1:14" x14ac:dyDescent="0.25">
      <c r="A808" s="11" t="s">
        <v>1176</v>
      </c>
      <c r="B808" s="6">
        <v>45387</v>
      </c>
      <c r="C808" s="11" t="s">
        <v>1177</v>
      </c>
      <c r="D808" s="11" t="s">
        <v>31</v>
      </c>
      <c r="E808" s="11" t="s">
        <v>1134</v>
      </c>
      <c r="F808" s="11" t="s">
        <v>1112</v>
      </c>
      <c r="G808" s="7">
        <v>3</v>
      </c>
      <c r="H808" s="8">
        <v>12.67</v>
      </c>
      <c r="I808" s="13">
        <v>0.1</v>
      </c>
      <c r="J808" s="8">
        <f>(Table23[[#This Row],[Quantity]]*Table23[[#This Row],[Unit Price]])-(Table23[[#This Row],[Unit Price]]*Table23[[#This Row],[Dscount]])*Table23[[#This Row],[Quantity]]</f>
        <v>34.208999999999996</v>
      </c>
      <c r="K808" s="8">
        <v>24.538999999999994</v>
      </c>
      <c r="L808" s="8">
        <f>Table23[[#This Row],[Revenue]]-Table23[[#This Row],[Total Cost]]</f>
        <v>9.6700000000000017</v>
      </c>
      <c r="M808" s="16">
        <f>(Table23[[#This Row],[Profit]]/Table23[[#This Row],[Revenue]])</f>
        <v>0.2826741500774651</v>
      </c>
      <c r="N808" t="s">
        <v>17</v>
      </c>
    </row>
    <row r="809" spans="1:14" x14ac:dyDescent="0.25">
      <c r="A809" s="11" t="s">
        <v>1547</v>
      </c>
      <c r="B809" s="6">
        <v>45330</v>
      </c>
      <c r="C809" s="11" t="s">
        <v>1545</v>
      </c>
      <c r="D809" s="11" t="s">
        <v>24</v>
      </c>
      <c r="E809" s="11" t="s">
        <v>1439</v>
      </c>
      <c r="F809" s="11" t="s">
        <v>1417</v>
      </c>
      <c r="G809" s="7">
        <v>1</v>
      </c>
      <c r="H809" s="8">
        <v>38.03</v>
      </c>
      <c r="I809" s="13">
        <v>0</v>
      </c>
      <c r="J809" s="8">
        <f>(Table23[[#This Row],[Quantity]]*Table23[[#This Row],[Unit Price]])-(Table23[[#This Row],[Unit Price]]*Table23[[#This Row],[Dscount]])*Table23[[#This Row],[Quantity]]</f>
        <v>38.03</v>
      </c>
      <c r="K809" s="8">
        <v>28.410000000000004</v>
      </c>
      <c r="L809" s="8">
        <f>Table23[[#This Row],[Revenue]]-Table23[[#This Row],[Total Cost]]</f>
        <v>9.6199999999999974</v>
      </c>
      <c r="M809" s="16">
        <f>(Table23[[#This Row],[Profit]]/Table23[[#This Row],[Revenue]])</f>
        <v>0.25295819090191946</v>
      </c>
      <c r="N809" t="s">
        <v>17</v>
      </c>
    </row>
    <row r="810" spans="1:14" x14ac:dyDescent="0.25">
      <c r="A810" s="11" t="s">
        <v>1546</v>
      </c>
      <c r="B810" s="6">
        <v>45968</v>
      </c>
      <c r="C810" s="11" t="s">
        <v>921</v>
      </c>
      <c r="D810" s="11" t="s">
        <v>24</v>
      </c>
      <c r="E810" s="11" t="s">
        <v>1426</v>
      </c>
      <c r="F810" s="11" t="s">
        <v>1417</v>
      </c>
      <c r="G810" s="7">
        <v>1</v>
      </c>
      <c r="H810" s="8">
        <v>35.08</v>
      </c>
      <c r="I810" s="13">
        <v>0</v>
      </c>
      <c r="J810" s="8">
        <f>(Table23[[#This Row],[Quantity]]*Table23[[#This Row],[Unit Price]])-(Table23[[#This Row],[Unit Price]]*Table23[[#This Row],[Dscount]])*Table23[[#This Row],[Quantity]]</f>
        <v>35.08</v>
      </c>
      <c r="K810" s="8">
        <v>25.54</v>
      </c>
      <c r="L810" s="8">
        <f>Table23[[#This Row],[Revenue]]-Table23[[#This Row],[Total Cost]]</f>
        <v>9.5399999999999991</v>
      </c>
      <c r="M810" s="16">
        <f>(Table23[[#This Row],[Profit]]/Table23[[#This Row],[Revenue]])</f>
        <v>0.27194982896237169</v>
      </c>
      <c r="N810" t="s">
        <v>17</v>
      </c>
    </row>
    <row r="811" spans="1:14" x14ac:dyDescent="0.25">
      <c r="A811" s="11" t="s">
        <v>1544</v>
      </c>
      <c r="B811" s="6">
        <v>45381</v>
      </c>
      <c r="C811" s="11" t="s">
        <v>1545</v>
      </c>
      <c r="D811" s="11" t="s">
        <v>31</v>
      </c>
      <c r="E811" s="11" t="s">
        <v>1478</v>
      </c>
      <c r="F811" s="11" t="s">
        <v>1417</v>
      </c>
      <c r="G811" s="7">
        <v>1</v>
      </c>
      <c r="H811" s="8">
        <v>45.7</v>
      </c>
      <c r="I811" s="13">
        <v>0.05</v>
      </c>
      <c r="J811" s="8">
        <f>(Table23[[#This Row],[Quantity]]*Table23[[#This Row],[Unit Price]])-(Table23[[#This Row],[Unit Price]]*Table23[[#This Row],[Dscount]])*Table23[[#This Row],[Quantity]]</f>
        <v>43.415000000000006</v>
      </c>
      <c r="K811" s="8">
        <v>33.905000000000008</v>
      </c>
      <c r="L811" s="8">
        <f>Table23[[#This Row],[Revenue]]-Table23[[#This Row],[Total Cost]]</f>
        <v>9.509999999999998</v>
      </c>
      <c r="M811" s="16">
        <f>(Table23[[#This Row],[Profit]]/Table23[[#This Row],[Revenue]])</f>
        <v>0.21904871588160765</v>
      </c>
      <c r="N811" t="s">
        <v>33</v>
      </c>
    </row>
    <row r="812" spans="1:14" x14ac:dyDescent="0.25">
      <c r="A812" s="11" t="s">
        <v>898</v>
      </c>
      <c r="B812" s="6">
        <v>45742</v>
      </c>
      <c r="C812" s="11" t="s">
        <v>899</v>
      </c>
      <c r="D812" s="11" t="s">
        <v>14</v>
      </c>
      <c r="E812" s="11" t="s">
        <v>832</v>
      </c>
      <c r="F812" s="11" t="s">
        <v>833</v>
      </c>
      <c r="G812" s="7">
        <v>3</v>
      </c>
      <c r="H812" s="8">
        <v>29.39</v>
      </c>
      <c r="I812" s="13">
        <v>0.05</v>
      </c>
      <c r="J812" s="8">
        <f>(Table23[[#This Row],[Quantity]]*Table23[[#This Row],[Unit Price]])-(Table23[[#This Row],[Unit Price]]*Table23[[#This Row],[Dscount]])*Table23[[#This Row],[Quantity]]</f>
        <v>83.761499999999998</v>
      </c>
      <c r="K812" s="8">
        <v>74.271500000000003</v>
      </c>
      <c r="L812" s="8">
        <f>Table23[[#This Row],[Revenue]]-Table23[[#This Row],[Total Cost]]</f>
        <v>9.4899999999999949</v>
      </c>
      <c r="M812" s="16">
        <f>(Table23[[#This Row],[Profit]]/Table23[[#This Row],[Revenue]])</f>
        <v>0.11329787551560079</v>
      </c>
      <c r="N812" t="s">
        <v>33</v>
      </c>
    </row>
    <row r="813" spans="1:14" x14ac:dyDescent="0.25">
      <c r="A813" s="11" t="s">
        <v>896</v>
      </c>
      <c r="B813" s="6">
        <v>45626</v>
      </c>
      <c r="C813" s="11" t="s">
        <v>897</v>
      </c>
      <c r="D813" s="11" t="s">
        <v>20</v>
      </c>
      <c r="E813" s="11" t="s">
        <v>846</v>
      </c>
      <c r="F813" s="11" t="s">
        <v>833</v>
      </c>
      <c r="G813" s="7">
        <v>1</v>
      </c>
      <c r="H813" s="8">
        <v>51.95</v>
      </c>
      <c r="I813" s="13">
        <v>0.05</v>
      </c>
      <c r="J813" s="8">
        <f>(Table23[[#This Row],[Quantity]]*Table23[[#This Row],[Unit Price]])-(Table23[[#This Row],[Unit Price]]*Table23[[#This Row],[Dscount]])*Table23[[#This Row],[Quantity]]</f>
        <v>49.352500000000006</v>
      </c>
      <c r="K813" s="8">
        <v>39.902500000000003</v>
      </c>
      <c r="L813" s="8">
        <f>Table23[[#This Row],[Revenue]]-Table23[[#This Row],[Total Cost]]</f>
        <v>9.4500000000000028</v>
      </c>
      <c r="M813" s="16">
        <f>(Table23[[#This Row],[Profit]]/Table23[[#This Row],[Revenue]])</f>
        <v>0.19147966161795252</v>
      </c>
      <c r="N813" t="s">
        <v>48</v>
      </c>
    </row>
    <row r="814" spans="1:14" x14ac:dyDescent="0.25">
      <c r="A814" s="11" t="s">
        <v>894</v>
      </c>
      <c r="B814" s="6">
        <v>45625</v>
      </c>
      <c r="C814" s="11" t="s">
        <v>895</v>
      </c>
      <c r="D814" s="11" t="s">
        <v>36</v>
      </c>
      <c r="E814" s="11" t="s">
        <v>835</v>
      </c>
      <c r="F814" s="11" t="s">
        <v>833</v>
      </c>
      <c r="G814" s="7">
        <v>2</v>
      </c>
      <c r="H814" s="8">
        <v>44.76</v>
      </c>
      <c r="I814" s="13">
        <v>0.2</v>
      </c>
      <c r="J814" s="8">
        <f>(Table23[[#This Row],[Quantity]]*Table23[[#This Row],[Unit Price]])-(Table23[[#This Row],[Unit Price]]*Table23[[#This Row],[Dscount]])*Table23[[#This Row],[Quantity]]</f>
        <v>71.616</v>
      </c>
      <c r="K814" s="8">
        <v>62.225999999999999</v>
      </c>
      <c r="L814" s="8">
        <f>Table23[[#This Row],[Revenue]]-Table23[[#This Row],[Total Cost]]</f>
        <v>9.39</v>
      </c>
      <c r="M814" s="16">
        <f>(Table23[[#This Row],[Profit]]/Table23[[#This Row],[Revenue]])</f>
        <v>0.13111595174262736</v>
      </c>
      <c r="N814" t="s">
        <v>48</v>
      </c>
    </row>
    <row r="815" spans="1:14" x14ac:dyDescent="0.25">
      <c r="A815" s="11" t="s">
        <v>1542</v>
      </c>
      <c r="B815" s="6">
        <v>45569</v>
      </c>
      <c r="C815" s="11" t="s">
        <v>1543</v>
      </c>
      <c r="D815" s="11" t="s">
        <v>24</v>
      </c>
      <c r="E815" s="11" t="s">
        <v>1457</v>
      </c>
      <c r="F815" s="11" t="s">
        <v>1417</v>
      </c>
      <c r="G815" s="7">
        <v>1</v>
      </c>
      <c r="H815" s="8">
        <v>27.27</v>
      </c>
      <c r="I815" s="13">
        <v>0</v>
      </c>
      <c r="J815" s="8">
        <f>(Table23[[#This Row],[Quantity]]*Table23[[#This Row],[Unit Price]])-(Table23[[#This Row],[Unit Price]]*Table23[[#This Row],[Dscount]])*Table23[[#This Row],[Quantity]]</f>
        <v>27.27</v>
      </c>
      <c r="K815" s="8">
        <v>17.89</v>
      </c>
      <c r="L815" s="8">
        <f>Table23[[#This Row],[Revenue]]-Table23[[#This Row],[Total Cost]]</f>
        <v>9.379999999999999</v>
      </c>
      <c r="M815" s="16">
        <f>(Table23[[#This Row],[Profit]]/Table23[[#This Row],[Revenue]])</f>
        <v>0.34396773010634396</v>
      </c>
      <c r="N815" t="s">
        <v>33</v>
      </c>
    </row>
    <row r="816" spans="1:14" x14ac:dyDescent="0.25">
      <c r="A816" s="11" t="s">
        <v>1175</v>
      </c>
      <c r="B816" s="6">
        <v>45802</v>
      </c>
      <c r="C816" s="11" t="s">
        <v>88</v>
      </c>
      <c r="D816" s="11" t="s">
        <v>31</v>
      </c>
      <c r="E816" s="11" t="s">
        <v>1111</v>
      </c>
      <c r="F816" s="11" t="s">
        <v>1112</v>
      </c>
      <c r="G816" s="7">
        <v>1</v>
      </c>
      <c r="H816" s="8">
        <v>25.15</v>
      </c>
      <c r="I816" s="13">
        <v>0.05</v>
      </c>
      <c r="J816" s="8">
        <f>(Table23[[#This Row],[Quantity]]*Table23[[#This Row],[Unit Price]])-(Table23[[#This Row],[Unit Price]]*Table23[[#This Row],[Dscount]])*Table23[[#This Row],[Quantity]]</f>
        <v>23.892499999999998</v>
      </c>
      <c r="K816" s="8">
        <v>14.522499999999999</v>
      </c>
      <c r="L816" s="8">
        <f>Table23[[#This Row],[Revenue]]-Table23[[#This Row],[Total Cost]]</f>
        <v>9.3699999999999992</v>
      </c>
      <c r="M816" s="16">
        <f>(Table23[[#This Row],[Profit]]/Table23[[#This Row],[Revenue]])</f>
        <v>0.39217327613267761</v>
      </c>
      <c r="N816" t="s">
        <v>33</v>
      </c>
    </row>
    <row r="817" spans="1:14" x14ac:dyDescent="0.25">
      <c r="A817" s="11" t="s">
        <v>1541</v>
      </c>
      <c r="B817" s="6">
        <v>45863</v>
      </c>
      <c r="C817" s="11" t="s">
        <v>1480</v>
      </c>
      <c r="D817" s="11" t="s">
        <v>31</v>
      </c>
      <c r="E817" s="11" t="s">
        <v>1420</v>
      </c>
      <c r="F817" s="11" t="s">
        <v>1417</v>
      </c>
      <c r="G817" s="7">
        <v>1</v>
      </c>
      <c r="H817" s="8">
        <v>30.13</v>
      </c>
      <c r="I817" s="13">
        <v>0.1</v>
      </c>
      <c r="J817" s="8">
        <f>(Table23[[#This Row],[Quantity]]*Table23[[#This Row],[Unit Price]])-(Table23[[#This Row],[Unit Price]]*Table23[[#This Row],[Dscount]])*Table23[[#This Row],[Quantity]]</f>
        <v>27.116999999999997</v>
      </c>
      <c r="K817" s="8">
        <v>17.747</v>
      </c>
      <c r="L817" s="8">
        <f>Table23[[#This Row],[Revenue]]-Table23[[#This Row],[Total Cost]]</f>
        <v>9.3699999999999974</v>
      </c>
      <c r="M817" s="16">
        <f>(Table23[[#This Row],[Profit]]/Table23[[#This Row],[Revenue]])</f>
        <v>0.34553969834421205</v>
      </c>
      <c r="N817" t="s">
        <v>33</v>
      </c>
    </row>
    <row r="818" spans="1:14" x14ac:dyDescent="0.25">
      <c r="A818" s="11" t="s">
        <v>1174</v>
      </c>
      <c r="B818" s="6">
        <v>45789</v>
      </c>
      <c r="C818" s="11" t="s">
        <v>769</v>
      </c>
      <c r="D818" s="11" t="s">
        <v>20</v>
      </c>
      <c r="E818" s="11" t="s">
        <v>1132</v>
      </c>
      <c r="F818" s="11" t="s">
        <v>1112</v>
      </c>
      <c r="G818" s="7">
        <v>1</v>
      </c>
      <c r="H818" s="8">
        <v>30.6</v>
      </c>
      <c r="I818" s="13">
        <v>0.05</v>
      </c>
      <c r="J818" s="8">
        <f>(Table23[[#This Row],[Quantity]]*Table23[[#This Row],[Unit Price]])-(Table23[[#This Row],[Unit Price]]*Table23[[#This Row],[Dscount]])*Table23[[#This Row],[Quantity]]</f>
        <v>29.07</v>
      </c>
      <c r="K818" s="8">
        <v>19.71</v>
      </c>
      <c r="L818" s="8">
        <f>Table23[[#This Row],[Revenue]]-Table23[[#This Row],[Total Cost]]</f>
        <v>9.36</v>
      </c>
      <c r="M818" s="16">
        <f>(Table23[[#This Row],[Profit]]/Table23[[#This Row],[Revenue]])</f>
        <v>0.32198142414860681</v>
      </c>
      <c r="N818" t="s">
        <v>17</v>
      </c>
    </row>
    <row r="819" spans="1:14" x14ac:dyDescent="0.25">
      <c r="A819" s="11" t="s">
        <v>1538</v>
      </c>
      <c r="B819" s="6">
        <v>45475</v>
      </c>
      <c r="C819" s="11" t="s">
        <v>366</v>
      </c>
      <c r="D819" s="11" t="s">
        <v>20</v>
      </c>
      <c r="E819" s="11" t="s">
        <v>1429</v>
      </c>
      <c r="F819" s="11" t="s">
        <v>1417</v>
      </c>
      <c r="G819" s="7">
        <v>1</v>
      </c>
      <c r="H819" s="8">
        <v>32.61</v>
      </c>
      <c r="I819" s="13">
        <v>0.1</v>
      </c>
      <c r="J819" s="8">
        <f>(Table23[[#This Row],[Quantity]]*Table23[[#This Row],[Unit Price]])-(Table23[[#This Row],[Unit Price]]*Table23[[#This Row],[Dscount]])*Table23[[#This Row],[Quantity]]</f>
        <v>29.349</v>
      </c>
      <c r="K819" s="8">
        <v>19.989000000000001</v>
      </c>
      <c r="L819" s="8">
        <f>Table23[[#This Row],[Revenue]]-Table23[[#This Row],[Total Cost]]</f>
        <v>9.36</v>
      </c>
      <c r="M819" s="16">
        <f>(Table23[[#This Row],[Profit]]/Table23[[#This Row],[Revenue]])</f>
        <v>0.31892057651027289</v>
      </c>
      <c r="N819" t="s">
        <v>17</v>
      </c>
    </row>
    <row r="820" spans="1:14" x14ac:dyDescent="0.25">
      <c r="A820" s="11" t="s">
        <v>1539</v>
      </c>
      <c r="B820" s="6">
        <v>45479</v>
      </c>
      <c r="C820" s="11" t="s">
        <v>1540</v>
      </c>
      <c r="D820" s="11" t="s">
        <v>36</v>
      </c>
      <c r="E820" s="11" t="s">
        <v>1429</v>
      </c>
      <c r="F820" s="11" t="s">
        <v>1417</v>
      </c>
      <c r="G820" s="7">
        <v>4</v>
      </c>
      <c r="H820" s="8">
        <v>10.15</v>
      </c>
      <c r="I820" s="13">
        <v>0.1</v>
      </c>
      <c r="J820" s="8">
        <f>(Table23[[#This Row],[Quantity]]*Table23[[#This Row],[Unit Price]])-(Table23[[#This Row],[Unit Price]]*Table23[[#This Row],[Dscount]])*Table23[[#This Row],[Quantity]]</f>
        <v>36.54</v>
      </c>
      <c r="K820" s="8">
        <v>27.18</v>
      </c>
      <c r="L820" s="8">
        <f>Table23[[#This Row],[Revenue]]-Table23[[#This Row],[Total Cost]]</f>
        <v>9.36</v>
      </c>
      <c r="M820" s="16">
        <f>(Table23[[#This Row],[Profit]]/Table23[[#This Row],[Revenue]])</f>
        <v>0.25615763546798026</v>
      </c>
      <c r="N820" t="s">
        <v>17</v>
      </c>
    </row>
    <row r="821" spans="1:14" x14ac:dyDescent="0.25">
      <c r="A821" s="11" t="s">
        <v>1173</v>
      </c>
      <c r="B821" s="6">
        <v>45785</v>
      </c>
      <c r="C821" s="11" t="s">
        <v>1159</v>
      </c>
      <c r="D821" s="11" t="s">
        <v>24</v>
      </c>
      <c r="E821" s="11" t="s">
        <v>1124</v>
      </c>
      <c r="F821" s="11" t="s">
        <v>1112</v>
      </c>
      <c r="G821" s="7">
        <v>2</v>
      </c>
      <c r="H821" s="8">
        <v>21.41</v>
      </c>
      <c r="I821" s="13">
        <v>0.05</v>
      </c>
      <c r="J821" s="8">
        <f>(Table23[[#This Row],[Quantity]]*Table23[[#This Row],[Unit Price]])-(Table23[[#This Row],[Unit Price]]*Table23[[#This Row],[Dscount]])*Table23[[#This Row],[Quantity]]</f>
        <v>40.679000000000002</v>
      </c>
      <c r="K821" s="8">
        <v>31.329000000000001</v>
      </c>
      <c r="L821" s="8">
        <f>Table23[[#This Row],[Revenue]]-Table23[[#This Row],[Total Cost]]</f>
        <v>9.3500000000000014</v>
      </c>
      <c r="M821" s="16">
        <f>(Table23[[#This Row],[Profit]]/Table23[[#This Row],[Revenue]])</f>
        <v>0.22984832468841418</v>
      </c>
      <c r="N821" t="s">
        <v>33</v>
      </c>
    </row>
    <row r="822" spans="1:14" x14ac:dyDescent="0.25">
      <c r="A822" s="11" t="s">
        <v>892</v>
      </c>
      <c r="B822" s="6">
        <v>45477</v>
      </c>
      <c r="C822" s="11" t="s">
        <v>893</v>
      </c>
      <c r="D822" s="11" t="s">
        <v>31</v>
      </c>
      <c r="E822" s="11" t="s">
        <v>843</v>
      </c>
      <c r="F822" s="11" t="s">
        <v>833</v>
      </c>
      <c r="G822" s="7">
        <v>1</v>
      </c>
      <c r="H822" s="8">
        <v>75.17</v>
      </c>
      <c r="I822" s="13">
        <v>0.15</v>
      </c>
      <c r="J822" s="8">
        <f>(Table23[[#This Row],[Quantity]]*Table23[[#This Row],[Unit Price]])-(Table23[[#This Row],[Unit Price]]*Table23[[#This Row],[Dscount]])*Table23[[#This Row],[Quantity]]</f>
        <v>63.894500000000001</v>
      </c>
      <c r="K822" s="8">
        <v>54.584499999999998</v>
      </c>
      <c r="L822" s="8">
        <f>Table23[[#This Row],[Revenue]]-Table23[[#This Row],[Total Cost]]</f>
        <v>9.3100000000000023</v>
      </c>
      <c r="M822" s="16">
        <f>(Table23[[#This Row],[Profit]]/Table23[[#This Row],[Revenue]])</f>
        <v>0.14570894208421697</v>
      </c>
      <c r="N822" t="s">
        <v>33</v>
      </c>
    </row>
    <row r="823" spans="1:14" x14ac:dyDescent="0.25">
      <c r="A823" s="11" t="s">
        <v>498</v>
      </c>
      <c r="B823" s="6">
        <v>45623</v>
      </c>
      <c r="C823" s="11" t="s">
        <v>499</v>
      </c>
      <c r="D823" s="11" t="s">
        <v>36</v>
      </c>
      <c r="E823" s="11" t="s">
        <v>500</v>
      </c>
      <c r="F823" s="11" t="s">
        <v>480</v>
      </c>
      <c r="G823" s="7">
        <v>1</v>
      </c>
      <c r="H823" s="8">
        <v>21.47</v>
      </c>
      <c r="I823" s="13">
        <v>0.2</v>
      </c>
      <c r="J823" s="8">
        <f>(Table23[[#This Row],[Quantity]]*Table23[[#This Row],[Unit Price]])-(Table23[[#This Row],[Unit Price]]*Table23[[#This Row],[Dscount]])*Table23[[#This Row],[Quantity]]</f>
        <v>17.175999999999998</v>
      </c>
      <c r="K823" s="8">
        <v>7.9959999999999987</v>
      </c>
      <c r="L823" s="8">
        <f>Table23[[#This Row],[Revenue]]-Table23[[#This Row],[Total Cost]]</f>
        <v>9.18</v>
      </c>
      <c r="M823" s="16">
        <f>(Table23[[#This Row],[Profit]]/Table23[[#This Row],[Revenue]])</f>
        <v>0.53446669771774569</v>
      </c>
      <c r="N823" t="s">
        <v>17</v>
      </c>
    </row>
    <row r="824" spans="1:14" x14ac:dyDescent="0.25">
      <c r="A824" s="11" t="s">
        <v>1536</v>
      </c>
      <c r="B824" s="6">
        <v>45556</v>
      </c>
      <c r="C824" s="11" t="s">
        <v>1537</v>
      </c>
      <c r="D824" s="11" t="s">
        <v>24</v>
      </c>
      <c r="E824" s="11" t="s">
        <v>1420</v>
      </c>
      <c r="F824" s="11" t="s">
        <v>1417</v>
      </c>
      <c r="G824" s="7">
        <v>2</v>
      </c>
      <c r="H824" s="8">
        <v>21.08</v>
      </c>
      <c r="I824" s="13">
        <v>0.05</v>
      </c>
      <c r="J824" s="8">
        <f>(Table23[[#This Row],[Quantity]]*Table23[[#This Row],[Unit Price]])-(Table23[[#This Row],[Unit Price]]*Table23[[#This Row],[Dscount]])*Table23[[#This Row],[Quantity]]</f>
        <v>40.052</v>
      </c>
      <c r="K824" s="8">
        <v>30.891999999999999</v>
      </c>
      <c r="L824" s="8">
        <f>Table23[[#This Row],[Revenue]]-Table23[[#This Row],[Total Cost]]</f>
        <v>9.16</v>
      </c>
      <c r="M824" s="16">
        <f>(Table23[[#This Row],[Profit]]/Table23[[#This Row],[Revenue]])</f>
        <v>0.22870268650754019</v>
      </c>
      <c r="N824" t="s">
        <v>17</v>
      </c>
    </row>
    <row r="825" spans="1:14" x14ac:dyDescent="0.25">
      <c r="A825" s="11" t="s">
        <v>1534</v>
      </c>
      <c r="B825" s="6">
        <v>45374</v>
      </c>
      <c r="C825" s="11" t="s">
        <v>1535</v>
      </c>
      <c r="D825" s="11" t="s">
        <v>36</v>
      </c>
      <c r="E825" s="11" t="s">
        <v>1426</v>
      </c>
      <c r="F825" s="11" t="s">
        <v>1417</v>
      </c>
      <c r="G825" s="7">
        <v>1</v>
      </c>
      <c r="H825" s="8">
        <v>48.63</v>
      </c>
      <c r="I825" s="13">
        <v>0.15</v>
      </c>
      <c r="J825" s="8">
        <f>(Table23[[#This Row],[Quantity]]*Table23[[#This Row],[Unit Price]])-(Table23[[#This Row],[Unit Price]]*Table23[[#This Row],[Dscount]])*Table23[[#This Row],[Quantity]]</f>
        <v>41.335500000000003</v>
      </c>
      <c r="K825" s="8">
        <v>32.185500000000005</v>
      </c>
      <c r="L825" s="8">
        <f>Table23[[#This Row],[Revenue]]-Table23[[#This Row],[Total Cost]]</f>
        <v>9.1499999999999986</v>
      </c>
      <c r="M825" s="16">
        <f>(Table23[[#This Row],[Profit]]/Table23[[#This Row],[Revenue]])</f>
        <v>0.22135936422687516</v>
      </c>
      <c r="N825" t="s">
        <v>33</v>
      </c>
    </row>
    <row r="826" spans="1:14" x14ac:dyDescent="0.25">
      <c r="A826" s="11" t="s">
        <v>1530</v>
      </c>
      <c r="B826" s="6">
        <v>45976</v>
      </c>
      <c r="C826" s="11" t="s">
        <v>1531</v>
      </c>
      <c r="D826" s="11" t="s">
        <v>36</v>
      </c>
      <c r="E826" s="11" t="s">
        <v>1429</v>
      </c>
      <c r="F826" s="11" t="s">
        <v>1417</v>
      </c>
      <c r="G826" s="7">
        <v>1</v>
      </c>
      <c r="H826" s="8">
        <v>45.68</v>
      </c>
      <c r="I826" s="13">
        <v>0</v>
      </c>
      <c r="J826" s="8">
        <f>(Table23[[#This Row],[Quantity]]*Table23[[#This Row],[Unit Price]])-(Table23[[#This Row],[Unit Price]]*Table23[[#This Row],[Dscount]])*Table23[[#This Row],[Quantity]]</f>
        <v>45.68</v>
      </c>
      <c r="K826" s="8">
        <v>36.549999999999997</v>
      </c>
      <c r="L826" s="8">
        <f>Table23[[#This Row],[Revenue]]-Table23[[#This Row],[Total Cost]]</f>
        <v>9.1300000000000026</v>
      </c>
      <c r="M826" s="16">
        <f>(Table23[[#This Row],[Profit]]/Table23[[#This Row],[Revenue]])</f>
        <v>0.19986865148861652</v>
      </c>
      <c r="N826" t="s">
        <v>33</v>
      </c>
    </row>
    <row r="827" spans="1:14" x14ac:dyDescent="0.25">
      <c r="A827" s="11" t="s">
        <v>1532</v>
      </c>
      <c r="B827" s="6">
        <v>45498</v>
      </c>
      <c r="C827" s="11" t="s">
        <v>1533</v>
      </c>
      <c r="D827" s="11" t="s">
        <v>20</v>
      </c>
      <c r="E827" s="11" t="s">
        <v>1426</v>
      </c>
      <c r="F827" s="11" t="s">
        <v>1417</v>
      </c>
      <c r="G827" s="7">
        <v>1</v>
      </c>
      <c r="H827" s="8">
        <v>52.15</v>
      </c>
      <c r="I827" s="13">
        <v>0.1</v>
      </c>
      <c r="J827" s="8">
        <f>(Table23[[#This Row],[Quantity]]*Table23[[#This Row],[Unit Price]])-(Table23[[#This Row],[Unit Price]]*Table23[[#This Row],[Dscount]])*Table23[[#This Row],[Quantity]]</f>
        <v>46.935000000000002</v>
      </c>
      <c r="K827" s="8">
        <v>37.805</v>
      </c>
      <c r="L827" s="8">
        <f>Table23[[#This Row],[Revenue]]-Table23[[#This Row],[Total Cost]]</f>
        <v>9.1300000000000026</v>
      </c>
      <c r="M827" s="16">
        <f>(Table23[[#This Row],[Profit]]/Table23[[#This Row],[Revenue]])</f>
        <v>0.19452434217534892</v>
      </c>
      <c r="N827" t="s">
        <v>17</v>
      </c>
    </row>
    <row r="828" spans="1:14" x14ac:dyDescent="0.25">
      <c r="A828" s="11" t="s">
        <v>85</v>
      </c>
      <c r="B828" s="6">
        <v>45972</v>
      </c>
      <c r="C828" s="11" t="s">
        <v>86</v>
      </c>
      <c r="D828" s="11" t="s">
        <v>24</v>
      </c>
      <c r="E828" s="11" t="s">
        <v>39</v>
      </c>
      <c r="F828" s="11" t="s">
        <v>16</v>
      </c>
      <c r="G828" s="7">
        <v>1</v>
      </c>
      <c r="H828" s="8">
        <v>19.78</v>
      </c>
      <c r="I828" s="13">
        <v>0.05</v>
      </c>
      <c r="J828" s="8">
        <f>(Table23[[#This Row],[Quantity]]*Table23[[#This Row],[Unit Price]])-(Table23[[#This Row],[Unit Price]]*Table23[[#This Row],[Dscount]])*Table23[[#This Row],[Quantity]]</f>
        <v>18.791</v>
      </c>
      <c r="K828" s="8">
        <v>9.7710000000000008</v>
      </c>
      <c r="L828" s="8">
        <f>Table23[[#This Row],[Revenue]]-Table23[[#This Row],[Total Cost]]</f>
        <v>9.02</v>
      </c>
      <c r="M828" s="16">
        <f>(Table23[[#This Row],[Profit]]/Table23[[#This Row],[Revenue]])</f>
        <v>0.48001702942898195</v>
      </c>
      <c r="N828" t="s">
        <v>33</v>
      </c>
    </row>
    <row r="829" spans="1:14" x14ac:dyDescent="0.25">
      <c r="A829" s="11" t="s">
        <v>1171</v>
      </c>
      <c r="B829" s="6">
        <v>45594</v>
      </c>
      <c r="C829" s="11" t="s">
        <v>1172</v>
      </c>
      <c r="D829" s="11" t="s">
        <v>14</v>
      </c>
      <c r="E829" s="11" t="s">
        <v>1128</v>
      </c>
      <c r="F829" s="11" t="s">
        <v>1112</v>
      </c>
      <c r="G829" s="7">
        <v>1</v>
      </c>
      <c r="H829" s="8">
        <v>35.33</v>
      </c>
      <c r="I829" s="13">
        <v>0</v>
      </c>
      <c r="J829" s="8">
        <f>(Table23[[#This Row],[Quantity]]*Table23[[#This Row],[Unit Price]])-(Table23[[#This Row],[Unit Price]]*Table23[[#This Row],[Dscount]])*Table23[[#This Row],[Quantity]]</f>
        <v>35.33</v>
      </c>
      <c r="K829" s="8">
        <v>26.339999999999996</v>
      </c>
      <c r="L829" s="8">
        <f>Table23[[#This Row],[Revenue]]-Table23[[#This Row],[Total Cost]]</f>
        <v>8.990000000000002</v>
      </c>
      <c r="M829" s="16">
        <f>(Table23[[#This Row],[Profit]]/Table23[[#This Row],[Revenue]])</f>
        <v>0.25445796773280505</v>
      </c>
      <c r="N829" t="s">
        <v>33</v>
      </c>
    </row>
    <row r="830" spans="1:14" x14ac:dyDescent="0.25">
      <c r="A830" s="11" t="s">
        <v>497</v>
      </c>
      <c r="B830" s="6">
        <v>45487</v>
      </c>
      <c r="C830" s="11" t="s">
        <v>94</v>
      </c>
      <c r="D830" s="11" t="s">
        <v>20</v>
      </c>
      <c r="E830" s="11" t="s">
        <v>496</v>
      </c>
      <c r="F830" s="11" t="s">
        <v>480</v>
      </c>
      <c r="G830" s="7">
        <v>1</v>
      </c>
      <c r="H830" s="8">
        <v>28.41</v>
      </c>
      <c r="I830" s="13">
        <v>0</v>
      </c>
      <c r="J830" s="8">
        <f>(Table23[[#This Row],[Quantity]]*Table23[[#This Row],[Unit Price]])-(Table23[[#This Row],[Unit Price]]*Table23[[#This Row],[Dscount]])*Table23[[#This Row],[Quantity]]</f>
        <v>28.41</v>
      </c>
      <c r="K830" s="8">
        <v>19.46</v>
      </c>
      <c r="L830" s="8">
        <f>Table23[[#This Row],[Revenue]]-Table23[[#This Row],[Total Cost]]</f>
        <v>8.9499999999999993</v>
      </c>
      <c r="M830" s="16">
        <f>(Table23[[#This Row],[Profit]]/Table23[[#This Row],[Revenue]])</f>
        <v>0.31502991904259059</v>
      </c>
      <c r="N830" t="s">
        <v>33</v>
      </c>
    </row>
    <row r="831" spans="1:14" x14ac:dyDescent="0.25">
      <c r="A831" s="11" t="s">
        <v>1170</v>
      </c>
      <c r="B831" s="6">
        <v>45657</v>
      </c>
      <c r="C831" s="11" t="s">
        <v>937</v>
      </c>
      <c r="D831" s="11" t="s">
        <v>20</v>
      </c>
      <c r="E831" s="11" t="s">
        <v>1111</v>
      </c>
      <c r="F831" s="11" t="s">
        <v>1112</v>
      </c>
      <c r="G831" s="7">
        <v>1</v>
      </c>
      <c r="H831" s="8">
        <v>31.7</v>
      </c>
      <c r="I831" s="13">
        <v>0.2</v>
      </c>
      <c r="J831" s="8">
        <f>(Table23[[#This Row],[Quantity]]*Table23[[#This Row],[Unit Price]])-(Table23[[#This Row],[Unit Price]]*Table23[[#This Row],[Dscount]])*Table23[[#This Row],[Quantity]]</f>
        <v>25.36</v>
      </c>
      <c r="K831" s="8">
        <v>16.479999999999997</v>
      </c>
      <c r="L831" s="8">
        <f>Table23[[#This Row],[Revenue]]-Table23[[#This Row],[Total Cost]]</f>
        <v>8.8800000000000026</v>
      </c>
      <c r="M831" s="16">
        <f>(Table23[[#This Row],[Profit]]/Table23[[#This Row],[Revenue]])</f>
        <v>0.3501577287066247</v>
      </c>
      <c r="N831" t="s">
        <v>17</v>
      </c>
    </row>
    <row r="832" spans="1:14" x14ac:dyDescent="0.25">
      <c r="A832" s="11" t="s">
        <v>890</v>
      </c>
      <c r="B832" s="6">
        <v>45298</v>
      </c>
      <c r="C832" s="11" t="s">
        <v>891</v>
      </c>
      <c r="D832" s="11" t="s">
        <v>24</v>
      </c>
      <c r="E832" s="11" t="s">
        <v>856</v>
      </c>
      <c r="F832" s="11" t="s">
        <v>833</v>
      </c>
      <c r="G832" s="7">
        <v>1</v>
      </c>
      <c r="H832" s="8">
        <v>85.98</v>
      </c>
      <c r="I832" s="13">
        <v>0.1</v>
      </c>
      <c r="J832" s="8">
        <f>(Table23[[#This Row],[Quantity]]*Table23[[#This Row],[Unit Price]])-(Table23[[#This Row],[Unit Price]]*Table23[[#This Row],[Dscount]])*Table23[[#This Row],[Quantity]]</f>
        <v>77.382000000000005</v>
      </c>
      <c r="K832" s="8">
        <v>68.50200000000001</v>
      </c>
      <c r="L832" s="8">
        <f>Table23[[#This Row],[Revenue]]-Table23[[#This Row],[Total Cost]]</f>
        <v>8.8799999999999955</v>
      </c>
      <c r="M832" s="16">
        <f>(Table23[[#This Row],[Profit]]/Table23[[#This Row],[Revenue]])</f>
        <v>0.11475536946576717</v>
      </c>
      <c r="N832" t="s">
        <v>17</v>
      </c>
    </row>
    <row r="833" spans="1:14" x14ac:dyDescent="0.25">
      <c r="A833" s="11" t="s">
        <v>1168</v>
      </c>
      <c r="B833" s="6">
        <v>45791</v>
      </c>
      <c r="C833" s="11" t="s">
        <v>1169</v>
      </c>
      <c r="D833" s="11" t="s">
        <v>14</v>
      </c>
      <c r="E833" s="11" t="s">
        <v>1132</v>
      </c>
      <c r="F833" s="11" t="s">
        <v>1112</v>
      </c>
      <c r="G833" s="7">
        <v>1</v>
      </c>
      <c r="H833" s="8">
        <v>41.59</v>
      </c>
      <c r="I833" s="13">
        <v>0.1</v>
      </c>
      <c r="J833" s="8">
        <f>(Table23[[#This Row],[Quantity]]*Table23[[#This Row],[Unit Price]])-(Table23[[#This Row],[Unit Price]]*Table23[[#This Row],[Dscount]])*Table23[[#This Row],[Quantity]]</f>
        <v>37.431000000000004</v>
      </c>
      <c r="K833" s="8">
        <v>28.571000000000005</v>
      </c>
      <c r="L833" s="8">
        <f>Table23[[#This Row],[Revenue]]-Table23[[#This Row],[Total Cost]]</f>
        <v>8.86</v>
      </c>
      <c r="M833" s="16">
        <f>(Table23[[#This Row],[Profit]]/Table23[[#This Row],[Revenue]])</f>
        <v>0.23670219871229725</v>
      </c>
      <c r="N833" t="s">
        <v>48</v>
      </c>
    </row>
    <row r="834" spans="1:14" x14ac:dyDescent="0.25">
      <c r="A834" s="11" t="s">
        <v>1529</v>
      </c>
      <c r="B834" s="6">
        <v>45492</v>
      </c>
      <c r="C834" s="11" t="s">
        <v>100</v>
      </c>
      <c r="D834" s="11" t="s">
        <v>20</v>
      </c>
      <c r="E834" s="11" t="s">
        <v>1422</v>
      </c>
      <c r="F834" s="11" t="s">
        <v>1417</v>
      </c>
      <c r="G834" s="7">
        <v>1</v>
      </c>
      <c r="H834" s="8">
        <v>39.69</v>
      </c>
      <c r="I834" s="13">
        <v>0.15</v>
      </c>
      <c r="J834" s="8">
        <f>(Table23[[#This Row],[Quantity]]*Table23[[#This Row],[Unit Price]])-(Table23[[#This Row],[Unit Price]]*Table23[[#This Row],[Dscount]])*Table23[[#This Row],[Quantity]]</f>
        <v>33.736499999999999</v>
      </c>
      <c r="K834" s="8">
        <v>24.916499999999999</v>
      </c>
      <c r="L834" s="8">
        <f>Table23[[#This Row],[Revenue]]-Table23[[#This Row],[Total Cost]]</f>
        <v>8.82</v>
      </c>
      <c r="M834" s="16">
        <f>(Table23[[#This Row],[Profit]]/Table23[[#This Row],[Revenue]])</f>
        <v>0.26143790849673204</v>
      </c>
      <c r="N834" t="s">
        <v>33</v>
      </c>
    </row>
    <row r="835" spans="1:14" x14ac:dyDescent="0.25">
      <c r="A835" s="11" t="s">
        <v>1528</v>
      </c>
      <c r="B835" s="6">
        <v>45562</v>
      </c>
      <c r="C835" s="11" t="s">
        <v>531</v>
      </c>
      <c r="D835" s="11" t="s">
        <v>36</v>
      </c>
      <c r="E835" s="11" t="s">
        <v>1426</v>
      </c>
      <c r="F835" s="11" t="s">
        <v>1417</v>
      </c>
      <c r="G835" s="7">
        <v>1</v>
      </c>
      <c r="H835" s="8">
        <v>56.55</v>
      </c>
      <c r="I835" s="13">
        <v>0.05</v>
      </c>
      <c r="J835" s="8">
        <f>(Table23[[#This Row],[Quantity]]*Table23[[#This Row],[Unit Price]])-(Table23[[#This Row],[Unit Price]]*Table23[[#This Row],[Dscount]])*Table23[[#This Row],[Quantity]]</f>
        <v>53.722499999999997</v>
      </c>
      <c r="K835" s="8">
        <v>44.912499999999994</v>
      </c>
      <c r="L835" s="8">
        <f>Table23[[#This Row],[Revenue]]-Table23[[#This Row],[Total Cost]]</f>
        <v>8.8100000000000023</v>
      </c>
      <c r="M835" s="16">
        <f>(Table23[[#This Row],[Profit]]/Table23[[#This Row],[Revenue]])</f>
        <v>0.16399087905439999</v>
      </c>
      <c r="N835" t="s">
        <v>33</v>
      </c>
    </row>
    <row r="836" spans="1:14" x14ac:dyDescent="0.25">
      <c r="A836" s="11" t="s">
        <v>83</v>
      </c>
      <c r="B836" s="6">
        <v>45808</v>
      </c>
      <c r="C836" s="11" t="s">
        <v>84</v>
      </c>
      <c r="D836" s="11" t="s">
        <v>20</v>
      </c>
      <c r="E836" s="11" t="s">
        <v>53</v>
      </c>
      <c r="F836" s="11" t="s">
        <v>16</v>
      </c>
      <c r="G836" s="7">
        <v>2</v>
      </c>
      <c r="H836" s="8">
        <v>12.96</v>
      </c>
      <c r="I836" s="13">
        <v>0.2</v>
      </c>
      <c r="J836" s="8">
        <f>(Table23[[#This Row],[Quantity]]*Table23[[#This Row],[Unit Price]])-(Table23[[#This Row],[Unit Price]]*Table23[[#This Row],[Dscount]])*Table23[[#This Row],[Quantity]]</f>
        <v>20.736000000000001</v>
      </c>
      <c r="K836" s="8">
        <v>12.016</v>
      </c>
      <c r="L836" s="8">
        <f>Table23[[#This Row],[Revenue]]-Table23[[#This Row],[Total Cost]]</f>
        <v>8.7200000000000006</v>
      </c>
      <c r="M836" s="16">
        <f>(Table23[[#This Row],[Profit]]/Table23[[#This Row],[Revenue]])</f>
        <v>0.42052469135802473</v>
      </c>
      <c r="N836" t="s">
        <v>33</v>
      </c>
    </row>
    <row r="837" spans="1:14" x14ac:dyDescent="0.25">
      <c r="A837" s="11" t="s">
        <v>1526</v>
      </c>
      <c r="B837" s="6">
        <v>45486</v>
      </c>
      <c r="C837" s="11" t="s">
        <v>1527</v>
      </c>
      <c r="D837" s="11" t="s">
        <v>31</v>
      </c>
      <c r="E837" s="11" t="s">
        <v>1457</v>
      </c>
      <c r="F837" s="11" t="s">
        <v>1417</v>
      </c>
      <c r="G837" s="7">
        <v>2</v>
      </c>
      <c r="H837" s="8">
        <v>25.2</v>
      </c>
      <c r="I837" s="13">
        <v>0.1</v>
      </c>
      <c r="J837" s="8">
        <f>(Table23[[#This Row],[Quantity]]*Table23[[#This Row],[Unit Price]])-(Table23[[#This Row],[Unit Price]]*Table23[[#This Row],[Dscount]])*Table23[[#This Row],[Quantity]]</f>
        <v>45.36</v>
      </c>
      <c r="K837" s="8">
        <v>36.64</v>
      </c>
      <c r="L837" s="8">
        <f>Table23[[#This Row],[Revenue]]-Table23[[#This Row],[Total Cost]]</f>
        <v>8.7199999999999989</v>
      </c>
      <c r="M837" s="16">
        <f>(Table23[[#This Row],[Profit]]/Table23[[#This Row],[Revenue]])</f>
        <v>0.19223985890652556</v>
      </c>
      <c r="N837" t="s">
        <v>33</v>
      </c>
    </row>
    <row r="838" spans="1:14" x14ac:dyDescent="0.25">
      <c r="A838" s="11" t="s">
        <v>81</v>
      </c>
      <c r="B838" s="6">
        <v>45787</v>
      </c>
      <c r="C838" s="11" t="s">
        <v>82</v>
      </c>
      <c r="D838" s="11" t="s">
        <v>31</v>
      </c>
      <c r="E838" s="11" t="s">
        <v>39</v>
      </c>
      <c r="F838" s="11" t="s">
        <v>16</v>
      </c>
      <c r="G838" s="7">
        <v>1</v>
      </c>
      <c r="H838" s="8">
        <v>22.58</v>
      </c>
      <c r="I838" s="13">
        <v>0.1</v>
      </c>
      <c r="J838" s="8">
        <f>(Table23[[#This Row],[Quantity]]*Table23[[#This Row],[Unit Price]])-(Table23[[#This Row],[Unit Price]]*Table23[[#This Row],[Dscount]])*Table23[[#This Row],[Quantity]]</f>
        <v>20.321999999999999</v>
      </c>
      <c r="K838" s="8">
        <v>11.622</v>
      </c>
      <c r="L838" s="8">
        <f>Table23[[#This Row],[Revenue]]-Table23[[#This Row],[Total Cost]]</f>
        <v>8.6999999999999993</v>
      </c>
      <c r="M838" s="16">
        <f>(Table23[[#This Row],[Profit]]/Table23[[#This Row],[Revenue]])</f>
        <v>0.42810746973723057</v>
      </c>
      <c r="N838" t="s">
        <v>17</v>
      </c>
    </row>
    <row r="839" spans="1:14" x14ac:dyDescent="0.25">
      <c r="A839" s="11" t="s">
        <v>1166</v>
      </c>
      <c r="B839" s="6">
        <v>45998</v>
      </c>
      <c r="C839" s="11" t="s">
        <v>1167</v>
      </c>
      <c r="D839" s="11" t="s">
        <v>24</v>
      </c>
      <c r="E839" s="11" t="s">
        <v>1124</v>
      </c>
      <c r="F839" s="11" t="s">
        <v>1112</v>
      </c>
      <c r="G839" s="7">
        <v>2</v>
      </c>
      <c r="H839" s="8">
        <v>19.59</v>
      </c>
      <c r="I839" s="13">
        <v>0.1</v>
      </c>
      <c r="J839" s="8">
        <f>(Table23[[#This Row],[Quantity]]*Table23[[#This Row],[Unit Price]])-(Table23[[#This Row],[Unit Price]]*Table23[[#This Row],[Dscount]])*Table23[[#This Row],[Quantity]]</f>
        <v>35.262</v>
      </c>
      <c r="K839" s="8">
        <v>26.602</v>
      </c>
      <c r="L839" s="8">
        <f>Table23[[#This Row],[Revenue]]-Table23[[#This Row],[Total Cost]]</f>
        <v>8.66</v>
      </c>
      <c r="M839" s="16">
        <f>(Table23[[#This Row],[Profit]]/Table23[[#This Row],[Revenue]])</f>
        <v>0.24559015370653961</v>
      </c>
      <c r="N839" t="s">
        <v>17</v>
      </c>
    </row>
    <row r="840" spans="1:14" x14ac:dyDescent="0.25">
      <c r="A840" s="11" t="s">
        <v>1525</v>
      </c>
      <c r="B840" s="6">
        <v>45636</v>
      </c>
      <c r="C840" s="11" t="s">
        <v>790</v>
      </c>
      <c r="D840" s="11" t="s">
        <v>20</v>
      </c>
      <c r="E840" s="11" t="s">
        <v>1439</v>
      </c>
      <c r="F840" s="11" t="s">
        <v>1417</v>
      </c>
      <c r="G840" s="7">
        <v>1</v>
      </c>
      <c r="H840" s="8">
        <v>54.65</v>
      </c>
      <c r="I840" s="13">
        <v>0.05</v>
      </c>
      <c r="J840" s="8">
        <f>(Table23[[#This Row],[Quantity]]*Table23[[#This Row],[Unit Price]])-(Table23[[#This Row],[Unit Price]]*Table23[[#This Row],[Dscount]])*Table23[[#This Row],[Quantity]]</f>
        <v>51.917499999999997</v>
      </c>
      <c r="K840" s="8">
        <v>43.307499999999997</v>
      </c>
      <c r="L840" s="8">
        <f>Table23[[#This Row],[Revenue]]-Table23[[#This Row],[Total Cost]]</f>
        <v>8.61</v>
      </c>
      <c r="M840" s="16">
        <f>(Table23[[#This Row],[Profit]]/Table23[[#This Row],[Revenue]])</f>
        <v>0.16584003467039052</v>
      </c>
      <c r="N840" t="s">
        <v>33</v>
      </c>
    </row>
    <row r="841" spans="1:14" x14ac:dyDescent="0.25">
      <c r="A841" s="11" t="s">
        <v>1523</v>
      </c>
      <c r="B841" s="6">
        <v>45993</v>
      </c>
      <c r="C841" s="11" t="s">
        <v>1524</v>
      </c>
      <c r="D841" s="11" t="s">
        <v>31</v>
      </c>
      <c r="E841" s="11" t="s">
        <v>1457</v>
      </c>
      <c r="F841" s="11" t="s">
        <v>1417</v>
      </c>
      <c r="G841" s="7">
        <v>2</v>
      </c>
      <c r="H841" s="8">
        <v>15.54</v>
      </c>
      <c r="I841" s="13">
        <v>0</v>
      </c>
      <c r="J841" s="8">
        <f>(Table23[[#This Row],[Quantity]]*Table23[[#This Row],[Unit Price]])-(Table23[[#This Row],[Unit Price]]*Table23[[#This Row],[Dscount]])*Table23[[#This Row],[Quantity]]</f>
        <v>31.08</v>
      </c>
      <c r="K841" s="8">
        <v>22.49</v>
      </c>
      <c r="L841" s="8">
        <f>Table23[[#This Row],[Revenue]]-Table23[[#This Row],[Total Cost]]</f>
        <v>8.59</v>
      </c>
      <c r="M841" s="16">
        <f>(Table23[[#This Row],[Profit]]/Table23[[#This Row],[Revenue]])</f>
        <v>0.27638352638352637</v>
      </c>
      <c r="N841" t="s">
        <v>48</v>
      </c>
    </row>
    <row r="842" spans="1:14" x14ac:dyDescent="0.25">
      <c r="A842" s="11" t="s">
        <v>1522</v>
      </c>
      <c r="B842" s="6">
        <v>45850</v>
      </c>
      <c r="C842" s="11" t="s">
        <v>210</v>
      </c>
      <c r="D842" s="11" t="s">
        <v>24</v>
      </c>
      <c r="E842" s="11" t="s">
        <v>1420</v>
      </c>
      <c r="F842" s="11" t="s">
        <v>1417</v>
      </c>
      <c r="G842" s="7">
        <v>2</v>
      </c>
      <c r="H842" s="8">
        <v>16.91</v>
      </c>
      <c r="I842" s="13">
        <v>0.1</v>
      </c>
      <c r="J842" s="8">
        <f>(Table23[[#This Row],[Quantity]]*Table23[[#This Row],[Unit Price]])-(Table23[[#This Row],[Unit Price]]*Table23[[#This Row],[Dscount]])*Table23[[#This Row],[Quantity]]</f>
        <v>30.437999999999999</v>
      </c>
      <c r="K842" s="8">
        <v>21.867999999999999</v>
      </c>
      <c r="L842" s="8">
        <f>Table23[[#This Row],[Revenue]]-Table23[[#This Row],[Total Cost]]</f>
        <v>8.57</v>
      </c>
      <c r="M842" s="16">
        <f>(Table23[[#This Row],[Profit]]/Table23[[#This Row],[Revenue]])</f>
        <v>0.28155594979959264</v>
      </c>
      <c r="N842" t="s">
        <v>33</v>
      </c>
    </row>
    <row r="843" spans="1:14" x14ac:dyDescent="0.25">
      <c r="A843" s="11" t="s">
        <v>1521</v>
      </c>
      <c r="B843" s="6">
        <v>45700</v>
      </c>
      <c r="C843" s="11" t="s">
        <v>1289</v>
      </c>
      <c r="D843" s="11" t="s">
        <v>20</v>
      </c>
      <c r="E843" s="11" t="s">
        <v>1422</v>
      </c>
      <c r="F843" s="11" t="s">
        <v>1417</v>
      </c>
      <c r="G843" s="7">
        <v>1</v>
      </c>
      <c r="H843" s="8">
        <v>52.35</v>
      </c>
      <c r="I843" s="13">
        <v>0</v>
      </c>
      <c r="J843" s="8">
        <f>(Table23[[#This Row],[Quantity]]*Table23[[#This Row],[Unit Price]])-(Table23[[#This Row],[Unit Price]]*Table23[[#This Row],[Dscount]])*Table23[[#This Row],[Quantity]]</f>
        <v>52.35</v>
      </c>
      <c r="K843" s="8">
        <v>43.83</v>
      </c>
      <c r="L843" s="8">
        <f>Table23[[#This Row],[Revenue]]-Table23[[#This Row],[Total Cost]]</f>
        <v>8.5200000000000031</v>
      </c>
      <c r="M843" s="16">
        <f>(Table23[[#This Row],[Profit]]/Table23[[#This Row],[Revenue]])</f>
        <v>0.16275071633237828</v>
      </c>
      <c r="N843" t="s">
        <v>33</v>
      </c>
    </row>
    <row r="844" spans="1:14" x14ac:dyDescent="0.25">
      <c r="A844" s="11" t="s">
        <v>1164</v>
      </c>
      <c r="B844" s="6">
        <v>45637</v>
      </c>
      <c r="C844" s="11" t="s">
        <v>1165</v>
      </c>
      <c r="D844" s="11" t="s">
        <v>31</v>
      </c>
      <c r="E844" s="11" t="s">
        <v>1120</v>
      </c>
      <c r="F844" s="11" t="s">
        <v>1112</v>
      </c>
      <c r="G844" s="7">
        <v>1</v>
      </c>
      <c r="H844" s="8">
        <v>28.57</v>
      </c>
      <c r="I844" s="13">
        <v>0.15</v>
      </c>
      <c r="J844" s="8">
        <f>(Table23[[#This Row],[Quantity]]*Table23[[#This Row],[Unit Price]])-(Table23[[#This Row],[Unit Price]]*Table23[[#This Row],[Dscount]])*Table23[[#This Row],[Quantity]]</f>
        <v>24.284500000000001</v>
      </c>
      <c r="K844" s="8">
        <v>15.764500000000002</v>
      </c>
      <c r="L844" s="8">
        <f>Table23[[#This Row],[Revenue]]-Table23[[#This Row],[Total Cost]]</f>
        <v>8.52</v>
      </c>
      <c r="M844" s="16">
        <f>(Table23[[#This Row],[Profit]]/Table23[[#This Row],[Revenue]])</f>
        <v>0.35084107146533794</v>
      </c>
      <c r="N844" t="s">
        <v>48</v>
      </c>
    </row>
    <row r="845" spans="1:14" x14ac:dyDescent="0.25">
      <c r="A845" s="11" t="s">
        <v>1162</v>
      </c>
      <c r="B845" s="6">
        <v>45559</v>
      </c>
      <c r="C845" s="11" t="s">
        <v>1163</v>
      </c>
      <c r="D845" s="11" t="s">
        <v>24</v>
      </c>
      <c r="E845" s="11" t="s">
        <v>1117</v>
      </c>
      <c r="F845" s="11" t="s">
        <v>1112</v>
      </c>
      <c r="G845" s="7">
        <v>1</v>
      </c>
      <c r="H845" s="8">
        <v>49.92</v>
      </c>
      <c r="I845" s="13">
        <v>0.15</v>
      </c>
      <c r="J845" s="8">
        <f>(Table23[[#This Row],[Quantity]]*Table23[[#This Row],[Unit Price]])-(Table23[[#This Row],[Unit Price]]*Table23[[#This Row],[Dscount]])*Table23[[#This Row],[Quantity]]</f>
        <v>42.432000000000002</v>
      </c>
      <c r="K845" s="8">
        <v>33.932000000000002</v>
      </c>
      <c r="L845" s="8">
        <f>Table23[[#This Row],[Revenue]]-Table23[[#This Row],[Total Cost]]</f>
        <v>8.5</v>
      </c>
      <c r="M845" s="16">
        <f>(Table23[[#This Row],[Profit]]/Table23[[#This Row],[Revenue]])</f>
        <v>0.2003205128205128</v>
      </c>
      <c r="N845" t="s">
        <v>33</v>
      </c>
    </row>
    <row r="846" spans="1:14" x14ac:dyDescent="0.25">
      <c r="A846" s="11" t="s">
        <v>1519</v>
      </c>
      <c r="B846" s="6">
        <v>45321</v>
      </c>
      <c r="C846" s="11" t="s">
        <v>1520</v>
      </c>
      <c r="D846" s="11" t="s">
        <v>20</v>
      </c>
      <c r="E846" s="11" t="s">
        <v>1439</v>
      </c>
      <c r="F846" s="11" t="s">
        <v>1417</v>
      </c>
      <c r="G846" s="7">
        <v>1</v>
      </c>
      <c r="H846" s="8">
        <v>44.78</v>
      </c>
      <c r="I846" s="13">
        <v>0.2</v>
      </c>
      <c r="J846" s="8">
        <f>(Table23[[#This Row],[Quantity]]*Table23[[#This Row],[Unit Price]])-(Table23[[#This Row],[Unit Price]]*Table23[[#This Row],[Dscount]])*Table23[[#This Row],[Quantity]]</f>
        <v>35.823999999999998</v>
      </c>
      <c r="K846" s="8">
        <v>27.323999999999998</v>
      </c>
      <c r="L846" s="8">
        <f>Table23[[#This Row],[Revenue]]-Table23[[#This Row],[Total Cost]]</f>
        <v>8.5</v>
      </c>
      <c r="M846" s="16">
        <f>(Table23[[#This Row],[Profit]]/Table23[[#This Row],[Revenue]])</f>
        <v>0.23727110317105851</v>
      </c>
      <c r="N846" t="s">
        <v>17</v>
      </c>
    </row>
    <row r="847" spans="1:14" x14ac:dyDescent="0.25">
      <c r="A847" s="11" t="s">
        <v>888</v>
      </c>
      <c r="B847" s="6">
        <v>45898</v>
      </c>
      <c r="C847" s="11" t="s">
        <v>889</v>
      </c>
      <c r="D847" s="11" t="s">
        <v>24</v>
      </c>
      <c r="E847" s="11" t="s">
        <v>846</v>
      </c>
      <c r="F847" s="11" t="s">
        <v>833</v>
      </c>
      <c r="G847" s="7">
        <v>1</v>
      </c>
      <c r="H847" s="8">
        <v>45.48</v>
      </c>
      <c r="I847" s="13">
        <v>0.15</v>
      </c>
      <c r="J847" s="8">
        <f>(Table23[[#This Row],[Quantity]]*Table23[[#This Row],[Unit Price]])-(Table23[[#This Row],[Unit Price]]*Table23[[#This Row],[Dscount]])*Table23[[#This Row],[Quantity]]</f>
        <v>38.658000000000001</v>
      </c>
      <c r="K847" s="8">
        <v>30.248000000000001</v>
      </c>
      <c r="L847" s="8">
        <f>Table23[[#This Row],[Revenue]]-Table23[[#This Row],[Total Cost]]</f>
        <v>8.41</v>
      </c>
      <c r="M847" s="16">
        <f>(Table23[[#This Row],[Profit]]/Table23[[#This Row],[Revenue]])</f>
        <v>0.21754876092917377</v>
      </c>
      <c r="N847" t="s">
        <v>33</v>
      </c>
    </row>
    <row r="848" spans="1:14" x14ac:dyDescent="0.25">
      <c r="A848" s="11" t="s">
        <v>1518</v>
      </c>
      <c r="B848" s="6">
        <v>45549</v>
      </c>
      <c r="C848" s="11" t="s">
        <v>1284</v>
      </c>
      <c r="D848" s="11" t="s">
        <v>20</v>
      </c>
      <c r="E848" s="11" t="s">
        <v>1429</v>
      </c>
      <c r="F848" s="11" t="s">
        <v>1417</v>
      </c>
      <c r="G848" s="7">
        <v>1</v>
      </c>
      <c r="H848" s="8">
        <v>38.869999999999997</v>
      </c>
      <c r="I848" s="13">
        <v>0</v>
      </c>
      <c r="J848" s="8">
        <f>(Table23[[#This Row],[Quantity]]*Table23[[#This Row],[Unit Price]])-(Table23[[#This Row],[Unit Price]]*Table23[[#This Row],[Dscount]])*Table23[[#This Row],[Quantity]]</f>
        <v>38.869999999999997</v>
      </c>
      <c r="K848" s="8">
        <v>30.459999999999997</v>
      </c>
      <c r="L848" s="8">
        <f>Table23[[#This Row],[Revenue]]-Table23[[#This Row],[Total Cost]]</f>
        <v>8.41</v>
      </c>
      <c r="M848" s="16">
        <f>(Table23[[#This Row],[Profit]]/Table23[[#This Row],[Revenue]])</f>
        <v>0.21636223308464114</v>
      </c>
      <c r="N848" t="s">
        <v>48</v>
      </c>
    </row>
    <row r="849" spans="1:14" x14ac:dyDescent="0.25">
      <c r="A849" s="11" t="s">
        <v>1160</v>
      </c>
      <c r="B849" s="6">
        <v>45852</v>
      </c>
      <c r="C849" s="11" t="s">
        <v>1161</v>
      </c>
      <c r="D849" s="11" t="s">
        <v>36</v>
      </c>
      <c r="E849" s="11" t="s">
        <v>1134</v>
      </c>
      <c r="F849" s="11" t="s">
        <v>1112</v>
      </c>
      <c r="G849" s="7">
        <v>1</v>
      </c>
      <c r="H849" s="8">
        <v>22.64</v>
      </c>
      <c r="I849" s="13">
        <v>0</v>
      </c>
      <c r="J849" s="8">
        <f>(Table23[[#This Row],[Quantity]]*Table23[[#This Row],[Unit Price]])-(Table23[[#This Row],[Unit Price]]*Table23[[#This Row],[Dscount]])*Table23[[#This Row],[Quantity]]</f>
        <v>22.64</v>
      </c>
      <c r="K849" s="8">
        <v>14.25</v>
      </c>
      <c r="L849" s="8">
        <f>Table23[[#This Row],[Revenue]]-Table23[[#This Row],[Total Cost]]</f>
        <v>8.39</v>
      </c>
      <c r="M849" s="16">
        <f>(Table23[[#This Row],[Profit]]/Table23[[#This Row],[Revenue]])</f>
        <v>0.37058303886925797</v>
      </c>
      <c r="N849" t="s">
        <v>33</v>
      </c>
    </row>
    <row r="850" spans="1:14" x14ac:dyDescent="0.25">
      <c r="A850" s="11" t="s">
        <v>1158</v>
      </c>
      <c r="B850" s="6">
        <v>45417</v>
      </c>
      <c r="C850" s="11" t="s">
        <v>1159</v>
      </c>
      <c r="D850" s="11" t="s">
        <v>31</v>
      </c>
      <c r="E850" s="11" t="s">
        <v>1134</v>
      </c>
      <c r="F850" s="11" t="s">
        <v>1112</v>
      </c>
      <c r="G850" s="7">
        <v>1</v>
      </c>
      <c r="H850" s="8">
        <v>26.19</v>
      </c>
      <c r="I850" s="13">
        <v>0</v>
      </c>
      <c r="J850" s="8">
        <f>(Table23[[#This Row],[Quantity]]*Table23[[#This Row],[Unit Price]])-(Table23[[#This Row],[Unit Price]]*Table23[[#This Row],[Dscount]])*Table23[[#This Row],[Quantity]]</f>
        <v>26.19</v>
      </c>
      <c r="K850" s="8">
        <v>17.82</v>
      </c>
      <c r="L850" s="8">
        <f>Table23[[#This Row],[Revenue]]-Table23[[#This Row],[Total Cost]]</f>
        <v>8.370000000000001</v>
      </c>
      <c r="M850" s="16">
        <f>(Table23[[#This Row],[Profit]]/Table23[[#This Row],[Revenue]])</f>
        <v>0.31958762886597941</v>
      </c>
      <c r="N850" t="s">
        <v>48</v>
      </c>
    </row>
    <row r="851" spans="1:14" x14ac:dyDescent="0.25">
      <c r="A851" s="11" t="s">
        <v>494</v>
      </c>
      <c r="B851" s="6">
        <v>45310</v>
      </c>
      <c r="C851" s="11" t="s">
        <v>495</v>
      </c>
      <c r="D851" s="11" t="s">
        <v>14</v>
      </c>
      <c r="E851" s="11" t="s">
        <v>496</v>
      </c>
      <c r="F851" s="11" t="s">
        <v>480</v>
      </c>
      <c r="G851" s="7">
        <v>2</v>
      </c>
      <c r="H851" s="8">
        <v>16.5</v>
      </c>
      <c r="I851" s="13">
        <v>0.2</v>
      </c>
      <c r="J851" s="8">
        <f>(Table23[[#This Row],[Quantity]]*Table23[[#This Row],[Unit Price]])-(Table23[[#This Row],[Unit Price]]*Table23[[#This Row],[Dscount]])*Table23[[#This Row],[Quantity]]</f>
        <v>26.4</v>
      </c>
      <c r="K851" s="8">
        <v>18.03</v>
      </c>
      <c r="L851" s="8">
        <f>Table23[[#This Row],[Revenue]]-Table23[[#This Row],[Total Cost]]</f>
        <v>8.3699999999999974</v>
      </c>
      <c r="M851" s="16">
        <f>(Table23[[#This Row],[Profit]]/Table23[[#This Row],[Revenue]])</f>
        <v>0.31704545454545446</v>
      </c>
      <c r="N851" t="s">
        <v>33</v>
      </c>
    </row>
    <row r="852" spans="1:14" x14ac:dyDescent="0.25">
      <c r="A852" s="11" t="s">
        <v>887</v>
      </c>
      <c r="B852" s="6">
        <v>45658</v>
      </c>
      <c r="C852" s="11" t="s">
        <v>92</v>
      </c>
      <c r="D852" s="11" t="s">
        <v>31</v>
      </c>
      <c r="E852" s="11" t="s">
        <v>832</v>
      </c>
      <c r="F852" s="11" t="s">
        <v>833</v>
      </c>
      <c r="G852" s="7">
        <v>1</v>
      </c>
      <c r="H852" s="8">
        <v>54.46</v>
      </c>
      <c r="I852" s="13">
        <v>0.1</v>
      </c>
      <c r="J852" s="8">
        <f>(Table23[[#This Row],[Quantity]]*Table23[[#This Row],[Unit Price]])-(Table23[[#This Row],[Unit Price]]*Table23[[#This Row],[Dscount]])*Table23[[#This Row],[Quantity]]</f>
        <v>49.014000000000003</v>
      </c>
      <c r="K852" s="8">
        <v>40.664000000000001</v>
      </c>
      <c r="L852" s="8">
        <f>Table23[[#This Row],[Revenue]]-Table23[[#This Row],[Total Cost]]</f>
        <v>8.3500000000000014</v>
      </c>
      <c r="M852" s="16">
        <f>(Table23[[#This Row],[Profit]]/Table23[[#This Row],[Revenue]])</f>
        <v>0.17035948912555599</v>
      </c>
      <c r="N852" t="s">
        <v>33</v>
      </c>
    </row>
    <row r="853" spans="1:14" x14ac:dyDescent="0.25">
      <c r="A853" s="11" t="s">
        <v>79</v>
      </c>
      <c r="B853" s="6">
        <v>45969</v>
      </c>
      <c r="C853" s="11" t="s">
        <v>80</v>
      </c>
      <c r="D853" s="11" t="s">
        <v>24</v>
      </c>
      <c r="E853" s="11" t="s">
        <v>28</v>
      </c>
      <c r="F853" s="11" t="s">
        <v>16</v>
      </c>
      <c r="G853" s="7">
        <v>2</v>
      </c>
      <c r="H853" s="8">
        <v>8.43</v>
      </c>
      <c r="I853" s="13">
        <v>0.2</v>
      </c>
      <c r="J853" s="8">
        <f>(Table23[[#This Row],[Quantity]]*Table23[[#This Row],[Unit Price]])-(Table23[[#This Row],[Unit Price]]*Table23[[#This Row],[Dscount]])*Table23[[#This Row],[Quantity]]</f>
        <v>13.488</v>
      </c>
      <c r="K853" s="8">
        <v>5.1479999999999997</v>
      </c>
      <c r="L853" s="8">
        <f>Table23[[#This Row],[Revenue]]-Table23[[#This Row],[Total Cost]]</f>
        <v>8.34</v>
      </c>
      <c r="M853" s="16">
        <f>(Table23[[#This Row],[Profit]]/Table23[[#This Row],[Revenue]])</f>
        <v>0.6183274021352313</v>
      </c>
      <c r="N853" t="s">
        <v>48</v>
      </c>
    </row>
    <row r="854" spans="1:14" x14ac:dyDescent="0.25">
      <c r="A854" s="11" t="s">
        <v>1157</v>
      </c>
      <c r="B854" s="6">
        <v>45550</v>
      </c>
      <c r="C854" s="11" t="s">
        <v>635</v>
      </c>
      <c r="D854" s="11" t="s">
        <v>24</v>
      </c>
      <c r="E854" s="11" t="s">
        <v>1120</v>
      </c>
      <c r="F854" s="11" t="s">
        <v>1112</v>
      </c>
      <c r="G854" s="7">
        <v>1</v>
      </c>
      <c r="H854" s="8">
        <v>30.64</v>
      </c>
      <c r="I854" s="13">
        <v>0</v>
      </c>
      <c r="J854" s="8">
        <f>(Table23[[#This Row],[Quantity]]*Table23[[#This Row],[Unit Price]])-(Table23[[#This Row],[Unit Price]]*Table23[[#This Row],[Dscount]])*Table23[[#This Row],[Quantity]]</f>
        <v>30.64</v>
      </c>
      <c r="K854" s="8">
        <v>22.310000000000002</v>
      </c>
      <c r="L854" s="8">
        <f>Table23[[#This Row],[Revenue]]-Table23[[#This Row],[Total Cost]]</f>
        <v>8.3299999999999983</v>
      </c>
      <c r="M854" s="16">
        <f>(Table23[[#This Row],[Profit]]/Table23[[#This Row],[Revenue]])</f>
        <v>0.27186684073107042</v>
      </c>
      <c r="N854" t="s">
        <v>33</v>
      </c>
    </row>
    <row r="855" spans="1:14" x14ac:dyDescent="0.25">
      <c r="A855" s="11" t="s">
        <v>1156</v>
      </c>
      <c r="B855" s="6">
        <v>46013</v>
      </c>
      <c r="C855" s="11" t="s">
        <v>990</v>
      </c>
      <c r="D855" s="11" t="s">
        <v>31</v>
      </c>
      <c r="E855" s="11" t="s">
        <v>1114</v>
      </c>
      <c r="F855" s="11" t="s">
        <v>1112</v>
      </c>
      <c r="G855" s="7">
        <v>1</v>
      </c>
      <c r="H855" s="8">
        <v>29.1</v>
      </c>
      <c r="I855" s="13">
        <v>0</v>
      </c>
      <c r="J855" s="8">
        <f>(Table23[[#This Row],[Quantity]]*Table23[[#This Row],[Unit Price]])-(Table23[[#This Row],[Unit Price]]*Table23[[#This Row],[Dscount]])*Table23[[#This Row],[Quantity]]</f>
        <v>29.1</v>
      </c>
      <c r="K855" s="8">
        <v>20.78</v>
      </c>
      <c r="L855" s="8">
        <f>Table23[[#This Row],[Revenue]]-Table23[[#This Row],[Total Cost]]</f>
        <v>8.32</v>
      </c>
      <c r="M855" s="16">
        <f>(Table23[[#This Row],[Profit]]/Table23[[#This Row],[Revenue]])</f>
        <v>0.28591065292096218</v>
      </c>
      <c r="N855" t="s">
        <v>33</v>
      </c>
    </row>
    <row r="856" spans="1:14" x14ac:dyDescent="0.25">
      <c r="A856" s="11" t="s">
        <v>1516</v>
      </c>
      <c r="B856" s="6">
        <v>45380</v>
      </c>
      <c r="C856" s="11" t="s">
        <v>1517</v>
      </c>
      <c r="D856" s="11" t="s">
        <v>36</v>
      </c>
      <c r="E856" s="11" t="s">
        <v>1422</v>
      </c>
      <c r="F856" s="11" t="s">
        <v>1417</v>
      </c>
      <c r="G856" s="7">
        <v>2</v>
      </c>
      <c r="H856" s="8">
        <v>19.55</v>
      </c>
      <c r="I856" s="13">
        <v>0.2</v>
      </c>
      <c r="J856" s="8">
        <f>(Table23[[#This Row],[Quantity]]*Table23[[#This Row],[Unit Price]])-(Table23[[#This Row],[Unit Price]]*Table23[[#This Row],[Dscount]])*Table23[[#This Row],[Quantity]]</f>
        <v>31.28</v>
      </c>
      <c r="K856" s="8">
        <v>23.020000000000003</v>
      </c>
      <c r="L856" s="8">
        <f>Table23[[#This Row],[Revenue]]-Table23[[#This Row],[Total Cost]]</f>
        <v>8.259999999999998</v>
      </c>
      <c r="M856" s="16">
        <f>(Table23[[#This Row],[Profit]]/Table23[[#This Row],[Revenue]])</f>
        <v>0.26406649616368277</v>
      </c>
      <c r="N856" t="s">
        <v>17</v>
      </c>
    </row>
    <row r="857" spans="1:14" x14ac:dyDescent="0.25">
      <c r="A857" s="11" t="s">
        <v>1514</v>
      </c>
      <c r="B857" s="6">
        <v>45987</v>
      </c>
      <c r="C857" s="11" t="s">
        <v>1515</v>
      </c>
      <c r="D857" s="11" t="s">
        <v>14</v>
      </c>
      <c r="E857" s="11" t="s">
        <v>1436</v>
      </c>
      <c r="F857" s="11" t="s">
        <v>1417</v>
      </c>
      <c r="G857" s="7">
        <v>1</v>
      </c>
      <c r="H857" s="8">
        <v>26.49</v>
      </c>
      <c r="I857" s="13">
        <v>0</v>
      </c>
      <c r="J857" s="8">
        <f>(Table23[[#This Row],[Quantity]]*Table23[[#This Row],[Unit Price]])-(Table23[[#This Row],[Unit Price]]*Table23[[#This Row],[Dscount]])*Table23[[#This Row],[Quantity]]</f>
        <v>26.49</v>
      </c>
      <c r="K857" s="8">
        <v>18.239999999999998</v>
      </c>
      <c r="L857" s="8">
        <f>Table23[[#This Row],[Revenue]]-Table23[[#This Row],[Total Cost]]</f>
        <v>8.25</v>
      </c>
      <c r="M857" s="16">
        <f>(Table23[[#This Row],[Profit]]/Table23[[#This Row],[Revenue]])</f>
        <v>0.3114382785956965</v>
      </c>
      <c r="N857" t="s">
        <v>33</v>
      </c>
    </row>
    <row r="858" spans="1:14" x14ac:dyDescent="0.25">
      <c r="A858" s="11" t="s">
        <v>1512</v>
      </c>
      <c r="B858" s="6">
        <v>45813</v>
      </c>
      <c r="C858" s="11" t="s">
        <v>1513</v>
      </c>
      <c r="D858" s="11" t="s">
        <v>36</v>
      </c>
      <c r="E858" s="11" t="s">
        <v>1436</v>
      </c>
      <c r="F858" s="11" t="s">
        <v>1417</v>
      </c>
      <c r="G858" s="7">
        <v>1</v>
      </c>
      <c r="H858" s="8">
        <v>30.02</v>
      </c>
      <c r="I858" s="13">
        <v>0</v>
      </c>
      <c r="J858" s="8">
        <f>(Table23[[#This Row],[Quantity]]*Table23[[#This Row],[Unit Price]])-(Table23[[#This Row],[Unit Price]]*Table23[[#This Row],[Dscount]])*Table23[[#This Row],[Quantity]]</f>
        <v>30.02</v>
      </c>
      <c r="K858" s="8">
        <v>21.78</v>
      </c>
      <c r="L858" s="8">
        <f>Table23[[#This Row],[Revenue]]-Table23[[#This Row],[Total Cost]]</f>
        <v>8.2399999999999984</v>
      </c>
      <c r="M858" s="16">
        <f>(Table23[[#This Row],[Profit]]/Table23[[#This Row],[Revenue]])</f>
        <v>0.27448367754830111</v>
      </c>
      <c r="N858" t="s">
        <v>17</v>
      </c>
    </row>
    <row r="859" spans="1:14" x14ac:dyDescent="0.25">
      <c r="A859" s="11" t="s">
        <v>885</v>
      </c>
      <c r="B859" s="6">
        <v>45724</v>
      </c>
      <c r="C859" s="11" t="s">
        <v>886</v>
      </c>
      <c r="D859" s="11" t="s">
        <v>24</v>
      </c>
      <c r="E859" s="11" t="s">
        <v>840</v>
      </c>
      <c r="F859" s="11" t="s">
        <v>833</v>
      </c>
      <c r="G859" s="7">
        <v>1</v>
      </c>
      <c r="H859" s="8">
        <v>114.13</v>
      </c>
      <c r="I859" s="13">
        <v>0.15</v>
      </c>
      <c r="J859" s="8">
        <f>(Table23[[#This Row],[Quantity]]*Table23[[#This Row],[Unit Price]])-(Table23[[#This Row],[Unit Price]]*Table23[[#This Row],[Dscount]])*Table23[[#This Row],[Quantity]]</f>
        <v>97.010499999999993</v>
      </c>
      <c r="K859" s="8">
        <v>88.840499999999992</v>
      </c>
      <c r="L859" s="8">
        <f>Table23[[#This Row],[Revenue]]-Table23[[#This Row],[Total Cost]]</f>
        <v>8.1700000000000017</v>
      </c>
      <c r="M859" s="16">
        <f>(Table23[[#This Row],[Profit]]/Table23[[#This Row],[Revenue]])</f>
        <v>8.4217687776065503E-2</v>
      </c>
      <c r="N859" t="s">
        <v>17</v>
      </c>
    </row>
    <row r="860" spans="1:14" x14ac:dyDescent="0.25">
      <c r="A860" s="11" t="s">
        <v>883</v>
      </c>
      <c r="B860" s="6">
        <v>45470</v>
      </c>
      <c r="C860" s="11" t="s">
        <v>884</v>
      </c>
      <c r="D860" s="11" t="s">
        <v>24</v>
      </c>
      <c r="E860" s="11" t="s">
        <v>835</v>
      </c>
      <c r="F860" s="11" t="s">
        <v>833</v>
      </c>
      <c r="G860" s="7">
        <v>1</v>
      </c>
      <c r="H860" s="8">
        <v>44.85</v>
      </c>
      <c r="I860" s="13">
        <v>0.1</v>
      </c>
      <c r="J860" s="8">
        <f>(Table23[[#This Row],[Quantity]]*Table23[[#This Row],[Unit Price]])-(Table23[[#This Row],[Unit Price]]*Table23[[#This Row],[Dscount]])*Table23[[#This Row],[Quantity]]</f>
        <v>40.365000000000002</v>
      </c>
      <c r="K860" s="8">
        <v>32.225000000000001</v>
      </c>
      <c r="L860" s="8">
        <f>Table23[[#This Row],[Revenue]]-Table23[[#This Row],[Total Cost]]</f>
        <v>8.14</v>
      </c>
      <c r="M860" s="16">
        <f>(Table23[[#This Row],[Profit]]/Table23[[#This Row],[Revenue]])</f>
        <v>0.20165985383376689</v>
      </c>
      <c r="N860" t="s">
        <v>17</v>
      </c>
    </row>
    <row r="861" spans="1:14" x14ac:dyDescent="0.25">
      <c r="A861" s="11" t="s">
        <v>1510</v>
      </c>
      <c r="B861" s="6">
        <v>45519</v>
      </c>
      <c r="C861" s="11" t="s">
        <v>1511</v>
      </c>
      <c r="D861" s="11" t="s">
        <v>24</v>
      </c>
      <c r="E861" s="11" t="s">
        <v>1436</v>
      </c>
      <c r="F861" s="11" t="s">
        <v>1417</v>
      </c>
      <c r="G861" s="7">
        <v>1</v>
      </c>
      <c r="H861" s="8">
        <v>42.16</v>
      </c>
      <c r="I861" s="13">
        <v>0</v>
      </c>
      <c r="J861" s="8">
        <f>(Table23[[#This Row],[Quantity]]*Table23[[#This Row],[Unit Price]])-(Table23[[#This Row],[Unit Price]]*Table23[[#This Row],[Dscount]])*Table23[[#This Row],[Quantity]]</f>
        <v>42.16</v>
      </c>
      <c r="K861" s="8">
        <v>34.019999999999996</v>
      </c>
      <c r="L861" s="8">
        <f>Table23[[#This Row],[Revenue]]-Table23[[#This Row],[Total Cost]]</f>
        <v>8.14</v>
      </c>
      <c r="M861" s="16">
        <f>(Table23[[#This Row],[Profit]]/Table23[[#This Row],[Revenue]])</f>
        <v>0.19307400379506645</v>
      </c>
      <c r="N861" t="s">
        <v>33</v>
      </c>
    </row>
    <row r="862" spans="1:14" x14ac:dyDescent="0.25">
      <c r="A862" s="11" t="s">
        <v>1508</v>
      </c>
      <c r="B862" s="6">
        <v>45805</v>
      </c>
      <c r="C862" s="11" t="s">
        <v>1509</v>
      </c>
      <c r="D862" s="11" t="s">
        <v>24</v>
      </c>
      <c r="E862" s="11" t="s">
        <v>1478</v>
      </c>
      <c r="F862" s="11" t="s">
        <v>1417</v>
      </c>
      <c r="G862" s="7">
        <v>1</v>
      </c>
      <c r="H862" s="8">
        <v>28.45</v>
      </c>
      <c r="I862" s="13">
        <v>0</v>
      </c>
      <c r="J862" s="8">
        <f>(Table23[[#This Row],[Quantity]]*Table23[[#This Row],[Unit Price]])-(Table23[[#This Row],[Unit Price]]*Table23[[#This Row],[Dscount]])*Table23[[#This Row],[Quantity]]</f>
        <v>28.45</v>
      </c>
      <c r="K862" s="8">
        <v>20.36</v>
      </c>
      <c r="L862" s="8">
        <f>Table23[[#This Row],[Revenue]]-Table23[[#This Row],[Total Cost]]</f>
        <v>8.09</v>
      </c>
      <c r="M862" s="16">
        <f>(Table23[[#This Row],[Profit]]/Table23[[#This Row],[Revenue]])</f>
        <v>0.28435852372583481</v>
      </c>
      <c r="N862" t="s">
        <v>17</v>
      </c>
    </row>
    <row r="863" spans="1:14" x14ac:dyDescent="0.25">
      <c r="A863" s="11" t="s">
        <v>77</v>
      </c>
      <c r="B863" s="6">
        <v>45534</v>
      </c>
      <c r="C863" s="11" t="s">
        <v>78</v>
      </c>
      <c r="D863" s="11" t="s">
        <v>36</v>
      </c>
      <c r="E863" s="11" t="s">
        <v>53</v>
      </c>
      <c r="F863" s="11" t="s">
        <v>16</v>
      </c>
      <c r="G863" s="7">
        <v>2</v>
      </c>
      <c r="H863" s="8">
        <v>7.73</v>
      </c>
      <c r="I863" s="13">
        <v>0.15</v>
      </c>
      <c r="J863" s="8">
        <f>(Table23[[#This Row],[Quantity]]*Table23[[#This Row],[Unit Price]])-(Table23[[#This Row],[Unit Price]]*Table23[[#This Row],[Dscount]])*Table23[[#This Row],[Quantity]]</f>
        <v>13.141000000000002</v>
      </c>
      <c r="K863" s="8">
        <v>5.0610000000000017</v>
      </c>
      <c r="L863" s="8">
        <f>Table23[[#This Row],[Revenue]]-Table23[[#This Row],[Total Cost]]</f>
        <v>8.08</v>
      </c>
      <c r="M863" s="16">
        <f>(Table23[[#This Row],[Profit]]/Table23[[#This Row],[Revenue]])</f>
        <v>0.61486949242827782</v>
      </c>
      <c r="N863" t="s">
        <v>17</v>
      </c>
    </row>
    <row r="864" spans="1:14" x14ac:dyDescent="0.25">
      <c r="A864" s="11" t="s">
        <v>1154</v>
      </c>
      <c r="B864" s="6">
        <v>45972</v>
      </c>
      <c r="C864" s="11" t="s">
        <v>206</v>
      </c>
      <c r="D864" s="11" t="s">
        <v>14</v>
      </c>
      <c r="E864" s="11" t="s">
        <v>1155</v>
      </c>
      <c r="F864" s="11" t="s">
        <v>1112</v>
      </c>
      <c r="G864" s="7">
        <v>2</v>
      </c>
      <c r="H864" s="8">
        <v>21.08</v>
      </c>
      <c r="I864" s="13">
        <v>0.05</v>
      </c>
      <c r="J864" s="8">
        <f>(Table23[[#This Row],[Quantity]]*Table23[[#This Row],[Unit Price]])-(Table23[[#This Row],[Unit Price]]*Table23[[#This Row],[Dscount]])*Table23[[#This Row],[Quantity]]</f>
        <v>40.052</v>
      </c>
      <c r="K864" s="8">
        <v>31.981999999999999</v>
      </c>
      <c r="L864" s="8">
        <f>Table23[[#This Row],[Revenue]]-Table23[[#This Row],[Total Cost]]</f>
        <v>8.07</v>
      </c>
      <c r="M864" s="16">
        <f>(Table23[[#This Row],[Profit]]/Table23[[#This Row],[Revenue]])</f>
        <v>0.20148806551483073</v>
      </c>
      <c r="N864" t="s">
        <v>33</v>
      </c>
    </row>
    <row r="865" spans="1:14" x14ac:dyDescent="0.25">
      <c r="A865" s="11" t="s">
        <v>75</v>
      </c>
      <c r="B865" s="6">
        <v>45777</v>
      </c>
      <c r="C865" s="11" t="s">
        <v>76</v>
      </c>
      <c r="D865" s="11" t="s">
        <v>36</v>
      </c>
      <c r="E865" s="11" t="s">
        <v>21</v>
      </c>
      <c r="F865" s="11" t="s">
        <v>16</v>
      </c>
      <c r="G865" s="7">
        <v>1</v>
      </c>
      <c r="H865" s="8">
        <v>14.47</v>
      </c>
      <c r="I865" s="13">
        <v>0.05</v>
      </c>
      <c r="J865" s="8">
        <f>(Table23[[#This Row],[Quantity]]*Table23[[#This Row],[Unit Price]])-(Table23[[#This Row],[Unit Price]]*Table23[[#This Row],[Dscount]])*Table23[[#This Row],[Quantity]]</f>
        <v>13.746500000000001</v>
      </c>
      <c r="K865" s="8">
        <v>5.6865000000000006</v>
      </c>
      <c r="L865" s="8">
        <f>Table23[[#This Row],[Revenue]]-Table23[[#This Row],[Total Cost]]</f>
        <v>8.06</v>
      </c>
      <c r="M865" s="16">
        <f>(Table23[[#This Row],[Profit]]/Table23[[#This Row],[Revenue]])</f>
        <v>0.5863310660895501</v>
      </c>
      <c r="N865" t="s">
        <v>17</v>
      </c>
    </row>
    <row r="866" spans="1:14" x14ac:dyDescent="0.25">
      <c r="A866" s="11" t="s">
        <v>73</v>
      </c>
      <c r="B866" s="6">
        <v>45756</v>
      </c>
      <c r="C866" s="11" t="s">
        <v>74</v>
      </c>
      <c r="D866" s="11" t="s">
        <v>20</v>
      </c>
      <c r="E866" s="11" t="s">
        <v>39</v>
      </c>
      <c r="F866" s="11" t="s">
        <v>16</v>
      </c>
      <c r="G866" s="7">
        <v>1</v>
      </c>
      <c r="H866" s="8">
        <v>24.05</v>
      </c>
      <c r="I866" s="13">
        <v>0.2</v>
      </c>
      <c r="J866" s="8">
        <f>(Table23[[#This Row],[Quantity]]*Table23[[#This Row],[Unit Price]])-(Table23[[#This Row],[Unit Price]]*Table23[[#This Row],[Dscount]])*Table23[[#This Row],[Quantity]]</f>
        <v>19.240000000000002</v>
      </c>
      <c r="K866" s="8">
        <v>11.220000000000002</v>
      </c>
      <c r="L866" s="8">
        <f>Table23[[#This Row],[Revenue]]-Table23[[#This Row],[Total Cost]]</f>
        <v>8.02</v>
      </c>
      <c r="M866" s="16">
        <f>(Table23[[#This Row],[Profit]]/Table23[[#This Row],[Revenue]])</f>
        <v>0.41683991683991678</v>
      </c>
      <c r="N866" t="s">
        <v>17</v>
      </c>
    </row>
    <row r="867" spans="1:14" x14ac:dyDescent="0.25">
      <c r="A867" s="11" t="s">
        <v>71</v>
      </c>
      <c r="B867" s="6">
        <v>45966</v>
      </c>
      <c r="C867" s="11" t="s">
        <v>72</v>
      </c>
      <c r="D867" s="11" t="s">
        <v>31</v>
      </c>
      <c r="E867" s="11" t="s">
        <v>32</v>
      </c>
      <c r="F867" s="11" t="s">
        <v>16</v>
      </c>
      <c r="G867" s="7">
        <v>1</v>
      </c>
      <c r="H867" s="8">
        <v>13.06</v>
      </c>
      <c r="I867" s="13">
        <v>0</v>
      </c>
      <c r="J867" s="8">
        <f>(Table23[[#This Row],[Quantity]]*Table23[[#This Row],[Unit Price]])-(Table23[[#This Row],[Unit Price]]*Table23[[#This Row],[Dscount]])*Table23[[#This Row],[Quantity]]</f>
        <v>13.06</v>
      </c>
      <c r="K867" s="8">
        <v>5.1000000000000005</v>
      </c>
      <c r="L867" s="8">
        <f>Table23[[#This Row],[Revenue]]-Table23[[#This Row],[Total Cost]]</f>
        <v>7.96</v>
      </c>
      <c r="M867" s="16">
        <f>(Table23[[#This Row],[Profit]]/Table23[[#This Row],[Revenue]])</f>
        <v>0.60949464012251142</v>
      </c>
      <c r="N867" t="s">
        <v>33</v>
      </c>
    </row>
    <row r="868" spans="1:14" x14ac:dyDescent="0.25">
      <c r="A868" s="11" t="s">
        <v>881</v>
      </c>
      <c r="B868" s="6">
        <v>46019</v>
      </c>
      <c r="C868" s="11" t="s">
        <v>882</v>
      </c>
      <c r="D868" s="11" t="s">
        <v>24</v>
      </c>
      <c r="E868" s="11" t="s">
        <v>858</v>
      </c>
      <c r="F868" s="11" t="s">
        <v>833</v>
      </c>
      <c r="G868" s="7">
        <v>2</v>
      </c>
      <c r="H868" s="8">
        <v>52.43</v>
      </c>
      <c r="I868" s="13">
        <v>0.1</v>
      </c>
      <c r="J868" s="8">
        <f>(Table23[[#This Row],[Quantity]]*Table23[[#This Row],[Unit Price]])-(Table23[[#This Row],[Unit Price]]*Table23[[#This Row],[Dscount]])*Table23[[#This Row],[Quantity]]</f>
        <v>94.373999999999995</v>
      </c>
      <c r="K868" s="8">
        <v>86.433999999999997</v>
      </c>
      <c r="L868" s="8">
        <f>Table23[[#This Row],[Revenue]]-Table23[[#This Row],[Total Cost]]</f>
        <v>7.9399999999999977</v>
      </c>
      <c r="M868" s="16">
        <f>(Table23[[#This Row],[Profit]]/Table23[[#This Row],[Revenue]])</f>
        <v>8.413334181024433E-2</v>
      </c>
      <c r="N868" t="s">
        <v>48</v>
      </c>
    </row>
    <row r="869" spans="1:14" x14ac:dyDescent="0.25">
      <c r="A869" s="11" t="s">
        <v>69</v>
      </c>
      <c r="B869" s="6">
        <v>45390</v>
      </c>
      <c r="C869" s="11" t="s">
        <v>70</v>
      </c>
      <c r="D869" s="11" t="s">
        <v>31</v>
      </c>
      <c r="E869" s="11" t="s">
        <v>28</v>
      </c>
      <c r="F869" s="11" t="s">
        <v>16</v>
      </c>
      <c r="G869" s="7">
        <v>1</v>
      </c>
      <c r="H869" s="8">
        <v>18.39</v>
      </c>
      <c r="I869" s="13">
        <v>0.1</v>
      </c>
      <c r="J869" s="8">
        <f>(Table23[[#This Row],[Quantity]]*Table23[[#This Row],[Unit Price]])-(Table23[[#This Row],[Unit Price]]*Table23[[#This Row],[Dscount]])*Table23[[#This Row],[Quantity]]</f>
        <v>16.551000000000002</v>
      </c>
      <c r="K869" s="8">
        <v>8.6210000000000022</v>
      </c>
      <c r="L869" s="8">
        <f>Table23[[#This Row],[Revenue]]-Table23[[#This Row],[Total Cost]]</f>
        <v>7.93</v>
      </c>
      <c r="M869" s="16">
        <f>(Table23[[#This Row],[Profit]]/Table23[[#This Row],[Revenue]])</f>
        <v>0.47912512839103372</v>
      </c>
      <c r="N869" t="s">
        <v>17</v>
      </c>
    </row>
    <row r="870" spans="1:14" x14ac:dyDescent="0.25">
      <c r="A870" s="11" t="s">
        <v>1506</v>
      </c>
      <c r="B870" s="6">
        <v>45396</v>
      </c>
      <c r="C870" s="11" t="s">
        <v>567</v>
      </c>
      <c r="D870" s="11" t="s">
        <v>20</v>
      </c>
      <c r="E870" s="11" t="s">
        <v>1426</v>
      </c>
      <c r="F870" s="11" t="s">
        <v>1417</v>
      </c>
      <c r="G870" s="7">
        <v>1</v>
      </c>
      <c r="H870" s="8">
        <v>31.8</v>
      </c>
      <c r="I870" s="13">
        <v>0.15</v>
      </c>
      <c r="J870" s="8">
        <f>(Table23[[#This Row],[Quantity]]*Table23[[#This Row],[Unit Price]])-(Table23[[#This Row],[Unit Price]]*Table23[[#This Row],[Dscount]])*Table23[[#This Row],[Quantity]]</f>
        <v>27.03</v>
      </c>
      <c r="K870" s="8">
        <v>19.100000000000001</v>
      </c>
      <c r="L870" s="8">
        <f>Table23[[#This Row],[Revenue]]-Table23[[#This Row],[Total Cost]]</f>
        <v>7.93</v>
      </c>
      <c r="M870" s="16">
        <f>(Table23[[#This Row],[Profit]]/Table23[[#This Row],[Revenue]])</f>
        <v>0.29337772844987048</v>
      </c>
      <c r="N870" t="s">
        <v>48</v>
      </c>
    </row>
    <row r="871" spans="1:14" x14ac:dyDescent="0.25">
      <c r="A871" s="11" t="s">
        <v>1507</v>
      </c>
      <c r="B871" s="6">
        <v>45639</v>
      </c>
      <c r="C871" s="11" t="s">
        <v>1051</v>
      </c>
      <c r="D871" s="11" t="s">
        <v>31</v>
      </c>
      <c r="E871" s="11" t="s">
        <v>1436</v>
      </c>
      <c r="F871" s="11" t="s">
        <v>1417</v>
      </c>
      <c r="G871" s="7">
        <v>2</v>
      </c>
      <c r="H871" s="8">
        <v>21.28</v>
      </c>
      <c r="I871" s="13">
        <v>0.2</v>
      </c>
      <c r="J871" s="8">
        <f>(Table23[[#This Row],[Quantity]]*Table23[[#This Row],[Unit Price]])-(Table23[[#This Row],[Unit Price]]*Table23[[#This Row],[Dscount]])*Table23[[#This Row],[Quantity]]</f>
        <v>34.048000000000002</v>
      </c>
      <c r="K871" s="8">
        <v>26.118000000000002</v>
      </c>
      <c r="L871" s="8">
        <f>Table23[[#This Row],[Revenue]]-Table23[[#This Row],[Total Cost]]</f>
        <v>7.93</v>
      </c>
      <c r="M871" s="16">
        <f>(Table23[[#This Row],[Profit]]/Table23[[#This Row],[Revenue]])</f>
        <v>0.23290648496240599</v>
      </c>
      <c r="N871" t="s">
        <v>17</v>
      </c>
    </row>
    <row r="872" spans="1:14" x14ac:dyDescent="0.25">
      <c r="A872" s="11" t="s">
        <v>1504</v>
      </c>
      <c r="B872" s="6">
        <v>45701</v>
      </c>
      <c r="C872" s="11" t="s">
        <v>1505</v>
      </c>
      <c r="D872" s="11" t="s">
        <v>20</v>
      </c>
      <c r="E872" s="11" t="s">
        <v>1420</v>
      </c>
      <c r="F872" s="11" t="s">
        <v>1417</v>
      </c>
      <c r="G872" s="7">
        <v>1</v>
      </c>
      <c r="H872" s="8">
        <v>49.45</v>
      </c>
      <c r="I872" s="13">
        <v>0.1</v>
      </c>
      <c r="J872" s="8">
        <f>(Table23[[#This Row],[Quantity]]*Table23[[#This Row],[Unit Price]])-(Table23[[#This Row],[Unit Price]]*Table23[[#This Row],[Dscount]])*Table23[[#This Row],[Quantity]]</f>
        <v>44.505000000000003</v>
      </c>
      <c r="K872" s="8">
        <v>36.695</v>
      </c>
      <c r="L872" s="8">
        <f>Table23[[#This Row],[Revenue]]-Table23[[#This Row],[Total Cost]]</f>
        <v>7.8100000000000023</v>
      </c>
      <c r="M872" s="16">
        <f>(Table23[[#This Row],[Profit]]/Table23[[#This Row],[Revenue]])</f>
        <v>0.17548590046062243</v>
      </c>
      <c r="N872" t="s">
        <v>33</v>
      </c>
    </row>
    <row r="873" spans="1:14" x14ac:dyDescent="0.25">
      <c r="A873" s="11" t="s">
        <v>1502</v>
      </c>
      <c r="B873" s="6">
        <v>45322</v>
      </c>
      <c r="C873" s="11" t="s">
        <v>1503</v>
      </c>
      <c r="D873" s="11" t="s">
        <v>31</v>
      </c>
      <c r="E873" s="11" t="s">
        <v>1426</v>
      </c>
      <c r="F873" s="11" t="s">
        <v>1417</v>
      </c>
      <c r="G873" s="7">
        <v>2</v>
      </c>
      <c r="H873" s="8">
        <v>14.89</v>
      </c>
      <c r="I873" s="13">
        <v>0.1</v>
      </c>
      <c r="J873" s="8">
        <f>(Table23[[#This Row],[Quantity]]*Table23[[#This Row],[Unit Price]])-(Table23[[#This Row],[Unit Price]]*Table23[[#This Row],[Dscount]])*Table23[[#This Row],[Quantity]]</f>
        <v>26.802</v>
      </c>
      <c r="K873" s="8">
        <v>19.001999999999999</v>
      </c>
      <c r="L873" s="8">
        <f>Table23[[#This Row],[Revenue]]-Table23[[#This Row],[Total Cost]]</f>
        <v>7.8000000000000007</v>
      </c>
      <c r="M873" s="16">
        <f>(Table23[[#This Row],[Profit]]/Table23[[#This Row],[Revenue]])</f>
        <v>0.29102305798074773</v>
      </c>
      <c r="N873" t="s">
        <v>33</v>
      </c>
    </row>
    <row r="874" spans="1:14" x14ac:dyDescent="0.25">
      <c r="A874" s="11" t="s">
        <v>492</v>
      </c>
      <c r="B874" s="6">
        <v>45751</v>
      </c>
      <c r="C874" s="11" t="s">
        <v>493</v>
      </c>
      <c r="D874" s="11" t="s">
        <v>36</v>
      </c>
      <c r="E874" s="11" t="s">
        <v>486</v>
      </c>
      <c r="F874" s="11" t="s">
        <v>480</v>
      </c>
      <c r="G874" s="7">
        <v>1</v>
      </c>
      <c r="H874" s="8">
        <v>16.87</v>
      </c>
      <c r="I874" s="13">
        <v>0.05</v>
      </c>
      <c r="J874" s="8">
        <f>(Table23[[#This Row],[Quantity]]*Table23[[#This Row],[Unit Price]])-(Table23[[#This Row],[Unit Price]]*Table23[[#This Row],[Dscount]])*Table23[[#This Row],[Quantity]]</f>
        <v>16.026500000000002</v>
      </c>
      <c r="K874" s="8">
        <v>8.2965000000000018</v>
      </c>
      <c r="L874" s="8">
        <f>Table23[[#This Row],[Revenue]]-Table23[[#This Row],[Total Cost]]</f>
        <v>7.73</v>
      </c>
      <c r="M874" s="16">
        <f>(Table23[[#This Row],[Profit]]/Table23[[#This Row],[Revenue]])</f>
        <v>0.48232614731850371</v>
      </c>
      <c r="N874" t="s">
        <v>17</v>
      </c>
    </row>
    <row r="875" spans="1:14" x14ac:dyDescent="0.25">
      <c r="A875" s="11" t="s">
        <v>1501</v>
      </c>
      <c r="B875" s="6">
        <v>45588</v>
      </c>
      <c r="C875" s="11" t="s">
        <v>1126</v>
      </c>
      <c r="D875" s="11" t="s">
        <v>14</v>
      </c>
      <c r="E875" s="11" t="s">
        <v>1422</v>
      </c>
      <c r="F875" s="11" t="s">
        <v>1417</v>
      </c>
      <c r="G875" s="7">
        <v>2</v>
      </c>
      <c r="H875" s="8">
        <v>20.71</v>
      </c>
      <c r="I875" s="13">
        <v>0.15</v>
      </c>
      <c r="J875" s="8">
        <f>(Table23[[#This Row],[Quantity]]*Table23[[#This Row],[Unit Price]])-(Table23[[#This Row],[Unit Price]]*Table23[[#This Row],[Dscount]])*Table23[[#This Row],[Quantity]]</f>
        <v>35.207000000000001</v>
      </c>
      <c r="K875" s="8">
        <v>27.487000000000002</v>
      </c>
      <c r="L875" s="8">
        <f>Table23[[#This Row],[Revenue]]-Table23[[#This Row],[Total Cost]]</f>
        <v>7.7199999999999989</v>
      </c>
      <c r="M875" s="16">
        <f>(Table23[[#This Row],[Profit]]/Table23[[#This Row],[Revenue]])</f>
        <v>0.21927457607862069</v>
      </c>
      <c r="N875" t="s">
        <v>17</v>
      </c>
    </row>
    <row r="876" spans="1:14" x14ac:dyDescent="0.25">
      <c r="A876" s="11" t="s">
        <v>1497</v>
      </c>
      <c r="B876" s="6">
        <v>45730</v>
      </c>
      <c r="C876" s="11" t="s">
        <v>1498</v>
      </c>
      <c r="D876" s="11" t="s">
        <v>24</v>
      </c>
      <c r="E876" s="11" t="s">
        <v>1478</v>
      </c>
      <c r="F876" s="11" t="s">
        <v>1417</v>
      </c>
      <c r="G876" s="7">
        <v>1</v>
      </c>
      <c r="H876" s="8">
        <v>31.45</v>
      </c>
      <c r="I876" s="13">
        <v>0</v>
      </c>
      <c r="J876" s="8">
        <f>(Table23[[#This Row],[Quantity]]*Table23[[#This Row],[Unit Price]])-(Table23[[#This Row],[Unit Price]]*Table23[[#This Row],[Dscount]])*Table23[[#This Row],[Quantity]]</f>
        <v>31.45</v>
      </c>
      <c r="K876" s="8">
        <v>23.759999999999998</v>
      </c>
      <c r="L876" s="8">
        <f>Table23[[#This Row],[Revenue]]-Table23[[#This Row],[Total Cost]]</f>
        <v>7.6900000000000013</v>
      </c>
      <c r="M876" s="16">
        <f>(Table23[[#This Row],[Profit]]/Table23[[#This Row],[Revenue]])</f>
        <v>0.2445151033386328</v>
      </c>
      <c r="N876" t="s">
        <v>33</v>
      </c>
    </row>
    <row r="877" spans="1:14" x14ac:dyDescent="0.25">
      <c r="A877" s="11" t="s">
        <v>1499</v>
      </c>
      <c r="B877" s="6">
        <v>45944</v>
      </c>
      <c r="C877" s="11" t="s">
        <v>1500</v>
      </c>
      <c r="D877" s="11" t="s">
        <v>20</v>
      </c>
      <c r="E877" s="11" t="s">
        <v>1429</v>
      </c>
      <c r="F877" s="11" t="s">
        <v>1417</v>
      </c>
      <c r="G877" s="7">
        <v>1</v>
      </c>
      <c r="H877" s="8">
        <v>52.7</v>
      </c>
      <c r="I877" s="13">
        <v>0.1</v>
      </c>
      <c r="J877" s="8">
        <f>(Table23[[#This Row],[Quantity]]*Table23[[#This Row],[Unit Price]])-(Table23[[#This Row],[Unit Price]]*Table23[[#This Row],[Dscount]])*Table23[[#This Row],[Quantity]]</f>
        <v>47.43</v>
      </c>
      <c r="K877" s="8">
        <v>39.74</v>
      </c>
      <c r="L877" s="8">
        <f>Table23[[#This Row],[Revenue]]-Table23[[#This Row],[Total Cost]]</f>
        <v>7.6899999999999977</v>
      </c>
      <c r="M877" s="16">
        <f>(Table23[[#This Row],[Profit]]/Table23[[#This Row],[Revenue]])</f>
        <v>0.16213367067257006</v>
      </c>
      <c r="N877" t="s">
        <v>17</v>
      </c>
    </row>
    <row r="878" spans="1:14" x14ac:dyDescent="0.25">
      <c r="A878" s="11" t="s">
        <v>1496</v>
      </c>
      <c r="B878" s="6">
        <v>45789</v>
      </c>
      <c r="C878" s="11" t="s">
        <v>733</v>
      </c>
      <c r="D878" s="11" t="s">
        <v>31</v>
      </c>
      <c r="E878" s="11" t="s">
        <v>1436</v>
      </c>
      <c r="F878" s="11" t="s">
        <v>1417</v>
      </c>
      <c r="G878" s="7">
        <v>2</v>
      </c>
      <c r="H878" s="8">
        <v>17.579999999999998</v>
      </c>
      <c r="I878" s="13">
        <v>0.2</v>
      </c>
      <c r="J878" s="8">
        <f>(Table23[[#This Row],[Quantity]]*Table23[[#This Row],[Unit Price]])-(Table23[[#This Row],[Unit Price]]*Table23[[#This Row],[Dscount]])*Table23[[#This Row],[Quantity]]</f>
        <v>28.127999999999997</v>
      </c>
      <c r="K878" s="8">
        <v>20.497999999999998</v>
      </c>
      <c r="L878" s="8">
        <f>Table23[[#This Row],[Revenue]]-Table23[[#This Row],[Total Cost]]</f>
        <v>7.629999999999999</v>
      </c>
      <c r="M878" s="16">
        <f>(Table23[[#This Row],[Profit]]/Table23[[#This Row],[Revenue]])</f>
        <v>0.27125995449374291</v>
      </c>
      <c r="N878" t="s">
        <v>33</v>
      </c>
    </row>
    <row r="879" spans="1:14" x14ac:dyDescent="0.25">
      <c r="A879" s="11" t="s">
        <v>879</v>
      </c>
      <c r="B879" s="6">
        <v>45913</v>
      </c>
      <c r="C879" s="11" t="s">
        <v>880</v>
      </c>
      <c r="D879" s="11" t="s">
        <v>36</v>
      </c>
      <c r="E879" s="11" t="s">
        <v>835</v>
      </c>
      <c r="F879" s="11" t="s">
        <v>833</v>
      </c>
      <c r="G879" s="7">
        <v>1</v>
      </c>
      <c r="H879" s="8">
        <v>37.14</v>
      </c>
      <c r="I879" s="13">
        <v>0.05</v>
      </c>
      <c r="J879" s="8">
        <f>(Table23[[#This Row],[Quantity]]*Table23[[#This Row],[Unit Price]])-(Table23[[#This Row],[Unit Price]]*Table23[[#This Row],[Dscount]])*Table23[[#This Row],[Quantity]]</f>
        <v>35.283000000000001</v>
      </c>
      <c r="K879" s="8">
        <v>27.663</v>
      </c>
      <c r="L879" s="8">
        <f>Table23[[#This Row],[Revenue]]-Table23[[#This Row],[Total Cost]]</f>
        <v>7.620000000000001</v>
      </c>
      <c r="M879" s="16">
        <f>(Table23[[#This Row],[Profit]]/Table23[[#This Row],[Revenue]])</f>
        <v>0.21596802992942779</v>
      </c>
      <c r="N879" t="s">
        <v>48</v>
      </c>
    </row>
    <row r="880" spans="1:14" x14ac:dyDescent="0.25">
      <c r="A880" s="11" t="s">
        <v>878</v>
      </c>
      <c r="B880" s="6">
        <v>45345</v>
      </c>
      <c r="C880" s="11" t="s">
        <v>280</v>
      </c>
      <c r="D880" s="11" t="s">
        <v>36</v>
      </c>
      <c r="E880" s="11" t="s">
        <v>860</v>
      </c>
      <c r="F880" s="11" t="s">
        <v>833</v>
      </c>
      <c r="G880" s="7">
        <v>2</v>
      </c>
      <c r="H880" s="8">
        <v>27.17</v>
      </c>
      <c r="I880" s="13">
        <v>0.05</v>
      </c>
      <c r="J880" s="8">
        <f>(Table23[[#This Row],[Quantity]]*Table23[[#This Row],[Unit Price]])-(Table23[[#This Row],[Unit Price]]*Table23[[#This Row],[Dscount]])*Table23[[#This Row],[Quantity]]</f>
        <v>51.623000000000005</v>
      </c>
      <c r="K880" s="8">
        <v>44.013000000000005</v>
      </c>
      <c r="L880" s="8">
        <f>Table23[[#This Row],[Revenue]]-Table23[[#This Row],[Total Cost]]</f>
        <v>7.6099999999999994</v>
      </c>
      <c r="M880" s="16">
        <f>(Table23[[#This Row],[Profit]]/Table23[[#This Row],[Revenue]])</f>
        <v>0.14741491195784823</v>
      </c>
      <c r="N880" t="s">
        <v>33</v>
      </c>
    </row>
    <row r="881" spans="1:14" x14ac:dyDescent="0.25">
      <c r="A881" s="11" t="s">
        <v>1153</v>
      </c>
      <c r="B881" s="6">
        <v>45594</v>
      </c>
      <c r="C881" s="11" t="s">
        <v>382</v>
      </c>
      <c r="D881" s="11" t="s">
        <v>14</v>
      </c>
      <c r="E881" s="11" t="s">
        <v>1134</v>
      </c>
      <c r="F881" s="11" t="s">
        <v>1112</v>
      </c>
      <c r="G881" s="7">
        <v>1</v>
      </c>
      <c r="H881" s="8">
        <v>34.04</v>
      </c>
      <c r="I881" s="13">
        <v>0</v>
      </c>
      <c r="J881" s="8">
        <f>(Table23[[#This Row],[Quantity]]*Table23[[#This Row],[Unit Price]])-(Table23[[#This Row],[Unit Price]]*Table23[[#This Row],[Dscount]])*Table23[[#This Row],[Quantity]]</f>
        <v>34.04</v>
      </c>
      <c r="K881" s="8">
        <v>26.549999999999997</v>
      </c>
      <c r="L881" s="8">
        <f>Table23[[#This Row],[Revenue]]-Table23[[#This Row],[Total Cost]]</f>
        <v>7.490000000000002</v>
      </c>
      <c r="M881" s="16">
        <f>(Table23[[#This Row],[Profit]]/Table23[[#This Row],[Revenue]])</f>
        <v>0.22003525264394835</v>
      </c>
      <c r="N881" t="s">
        <v>33</v>
      </c>
    </row>
    <row r="882" spans="1:14" x14ac:dyDescent="0.25">
      <c r="A882" s="11" t="s">
        <v>490</v>
      </c>
      <c r="B882" s="6">
        <v>45704</v>
      </c>
      <c r="C882" s="11" t="s">
        <v>491</v>
      </c>
      <c r="D882" s="11" t="s">
        <v>14</v>
      </c>
      <c r="E882" s="11" t="s">
        <v>489</v>
      </c>
      <c r="F882" s="11" t="s">
        <v>480</v>
      </c>
      <c r="G882" s="7">
        <v>1</v>
      </c>
      <c r="H882" s="8">
        <v>22.47</v>
      </c>
      <c r="I882" s="13">
        <v>0.1</v>
      </c>
      <c r="J882" s="8">
        <f>(Table23[[#This Row],[Quantity]]*Table23[[#This Row],[Unit Price]])-(Table23[[#This Row],[Unit Price]]*Table23[[#This Row],[Dscount]])*Table23[[#This Row],[Quantity]]</f>
        <v>20.222999999999999</v>
      </c>
      <c r="K882" s="8">
        <v>12.762999999999998</v>
      </c>
      <c r="L882" s="8">
        <f>Table23[[#This Row],[Revenue]]-Table23[[#This Row],[Total Cost]]</f>
        <v>7.4600000000000009</v>
      </c>
      <c r="M882" s="16">
        <f>(Table23[[#This Row],[Profit]]/Table23[[#This Row],[Revenue]])</f>
        <v>0.36888691094298576</v>
      </c>
      <c r="N882" t="s">
        <v>17</v>
      </c>
    </row>
    <row r="883" spans="1:14" x14ac:dyDescent="0.25">
      <c r="A883" s="11" t="s">
        <v>1151</v>
      </c>
      <c r="B883" s="6">
        <v>45838</v>
      </c>
      <c r="C883" s="11" t="s">
        <v>1152</v>
      </c>
      <c r="D883" s="11" t="s">
        <v>31</v>
      </c>
      <c r="E883" s="11" t="s">
        <v>1124</v>
      </c>
      <c r="F883" s="11" t="s">
        <v>1112</v>
      </c>
      <c r="G883" s="7">
        <v>2</v>
      </c>
      <c r="H883" s="8">
        <v>14.11</v>
      </c>
      <c r="I883" s="13">
        <v>0.1</v>
      </c>
      <c r="J883" s="8">
        <f>(Table23[[#This Row],[Quantity]]*Table23[[#This Row],[Unit Price]])-(Table23[[#This Row],[Unit Price]]*Table23[[#This Row],[Dscount]])*Table23[[#This Row],[Quantity]]</f>
        <v>25.398</v>
      </c>
      <c r="K883" s="8">
        <v>17.948</v>
      </c>
      <c r="L883" s="8">
        <f>Table23[[#This Row],[Revenue]]-Table23[[#This Row],[Total Cost]]</f>
        <v>7.4499999999999993</v>
      </c>
      <c r="M883" s="16">
        <f>(Table23[[#This Row],[Profit]]/Table23[[#This Row],[Revenue]])</f>
        <v>0.29333018347901407</v>
      </c>
      <c r="N883" t="s">
        <v>17</v>
      </c>
    </row>
    <row r="884" spans="1:14" x14ac:dyDescent="0.25">
      <c r="A884" s="11" t="s">
        <v>1495</v>
      </c>
      <c r="B884" s="6">
        <v>45313</v>
      </c>
      <c r="C884" s="11" t="s">
        <v>88</v>
      </c>
      <c r="D884" s="11" t="s">
        <v>24</v>
      </c>
      <c r="E884" s="11" t="s">
        <v>1478</v>
      </c>
      <c r="F884" s="11" t="s">
        <v>1417</v>
      </c>
      <c r="G884" s="7">
        <v>1</v>
      </c>
      <c r="H884" s="8">
        <v>39.25</v>
      </c>
      <c r="I884" s="13">
        <v>0.15</v>
      </c>
      <c r="J884" s="8">
        <f>(Table23[[#This Row],[Quantity]]*Table23[[#This Row],[Unit Price]])-(Table23[[#This Row],[Unit Price]]*Table23[[#This Row],[Dscount]])*Table23[[#This Row],[Quantity]]</f>
        <v>33.362499999999997</v>
      </c>
      <c r="K884" s="8">
        <v>25.942499999999995</v>
      </c>
      <c r="L884" s="8">
        <f>Table23[[#This Row],[Revenue]]-Table23[[#This Row],[Total Cost]]</f>
        <v>7.4200000000000017</v>
      </c>
      <c r="M884" s="16">
        <f>(Table23[[#This Row],[Profit]]/Table23[[#This Row],[Revenue]])</f>
        <v>0.22240539527913084</v>
      </c>
      <c r="N884" t="s">
        <v>33</v>
      </c>
    </row>
    <row r="885" spans="1:14" x14ac:dyDescent="0.25">
      <c r="A885" s="11" t="s">
        <v>877</v>
      </c>
      <c r="B885" s="6">
        <v>45363</v>
      </c>
      <c r="C885" s="11" t="s">
        <v>345</v>
      </c>
      <c r="D885" s="11" t="s">
        <v>31</v>
      </c>
      <c r="E885" s="11" t="s">
        <v>856</v>
      </c>
      <c r="F885" s="11" t="s">
        <v>833</v>
      </c>
      <c r="G885" s="7">
        <v>2</v>
      </c>
      <c r="H885" s="8">
        <v>26.91</v>
      </c>
      <c r="I885" s="13">
        <v>0.2</v>
      </c>
      <c r="J885" s="8">
        <f>(Table23[[#This Row],[Quantity]]*Table23[[#This Row],[Unit Price]])-(Table23[[#This Row],[Unit Price]]*Table23[[#This Row],[Dscount]])*Table23[[#This Row],[Quantity]]</f>
        <v>43.055999999999997</v>
      </c>
      <c r="K885" s="8">
        <v>35.715999999999994</v>
      </c>
      <c r="L885" s="8">
        <f>Table23[[#This Row],[Revenue]]-Table23[[#This Row],[Total Cost]]</f>
        <v>7.3400000000000034</v>
      </c>
      <c r="M885" s="16">
        <f>(Table23[[#This Row],[Profit]]/Table23[[#This Row],[Revenue]])</f>
        <v>0.17047565960609448</v>
      </c>
      <c r="N885" t="s">
        <v>17</v>
      </c>
    </row>
    <row r="886" spans="1:14" x14ac:dyDescent="0.25">
      <c r="A886" s="11" t="s">
        <v>66</v>
      </c>
      <c r="B886" s="6">
        <v>45892</v>
      </c>
      <c r="C886" s="11" t="s">
        <v>67</v>
      </c>
      <c r="D886" s="11" t="s">
        <v>20</v>
      </c>
      <c r="E886" s="11" t="s">
        <v>68</v>
      </c>
      <c r="F886" s="11" t="s">
        <v>16</v>
      </c>
      <c r="G886" s="7">
        <v>2</v>
      </c>
      <c r="H886" s="8">
        <v>8.18</v>
      </c>
      <c r="I886" s="13">
        <v>0.1</v>
      </c>
      <c r="J886" s="8">
        <f>(Table23[[#This Row],[Quantity]]*Table23[[#This Row],[Unit Price]])-(Table23[[#This Row],[Unit Price]]*Table23[[#This Row],[Dscount]])*Table23[[#This Row],[Quantity]]</f>
        <v>14.724</v>
      </c>
      <c r="K886" s="8">
        <v>7.3840000000000003</v>
      </c>
      <c r="L886" s="8">
        <f>Table23[[#This Row],[Revenue]]-Table23[[#This Row],[Total Cost]]</f>
        <v>7.34</v>
      </c>
      <c r="M886" s="16">
        <f>(Table23[[#This Row],[Profit]]/Table23[[#This Row],[Revenue]])</f>
        <v>0.4985058408041293</v>
      </c>
      <c r="N886" t="s">
        <v>33</v>
      </c>
    </row>
    <row r="887" spans="1:14" x14ac:dyDescent="0.25">
      <c r="A887" s="11" t="s">
        <v>875</v>
      </c>
      <c r="B887" s="6">
        <v>45901</v>
      </c>
      <c r="C887" s="11" t="s">
        <v>876</v>
      </c>
      <c r="D887" s="11" t="s">
        <v>14</v>
      </c>
      <c r="E887" s="11" t="s">
        <v>840</v>
      </c>
      <c r="F887" s="11" t="s">
        <v>833</v>
      </c>
      <c r="G887" s="7">
        <v>1</v>
      </c>
      <c r="H887" s="8">
        <v>35.56</v>
      </c>
      <c r="I887" s="13">
        <v>0.05</v>
      </c>
      <c r="J887" s="8">
        <f>(Table23[[#This Row],[Quantity]]*Table23[[#This Row],[Unit Price]])-(Table23[[#This Row],[Unit Price]]*Table23[[#This Row],[Dscount]])*Table23[[#This Row],[Quantity]]</f>
        <v>33.782000000000004</v>
      </c>
      <c r="K887" s="8">
        <v>26.462000000000003</v>
      </c>
      <c r="L887" s="8">
        <f>Table23[[#This Row],[Revenue]]-Table23[[#This Row],[Total Cost]]</f>
        <v>7.32</v>
      </c>
      <c r="M887" s="16">
        <f>(Table23[[#This Row],[Profit]]/Table23[[#This Row],[Revenue]])</f>
        <v>0.21668344088567876</v>
      </c>
      <c r="N887" t="s">
        <v>33</v>
      </c>
    </row>
    <row r="888" spans="1:14" x14ac:dyDescent="0.25">
      <c r="A888" s="11" t="s">
        <v>1493</v>
      </c>
      <c r="B888" s="6">
        <v>45897</v>
      </c>
      <c r="C888" s="11" t="s">
        <v>1494</v>
      </c>
      <c r="D888" s="11" t="s">
        <v>36</v>
      </c>
      <c r="E888" s="11" t="s">
        <v>1420</v>
      </c>
      <c r="F888" s="11" t="s">
        <v>1417</v>
      </c>
      <c r="G888" s="7">
        <v>2</v>
      </c>
      <c r="H888" s="8">
        <v>17.5</v>
      </c>
      <c r="I888" s="13">
        <v>0.15</v>
      </c>
      <c r="J888" s="8">
        <f>(Table23[[#This Row],[Quantity]]*Table23[[#This Row],[Unit Price]])-(Table23[[#This Row],[Unit Price]]*Table23[[#This Row],[Dscount]])*Table23[[#This Row],[Quantity]]</f>
        <v>29.75</v>
      </c>
      <c r="K888" s="8">
        <v>22.53</v>
      </c>
      <c r="L888" s="8">
        <f>Table23[[#This Row],[Revenue]]-Table23[[#This Row],[Total Cost]]</f>
        <v>7.2199999999999989</v>
      </c>
      <c r="M888" s="16">
        <f>(Table23[[#This Row],[Profit]]/Table23[[#This Row],[Revenue]])</f>
        <v>0.24268907563025205</v>
      </c>
      <c r="N888" t="s">
        <v>33</v>
      </c>
    </row>
    <row r="889" spans="1:14" x14ac:dyDescent="0.25">
      <c r="A889" s="11" t="s">
        <v>487</v>
      </c>
      <c r="B889" s="6">
        <v>45618</v>
      </c>
      <c r="C889" s="11" t="s">
        <v>488</v>
      </c>
      <c r="D889" s="11" t="s">
        <v>24</v>
      </c>
      <c r="E889" s="11" t="s">
        <v>489</v>
      </c>
      <c r="F889" s="11" t="s">
        <v>480</v>
      </c>
      <c r="G889" s="7">
        <v>1</v>
      </c>
      <c r="H889" s="8">
        <v>16.13</v>
      </c>
      <c r="I889" s="13">
        <v>0</v>
      </c>
      <c r="J889" s="8">
        <f>(Table23[[#This Row],[Quantity]]*Table23[[#This Row],[Unit Price]])-(Table23[[#This Row],[Unit Price]]*Table23[[#This Row],[Dscount]])*Table23[[#This Row],[Quantity]]</f>
        <v>16.13</v>
      </c>
      <c r="K889" s="8">
        <v>8.9899999999999984</v>
      </c>
      <c r="L889" s="8">
        <f>Table23[[#This Row],[Revenue]]-Table23[[#This Row],[Total Cost]]</f>
        <v>7.1400000000000006</v>
      </c>
      <c r="M889" s="16">
        <f>(Table23[[#This Row],[Profit]]/Table23[[#This Row],[Revenue]])</f>
        <v>0.44265344079355246</v>
      </c>
      <c r="N889" t="s">
        <v>33</v>
      </c>
    </row>
    <row r="890" spans="1:14" x14ac:dyDescent="0.25">
      <c r="A890" s="11" t="s">
        <v>64</v>
      </c>
      <c r="B890" s="6">
        <v>45962</v>
      </c>
      <c r="C890" s="11" t="s">
        <v>65</v>
      </c>
      <c r="D890" s="11" t="s">
        <v>24</v>
      </c>
      <c r="E890" s="11" t="s">
        <v>15</v>
      </c>
      <c r="F890" s="11" t="s">
        <v>16</v>
      </c>
      <c r="G890" s="7">
        <v>1</v>
      </c>
      <c r="H890" s="8">
        <v>14.05</v>
      </c>
      <c r="I890" s="13">
        <v>0.1</v>
      </c>
      <c r="J890" s="8">
        <f>(Table23[[#This Row],[Quantity]]*Table23[[#This Row],[Unit Price]])-(Table23[[#This Row],[Unit Price]]*Table23[[#This Row],[Dscount]])*Table23[[#This Row],[Quantity]]</f>
        <v>12.645</v>
      </c>
      <c r="K890" s="8">
        <v>5.5549999999999997</v>
      </c>
      <c r="L890" s="8">
        <f>Table23[[#This Row],[Revenue]]-Table23[[#This Row],[Total Cost]]</f>
        <v>7.09</v>
      </c>
      <c r="M890" s="16">
        <f>(Table23[[#This Row],[Profit]]/Table23[[#This Row],[Revenue]])</f>
        <v>0.56069592724396999</v>
      </c>
      <c r="N890" t="s">
        <v>33</v>
      </c>
    </row>
    <row r="891" spans="1:14" x14ac:dyDescent="0.25">
      <c r="A891" s="11" t="s">
        <v>1492</v>
      </c>
      <c r="B891" s="6">
        <v>45776</v>
      </c>
      <c r="C891" s="11" t="s">
        <v>142</v>
      </c>
      <c r="D891" s="11" t="s">
        <v>36</v>
      </c>
      <c r="E891" s="11" t="s">
        <v>1422</v>
      </c>
      <c r="F891" s="11" t="s">
        <v>1417</v>
      </c>
      <c r="G891" s="7">
        <v>1</v>
      </c>
      <c r="H891" s="8">
        <v>33.49</v>
      </c>
      <c r="I891" s="13">
        <v>0.15</v>
      </c>
      <c r="J891" s="8">
        <f>(Table23[[#This Row],[Quantity]]*Table23[[#This Row],[Unit Price]])-(Table23[[#This Row],[Unit Price]]*Table23[[#This Row],[Dscount]])*Table23[[#This Row],[Quantity]]</f>
        <v>28.466500000000003</v>
      </c>
      <c r="K891" s="8">
        <v>21.376500000000004</v>
      </c>
      <c r="L891" s="8">
        <f>Table23[[#This Row],[Revenue]]-Table23[[#This Row],[Total Cost]]</f>
        <v>7.09</v>
      </c>
      <c r="M891" s="16">
        <f>(Table23[[#This Row],[Profit]]/Table23[[#This Row],[Revenue]])</f>
        <v>0.24906469007429782</v>
      </c>
      <c r="N891" t="s">
        <v>33</v>
      </c>
    </row>
    <row r="892" spans="1:14" x14ac:dyDescent="0.25">
      <c r="A892" s="11" t="s">
        <v>62</v>
      </c>
      <c r="B892" s="6">
        <v>45987</v>
      </c>
      <c r="C892" s="11" t="s">
        <v>63</v>
      </c>
      <c r="D892" s="11" t="s">
        <v>36</v>
      </c>
      <c r="E892" s="11" t="s">
        <v>21</v>
      </c>
      <c r="F892" s="11" t="s">
        <v>16</v>
      </c>
      <c r="G892" s="7">
        <v>1</v>
      </c>
      <c r="H892" s="8">
        <v>15.92</v>
      </c>
      <c r="I892" s="13">
        <v>0.1</v>
      </c>
      <c r="J892" s="8">
        <f>(Table23[[#This Row],[Quantity]]*Table23[[#This Row],[Unit Price]])-(Table23[[#This Row],[Unit Price]]*Table23[[#This Row],[Dscount]])*Table23[[#This Row],[Quantity]]</f>
        <v>14.327999999999999</v>
      </c>
      <c r="K892" s="8">
        <v>7.3679999999999994</v>
      </c>
      <c r="L892" s="8">
        <f>Table23[[#This Row],[Revenue]]-Table23[[#This Row],[Total Cost]]</f>
        <v>6.96</v>
      </c>
      <c r="M892" s="16">
        <f>(Table23[[#This Row],[Profit]]/Table23[[#This Row],[Revenue]])</f>
        <v>0.48576214405360135</v>
      </c>
      <c r="N892" t="s">
        <v>33</v>
      </c>
    </row>
    <row r="893" spans="1:14" x14ac:dyDescent="0.25">
      <c r="A893" s="11" t="s">
        <v>1491</v>
      </c>
      <c r="B893" s="6">
        <v>45716</v>
      </c>
      <c r="C893" s="11" t="s">
        <v>717</v>
      </c>
      <c r="D893" s="11" t="s">
        <v>24</v>
      </c>
      <c r="E893" s="11" t="s">
        <v>1420</v>
      </c>
      <c r="F893" s="11" t="s">
        <v>1417</v>
      </c>
      <c r="G893" s="7">
        <v>1</v>
      </c>
      <c r="H893" s="8">
        <v>42.93</v>
      </c>
      <c r="I893" s="13">
        <v>0.15</v>
      </c>
      <c r="J893" s="8">
        <f>(Table23[[#This Row],[Quantity]]*Table23[[#This Row],[Unit Price]])-(Table23[[#This Row],[Unit Price]]*Table23[[#This Row],[Dscount]])*Table23[[#This Row],[Quantity]]</f>
        <v>36.490499999999997</v>
      </c>
      <c r="K893" s="8">
        <v>29.540499999999998</v>
      </c>
      <c r="L893" s="8">
        <f>Table23[[#This Row],[Revenue]]-Table23[[#This Row],[Total Cost]]</f>
        <v>6.9499999999999993</v>
      </c>
      <c r="M893" s="16">
        <f>(Table23[[#This Row],[Profit]]/Table23[[#This Row],[Revenue]])</f>
        <v>0.19046053082309095</v>
      </c>
      <c r="N893" t="s">
        <v>17</v>
      </c>
    </row>
    <row r="894" spans="1:14" x14ac:dyDescent="0.25">
      <c r="A894" s="11" t="s">
        <v>1489</v>
      </c>
      <c r="B894" s="6">
        <v>45380</v>
      </c>
      <c r="C894" s="11" t="s">
        <v>1490</v>
      </c>
      <c r="D894" s="11" t="s">
        <v>31</v>
      </c>
      <c r="E894" s="11" t="s">
        <v>1422</v>
      </c>
      <c r="F894" s="11" t="s">
        <v>1417</v>
      </c>
      <c r="G894" s="7">
        <v>3</v>
      </c>
      <c r="H894" s="8">
        <v>9.4</v>
      </c>
      <c r="I894" s="13">
        <v>0.05</v>
      </c>
      <c r="J894" s="8">
        <f>(Table23[[#This Row],[Quantity]]*Table23[[#This Row],[Unit Price]])-(Table23[[#This Row],[Unit Price]]*Table23[[#This Row],[Dscount]])*Table23[[#This Row],[Quantity]]</f>
        <v>26.790000000000003</v>
      </c>
      <c r="K894" s="8">
        <v>19.860000000000003</v>
      </c>
      <c r="L894" s="8">
        <f>Table23[[#This Row],[Revenue]]-Table23[[#This Row],[Total Cost]]</f>
        <v>6.93</v>
      </c>
      <c r="M894" s="16">
        <f>(Table23[[#This Row],[Profit]]/Table23[[#This Row],[Revenue]])</f>
        <v>0.25867861142217241</v>
      </c>
      <c r="N894" t="s">
        <v>33</v>
      </c>
    </row>
    <row r="895" spans="1:14" x14ac:dyDescent="0.25">
      <c r="A895" s="11" t="s">
        <v>1487</v>
      </c>
      <c r="B895" s="6">
        <v>45731</v>
      </c>
      <c r="C895" s="11" t="s">
        <v>1488</v>
      </c>
      <c r="D895" s="11" t="s">
        <v>14</v>
      </c>
      <c r="E895" s="11" t="s">
        <v>1457</v>
      </c>
      <c r="F895" s="11" t="s">
        <v>1417</v>
      </c>
      <c r="G895" s="7">
        <v>1</v>
      </c>
      <c r="H895" s="8">
        <v>48.97</v>
      </c>
      <c r="I895" s="13">
        <v>0.1</v>
      </c>
      <c r="J895" s="8">
        <f>(Table23[[#This Row],[Quantity]]*Table23[[#This Row],[Unit Price]])-(Table23[[#This Row],[Unit Price]]*Table23[[#This Row],[Dscount]])*Table23[[#This Row],[Quantity]]</f>
        <v>44.073</v>
      </c>
      <c r="K895" s="8">
        <v>37.162999999999997</v>
      </c>
      <c r="L895" s="8">
        <f>Table23[[#This Row],[Revenue]]-Table23[[#This Row],[Total Cost]]</f>
        <v>6.9100000000000037</v>
      </c>
      <c r="M895" s="16">
        <f>(Table23[[#This Row],[Profit]]/Table23[[#This Row],[Revenue]])</f>
        <v>0.15678533342409193</v>
      </c>
      <c r="N895" t="s">
        <v>48</v>
      </c>
    </row>
    <row r="896" spans="1:14" x14ac:dyDescent="0.25">
      <c r="A896" s="11" t="s">
        <v>1150</v>
      </c>
      <c r="B896" s="6">
        <v>45645</v>
      </c>
      <c r="C896" s="11" t="s">
        <v>990</v>
      </c>
      <c r="D896" s="11" t="s">
        <v>36</v>
      </c>
      <c r="E896" s="11" t="s">
        <v>1132</v>
      </c>
      <c r="F896" s="11" t="s">
        <v>1112</v>
      </c>
      <c r="G896" s="7">
        <v>2</v>
      </c>
      <c r="H896" s="8">
        <v>15.53</v>
      </c>
      <c r="I896" s="13">
        <v>0.25</v>
      </c>
      <c r="J896" s="8">
        <f>(Table23[[#This Row],[Quantity]]*Table23[[#This Row],[Unit Price]])-(Table23[[#This Row],[Unit Price]]*Table23[[#This Row],[Dscount]])*Table23[[#This Row],[Quantity]]</f>
        <v>23.294999999999998</v>
      </c>
      <c r="K896" s="8">
        <v>16.384999999999998</v>
      </c>
      <c r="L896" s="8">
        <f>Table23[[#This Row],[Revenue]]-Table23[[#This Row],[Total Cost]]</f>
        <v>6.91</v>
      </c>
      <c r="M896" s="16">
        <f>(Table23[[#This Row],[Profit]]/Table23[[#This Row],[Revenue]])</f>
        <v>0.29663017814981757</v>
      </c>
      <c r="N896" t="s">
        <v>33</v>
      </c>
    </row>
    <row r="897" spans="1:14" x14ac:dyDescent="0.25">
      <c r="A897" s="11" t="s">
        <v>1485</v>
      </c>
      <c r="B897" s="6">
        <v>45491</v>
      </c>
      <c r="C897" s="11" t="s">
        <v>1486</v>
      </c>
      <c r="D897" s="11" t="s">
        <v>36</v>
      </c>
      <c r="E897" s="11" t="s">
        <v>1420</v>
      </c>
      <c r="F897" s="11" t="s">
        <v>1417</v>
      </c>
      <c r="G897" s="7">
        <v>2</v>
      </c>
      <c r="H897" s="8">
        <v>17.25</v>
      </c>
      <c r="I897" s="13">
        <v>0.15</v>
      </c>
      <c r="J897" s="8">
        <f>(Table23[[#This Row],[Quantity]]*Table23[[#This Row],[Unit Price]])-(Table23[[#This Row],[Unit Price]]*Table23[[#This Row],[Dscount]])*Table23[[#This Row],[Quantity]]</f>
        <v>29.324999999999999</v>
      </c>
      <c r="K897" s="8">
        <v>22.494999999999997</v>
      </c>
      <c r="L897" s="8">
        <f>Table23[[#This Row],[Revenue]]-Table23[[#This Row],[Total Cost]]</f>
        <v>6.8300000000000018</v>
      </c>
      <c r="M897" s="16">
        <f>(Table23[[#This Row],[Profit]]/Table23[[#This Row],[Revenue]])</f>
        <v>0.23290707587382786</v>
      </c>
      <c r="N897" t="s">
        <v>33</v>
      </c>
    </row>
    <row r="898" spans="1:14" x14ac:dyDescent="0.25">
      <c r="A898" s="11" t="s">
        <v>485</v>
      </c>
      <c r="B898" s="6">
        <v>45598</v>
      </c>
      <c r="C898" s="11" t="s">
        <v>331</v>
      </c>
      <c r="D898" s="11" t="s">
        <v>36</v>
      </c>
      <c r="E898" s="11" t="s">
        <v>486</v>
      </c>
      <c r="F898" s="11" t="s">
        <v>480</v>
      </c>
      <c r="G898" s="7">
        <v>1</v>
      </c>
      <c r="H898" s="8">
        <v>21.2</v>
      </c>
      <c r="I898" s="13">
        <v>0</v>
      </c>
      <c r="J898" s="8">
        <f>(Table23[[#This Row],[Quantity]]*Table23[[#This Row],[Unit Price]])-(Table23[[#This Row],[Unit Price]]*Table23[[#This Row],[Dscount]])*Table23[[#This Row],[Quantity]]</f>
        <v>21.2</v>
      </c>
      <c r="K898" s="8">
        <v>14.39</v>
      </c>
      <c r="L898" s="8">
        <f>Table23[[#This Row],[Revenue]]-Table23[[#This Row],[Total Cost]]</f>
        <v>6.8099999999999987</v>
      </c>
      <c r="M898" s="16">
        <f>(Table23[[#This Row],[Profit]]/Table23[[#This Row],[Revenue]])</f>
        <v>0.32122641509433958</v>
      </c>
      <c r="N898" t="s">
        <v>33</v>
      </c>
    </row>
    <row r="899" spans="1:14" x14ac:dyDescent="0.25">
      <c r="A899" s="11" t="s">
        <v>1484</v>
      </c>
      <c r="B899" s="6">
        <v>46007</v>
      </c>
      <c r="C899" s="11" t="s">
        <v>76</v>
      </c>
      <c r="D899" s="11" t="s">
        <v>31</v>
      </c>
      <c r="E899" s="11" t="s">
        <v>1426</v>
      </c>
      <c r="F899" s="11" t="s">
        <v>1417</v>
      </c>
      <c r="G899" s="7">
        <v>2</v>
      </c>
      <c r="H899" s="8">
        <v>11.42</v>
      </c>
      <c r="I899" s="13">
        <v>0</v>
      </c>
      <c r="J899" s="8">
        <f>(Table23[[#This Row],[Quantity]]*Table23[[#This Row],[Unit Price]])-(Table23[[#This Row],[Unit Price]]*Table23[[#This Row],[Dscount]])*Table23[[#This Row],[Quantity]]</f>
        <v>22.84</v>
      </c>
      <c r="K899" s="8">
        <v>16.059999999999999</v>
      </c>
      <c r="L899" s="8">
        <f>Table23[[#This Row],[Revenue]]-Table23[[#This Row],[Total Cost]]</f>
        <v>6.7800000000000011</v>
      </c>
      <c r="M899" s="16">
        <f>(Table23[[#This Row],[Profit]]/Table23[[#This Row],[Revenue]])</f>
        <v>0.29684763572679512</v>
      </c>
      <c r="N899" t="s">
        <v>17</v>
      </c>
    </row>
    <row r="900" spans="1:14" x14ac:dyDescent="0.25">
      <c r="A900" s="11" t="s">
        <v>1149</v>
      </c>
      <c r="B900" s="6">
        <v>45341</v>
      </c>
      <c r="C900" s="11" t="s">
        <v>478</v>
      </c>
      <c r="D900" s="11" t="s">
        <v>14</v>
      </c>
      <c r="E900" s="11" t="s">
        <v>1111</v>
      </c>
      <c r="F900" s="11" t="s">
        <v>1112</v>
      </c>
      <c r="G900" s="7">
        <v>1</v>
      </c>
      <c r="H900" s="8">
        <v>30.83</v>
      </c>
      <c r="I900" s="13">
        <v>0.1</v>
      </c>
      <c r="J900" s="8">
        <f>(Table23[[#This Row],[Quantity]]*Table23[[#This Row],[Unit Price]])-(Table23[[#This Row],[Unit Price]]*Table23[[#This Row],[Dscount]])*Table23[[#This Row],[Quantity]]</f>
        <v>27.747</v>
      </c>
      <c r="K900" s="8">
        <v>20.987000000000002</v>
      </c>
      <c r="L900" s="8">
        <f>Table23[[#This Row],[Revenue]]-Table23[[#This Row],[Total Cost]]</f>
        <v>6.759999999999998</v>
      </c>
      <c r="M900" s="16">
        <f>(Table23[[#This Row],[Profit]]/Table23[[#This Row],[Revenue]])</f>
        <v>0.243629941975709</v>
      </c>
      <c r="N900" t="s">
        <v>33</v>
      </c>
    </row>
    <row r="901" spans="1:14" x14ac:dyDescent="0.25">
      <c r="A901" s="11" t="s">
        <v>1482</v>
      </c>
      <c r="B901" s="6">
        <v>45316</v>
      </c>
      <c r="C901" s="11" t="s">
        <v>1483</v>
      </c>
      <c r="D901" s="11" t="s">
        <v>24</v>
      </c>
      <c r="E901" s="11" t="s">
        <v>1429</v>
      </c>
      <c r="F901" s="11" t="s">
        <v>1417</v>
      </c>
      <c r="G901" s="7">
        <v>1</v>
      </c>
      <c r="H901" s="8">
        <v>29.98</v>
      </c>
      <c r="I901" s="13">
        <v>0.05</v>
      </c>
      <c r="J901" s="8">
        <f>(Table23[[#This Row],[Quantity]]*Table23[[#This Row],[Unit Price]])-(Table23[[#This Row],[Unit Price]]*Table23[[#This Row],[Dscount]])*Table23[[#This Row],[Quantity]]</f>
        <v>28.481000000000002</v>
      </c>
      <c r="K901" s="8">
        <v>21.721000000000004</v>
      </c>
      <c r="L901" s="8">
        <f>Table23[[#This Row],[Revenue]]-Table23[[#This Row],[Total Cost]]</f>
        <v>6.759999999999998</v>
      </c>
      <c r="M901" s="16">
        <f>(Table23[[#This Row],[Profit]]/Table23[[#This Row],[Revenue]])</f>
        <v>0.23735121660054062</v>
      </c>
      <c r="N901" t="s">
        <v>33</v>
      </c>
    </row>
    <row r="902" spans="1:14" x14ac:dyDescent="0.25">
      <c r="A902" s="11" t="s">
        <v>1481</v>
      </c>
      <c r="B902" s="6">
        <v>45906</v>
      </c>
      <c r="C902" s="11" t="s">
        <v>729</v>
      </c>
      <c r="D902" s="11" t="s">
        <v>36</v>
      </c>
      <c r="E902" s="11" t="s">
        <v>1443</v>
      </c>
      <c r="F902" s="11" t="s">
        <v>1417</v>
      </c>
      <c r="G902" s="7">
        <v>1</v>
      </c>
      <c r="H902" s="8">
        <v>37.72</v>
      </c>
      <c r="I902" s="13">
        <v>0.2</v>
      </c>
      <c r="J902" s="8">
        <f>(Table23[[#This Row],[Quantity]]*Table23[[#This Row],[Unit Price]])-(Table23[[#This Row],[Unit Price]]*Table23[[#This Row],[Dscount]])*Table23[[#This Row],[Quantity]]</f>
        <v>30.175999999999998</v>
      </c>
      <c r="K902" s="8">
        <v>23.425999999999998</v>
      </c>
      <c r="L902" s="8">
        <f>Table23[[#This Row],[Revenue]]-Table23[[#This Row],[Total Cost]]</f>
        <v>6.75</v>
      </c>
      <c r="M902" s="16">
        <f>(Table23[[#This Row],[Profit]]/Table23[[#This Row],[Revenue]])</f>
        <v>0.22368769883351008</v>
      </c>
      <c r="N902" t="s">
        <v>33</v>
      </c>
    </row>
    <row r="903" spans="1:14" x14ac:dyDescent="0.25">
      <c r="A903" s="11" t="s">
        <v>60</v>
      </c>
      <c r="B903" s="6">
        <v>45457</v>
      </c>
      <c r="C903" s="11" t="s">
        <v>61</v>
      </c>
      <c r="D903" s="11" t="s">
        <v>24</v>
      </c>
      <c r="E903" s="11" t="s">
        <v>21</v>
      </c>
      <c r="F903" s="11" t="s">
        <v>16</v>
      </c>
      <c r="G903" s="7">
        <v>1</v>
      </c>
      <c r="H903" s="8">
        <v>12.42</v>
      </c>
      <c r="I903" s="13">
        <v>0.05</v>
      </c>
      <c r="J903" s="8">
        <f>(Table23[[#This Row],[Quantity]]*Table23[[#This Row],[Unit Price]])-(Table23[[#This Row],[Unit Price]]*Table23[[#This Row],[Dscount]])*Table23[[#This Row],[Quantity]]</f>
        <v>11.798999999999999</v>
      </c>
      <c r="K903" s="8">
        <v>5.1589999999999998</v>
      </c>
      <c r="L903" s="8">
        <f>Table23[[#This Row],[Revenue]]-Table23[[#This Row],[Total Cost]]</f>
        <v>6.64</v>
      </c>
      <c r="M903" s="16">
        <f>(Table23[[#This Row],[Profit]]/Table23[[#This Row],[Revenue]])</f>
        <v>0.56275955589456739</v>
      </c>
      <c r="N903" t="s">
        <v>48</v>
      </c>
    </row>
    <row r="904" spans="1:14" x14ac:dyDescent="0.25">
      <c r="A904" s="11" t="s">
        <v>873</v>
      </c>
      <c r="B904" s="6">
        <v>45803</v>
      </c>
      <c r="C904" s="11" t="s">
        <v>874</v>
      </c>
      <c r="D904" s="11" t="s">
        <v>36</v>
      </c>
      <c r="E904" s="11" t="s">
        <v>837</v>
      </c>
      <c r="F904" s="11" t="s">
        <v>833</v>
      </c>
      <c r="G904" s="7">
        <v>1</v>
      </c>
      <c r="H904" s="8">
        <v>89.84</v>
      </c>
      <c r="I904" s="13">
        <v>0.25</v>
      </c>
      <c r="J904" s="8">
        <f>(Table23[[#This Row],[Quantity]]*Table23[[#This Row],[Unit Price]])-(Table23[[#This Row],[Unit Price]]*Table23[[#This Row],[Dscount]])*Table23[[#This Row],[Quantity]]</f>
        <v>67.38</v>
      </c>
      <c r="K904" s="8">
        <v>60.76</v>
      </c>
      <c r="L904" s="8">
        <f>Table23[[#This Row],[Revenue]]-Table23[[#This Row],[Total Cost]]</f>
        <v>6.6199999999999974</v>
      </c>
      <c r="M904" s="16">
        <f>(Table23[[#This Row],[Profit]]/Table23[[#This Row],[Revenue]])</f>
        <v>9.8248738498070615E-2</v>
      </c>
      <c r="N904" t="s">
        <v>33</v>
      </c>
    </row>
    <row r="905" spans="1:14" x14ac:dyDescent="0.25">
      <c r="A905" s="11" t="s">
        <v>871</v>
      </c>
      <c r="B905" s="6">
        <v>45775</v>
      </c>
      <c r="C905" s="11" t="s">
        <v>872</v>
      </c>
      <c r="D905" s="11" t="s">
        <v>14</v>
      </c>
      <c r="E905" s="11" t="s">
        <v>840</v>
      </c>
      <c r="F905" s="11" t="s">
        <v>833</v>
      </c>
      <c r="G905" s="7">
        <v>1</v>
      </c>
      <c r="H905" s="8">
        <v>85.01</v>
      </c>
      <c r="I905" s="13">
        <v>0.1</v>
      </c>
      <c r="J905" s="8">
        <f>(Table23[[#This Row],[Quantity]]*Table23[[#This Row],[Unit Price]])-(Table23[[#This Row],[Unit Price]]*Table23[[#This Row],[Dscount]])*Table23[[#This Row],[Quantity]]</f>
        <v>76.509</v>
      </c>
      <c r="K905" s="8">
        <v>69.899000000000001</v>
      </c>
      <c r="L905" s="8">
        <f>Table23[[#This Row],[Revenue]]-Table23[[#This Row],[Total Cost]]</f>
        <v>6.6099999999999994</v>
      </c>
      <c r="M905" s="16">
        <f>(Table23[[#This Row],[Profit]]/Table23[[#This Row],[Revenue]])</f>
        <v>8.6395064632918989E-2</v>
      </c>
      <c r="N905" t="s">
        <v>17</v>
      </c>
    </row>
    <row r="906" spans="1:14" x14ac:dyDescent="0.25">
      <c r="A906" s="11" t="s">
        <v>1147</v>
      </c>
      <c r="B906" s="6">
        <v>45727</v>
      </c>
      <c r="C906" s="11" t="s">
        <v>1148</v>
      </c>
      <c r="D906" s="11" t="s">
        <v>14</v>
      </c>
      <c r="E906" s="11" t="s">
        <v>1114</v>
      </c>
      <c r="F906" s="11" t="s">
        <v>1112</v>
      </c>
      <c r="G906" s="7">
        <v>2</v>
      </c>
      <c r="H906" s="8">
        <v>16.329999999999998</v>
      </c>
      <c r="I906" s="13">
        <v>0.1</v>
      </c>
      <c r="J906" s="8">
        <f>(Table23[[#This Row],[Quantity]]*Table23[[#This Row],[Unit Price]])-(Table23[[#This Row],[Unit Price]]*Table23[[#This Row],[Dscount]])*Table23[[#This Row],[Quantity]]</f>
        <v>29.393999999999998</v>
      </c>
      <c r="K906" s="8">
        <v>22.823999999999998</v>
      </c>
      <c r="L906" s="8">
        <f>Table23[[#This Row],[Revenue]]-Table23[[#This Row],[Total Cost]]</f>
        <v>6.57</v>
      </c>
      <c r="M906" s="16">
        <f>(Table23[[#This Row],[Profit]]/Table23[[#This Row],[Revenue]])</f>
        <v>0.22351500306184938</v>
      </c>
      <c r="N906" t="s">
        <v>33</v>
      </c>
    </row>
    <row r="907" spans="1:14" x14ac:dyDescent="0.25">
      <c r="A907" s="11" t="s">
        <v>1146</v>
      </c>
      <c r="B907" s="6">
        <v>45945</v>
      </c>
      <c r="C907" s="11" t="s">
        <v>1099</v>
      </c>
      <c r="D907" s="11" t="s">
        <v>14</v>
      </c>
      <c r="E907" s="11" t="s">
        <v>1120</v>
      </c>
      <c r="F907" s="11" t="s">
        <v>1112</v>
      </c>
      <c r="G907" s="7">
        <v>1</v>
      </c>
      <c r="H907" s="8">
        <v>22.22</v>
      </c>
      <c r="I907" s="13">
        <v>0</v>
      </c>
      <c r="J907" s="8">
        <f>(Table23[[#This Row],[Quantity]]*Table23[[#This Row],[Unit Price]])-(Table23[[#This Row],[Unit Price]]*Table23[[#This Row],[Dscount]])*Table23[[#This Row],[Quantity]]</f>
        <v>22.22</v>
      </c>
      <c r="K907" s="8">
        <v>15.66</v>
      </c>
      <c r="L907" s="8">
        <f>Table23[[#This Row],[Revenue]]-Table23[[#This Row],[Total Cost]]</f>
        <v>6.5599999999999987</v>
      </c>
      <c r="M907" s="16">
        <f>(Table23[[#This Row],[Profit]]/Table23[[#This Row],[Revenue]])</f>
        <v>0.29522952295229521</v>
      </c>
      <c r="N907" t="s">
        <v>17</v>
      </c>
    </row>
    <row r="908" spans="1:14" x14ac:dyDescent="0.25">
      <c r="A908" s="11" t="s">
        <v>1479</v>
      </c>
      <c r="B908" s="6">
        <v>45619</v>
      </c>
      <c r="C908" s="11" t="s">
        <v>1480</v>
      </c>
      <c r="D908" s="11" t="s">
        <v>20</v>
      </c>
      <c r="E908" s="11" t="s">
        <v>1420</v>
      </c>
      <c r="F908" s="11" t="s">
        <v>1417</v>
      </c>
      <c r="G908" s="7">
        <v>1</v>
      </c>
      <c r="H908" s="8">
        <v>26.44</v>
      </c>
      <c r="I908" s="13">
        <v>0.2</v>
      </c>
      <c r="J908" s="8">
        <f>(Table23[[#This Row],[Quantity]]*Table23[[#This Row],[Unit Price]])-(Table23[[#This Row],[Unit Price]]*Table23[[#This Row],[Dscount]])*Table23[[#This Row],[Quantity]]</f>
        <v>21.152000000000001</v>
      </c>
      <c r="K908" s="8">
        <v>14.612000000000002</v>
      </c>
      <c r="L908" s="8">
        <f>Table23[[#This Row],[Revenue]]-Table23[[#This Row],[Total Cost]]</f>
        <v>6.5399999999999991</v>
      </c>
      <c r="M908" s="16">
        <f>(Table23[[#This Row],[Profit]]/Table23[[#This Row],[Revenue]])</f>
        <v>0.30919062027231464</v>
      </c>
      <c r="N908" t="s">
        <v>33</v>
      </c>
    </row>
    <row r="909" spans="1:14" x14ac:dyDescent="0.25">
      <c r="A909" s="11" t="s">
        <v>484</v>
      </c>
      <c r="B909" s="6">
        <v>45598</v>
      </c>
      <c r="C909" s="11" t="s">
        <v>384</v>
      </c>
      <c r="D909" s="11" t="s">
        <v>24</v>
      </c>
      <c r="E909" s="11" t="s">
        <v>483</v>
      </c>
      <c r="F909" s="11" t="s">
        <v>480</v>
      </c>
      <c r="G909" s="7">
        <v>1</v>
      </c>
      <c r="H909" s="8">
        <v>24.11</v>
      </c>
      <c r="I909" s="13">
        <v>0.2</v>
      </c>
      <c r="J909" s="8">
        <f>(Table23[[#This Row],[Quantity]]*Table23[[#This Row],[Unit Price]])-(Table23[[#This Row],[Unit Price]]*Table23[[#This Row],[Dscount]])*Table23[[#This Row],[Quantity]]</f>
        <v>19.288</v>
      </c>
      <c r="K909" s="8">
        <v>12.788</v>
      </c>
      <c r="L909" s="8">
        <f>Table23[[#This Row],[Revenue]]-Table23[[#This Row],[Total Cost]]</f>
        <v>6.5</v>
      </c>
      <c r="M909" s="16">
        <f>(Table23[[#This Row],[Profit]]/Table23[[#This Row],[Revenue]])</f>
        <v>0.33699709664039817</v>
      </c>
      <c r="N909" t="s">
        <v>33</v>
      </c>
    </row>
    <row r="910" spans="1:14" x14ac:dyDescent="0.25">
      <c r="A910" s="11" t="s">
        <v>1476</v>
      </c>
      <c r="B910" s="6">
        <v>45871</v>
      </c>
      <c r="C910" s="11" t="s">
        <v>1477</v>
      </c>
      <c r="D910" s="11" t="s">
        <v>20</v>
      </c>
      <c r="E910" s="11" t="s">
        <v>1478</v>
      </c>
      <c r="F910" s="11" t="s">
        <v>1417</v>
      </c>
      <c r="G910" s="7">
        <v>1</v>
      </c>
      <c r="H910" s="8">
        <v>32.9</v>
      </c>
      <c r="I910" s="13">
        <v>0.2</v>
      </c>
      <c r="J910" s="8">
        <f>(Table23[[#This Row],[Quantity]]*Table23[[#This Row],[Unit Price]])-(Table23[[#This Row],[Unit Price]]*Table23[[#This Row],[Dscount]])*Table23[[#This Row],[Quantity]]</f>
        <v>26.32</v>
      </c>
      <c r="K910" s="8">
        <v>19.82</v>
      </c>
      <c r="L910" s="8">
        <f>Table23[[#This Row],[Revenue]]-Table23[[#This Row],[Total Cost]]</f>
        <v>6.5</v>
      </c>
      <c r="M910" s="16">
        <f>(Table23[[#This Row],[Profit]]/Table23[[#This Row],[Revenue]])</f>
        <v>0.24696048632218845</v>
      </c>
      <c r="N910" t="s">
        <v>33</v>
      </c>
    </row>
    <row r="911" spans="1:14" x14ac:dyDescent="0.25">
      <c r="A911" s="11" t="s">
        <v>1144</v>
      </c>
      <c r="B911" s="6">
        <v>45802</v>
      </c>
      <c r="C911" s="11" t="s">
        <v>1145</v>
      </c>
      <c r="D911" s="11" t="s">
        <v>24</v>
      </c>
      <c r="E911" s="11" t="s">
        <v>1124</v>
      </c>
      <c r="F911" s="11" t="s">
        <v>1112</v>
      </c>
      <c r="G911" s="7">
        <v>1</v>
      </c>
      <c r="H911" s="8">
        <v>33.56</v>
      </c>
      <c r="I911" s="13">
        <v>0.25</v>
      </c>
      <c r="J911" s="8">
        <f>(Table23[[#This Row],[Quantity]]*Table23[[#This Row],[Unit Price]])-(Table23[[#This Row],[Unit Price]]*Table23[[#This Row],[Dscount]])*Table23[[#This Row],[Quantity]]</f>
        <v>25.17</v>
      </c>
      <c r="K911" s="8">
        <v>18.690000000000001</v>
      </c>
      <c r="L911" s="8">
        <f>Table23[[#This Row],[Revenue]]-Table23[[#This Row],[Total Cost]]</f>
        <v>6.48</v>
      </c>
      <c r="M911" s="16">
        <f>(Table23[[#This Row],[Profit]]/Table23[[#This Row],[Revenue]])</f>
        <v>0.25744934445768775</v>
      </c>
      <c r="N911" t="s">
        <v>33</v>
      </c>
    </row>
    <row r="912" spans="1:14" x14ac:dyDescent="0.25">
      <c r="A912" s="11" t="s">
        <v>481</v>
      </c>
      <c r="B912" s="6">
        <v>45641</v>
      </c>
      <c r="C912" s="11" t="s">
        <v>482</v>
      </c>
      <c r="D912" s="11" t="s">
        <v>14</v>
      </c>
      <c r="E912" s="11" t="s">
        <v>483</v>
      </c>
      <c r="F912" s="11" t="s">
        <v>480</v>
      </c>
      <c r="G912" s="7">
        <v>1</v>
      </c>
      <c r="H912" s="8">
        <v>20.79</v>
      </c>
      <c r="I912" s="13">
        <v>0.2</v>
      </c>
      <c r="J912" s="8">
        <f>(Table23[[#This Row],[Quantity]]*Table23[[#This Row],[Unit Price]])-(Table23[[#This Row],[Unit Price]]*Table23[[#This Row],[Dscount]])*Table23[[#This Row],[Quantity]]</f>
        <v>16.631999999999998</v>
      </c>
      <c r="K912" s="8">
        <v>10.161999999999999</v>
      </c>
      <c r="L912" s="8">
        <f>Table23[[#This Row],[Revenue]]-Table23[[#This Row],[Total Cost]]</f>
        <v>6.4699999999999989</v>
      </c>
      <c r="M912" s="16">
        <f>(Table23[[#This Row],[Profit]]/Table23[[#This Row],[Revenue]])</f>
        <v>0.38900913900913897</v>
      </c>
      <c r="N912" t="s">
        <v>48</v>
      </c>
    </row>
    <row r="913" spans="1:14" x14ac:dyDescent="0.25">
      <c r="A913" s="11" t="s">
        <v>58</v>
      </c>
      <c r="B913" s="6">
        <v>45945</v>
      </c>
      <c r="C913" s="11" t="s">
        <v>59</v>
      </c>
      <c r="D913" s="11" t="s">
        <v>20</v>
      </c>
      <c r="E913" s="11" t="s">
        <v>53</v>
      </c>
      <c r="F913" s="11" t="s">
        <v>16</v>
      </c>
      <c r="G913" s="7">
        <v>2</v>
      </c>
      <c r="H913" s="8">
        <v>8.81</v>
      </c>
      <c r="I913" s="13">
        <v>0.1</v>
      </c>
      <c r="J913" s="8">
        <f>(Table23[[#This Row],[Quantity]]*Table23[[#This Row],[Unit Price]])-(Table23[[#This Row],[Unit Price]]*Table23[[#This Row],[Dscount]])*Table23[[#This Row],[Quantity]]</f>
        <v>15.858000000000001</v>
      </c>
      <c r="K913" s="8">
        <v>9.4380000000000006</v>
      </c>
      <c r="L913" s="8">
        <f>Table23[[#This Row],[Revenue]]-Table23[[#This Row],[Total Cost]]</f>
        <v>6.42</v>
      </c>
      <c r="M913" s="16">
        <f>(Table23[[#This Row],[Profit]]/Table23[[#This Row],[Revenue]])</f>
        <v>0.4048429814604616</v>
      </c>
      <c r="N913" t="s">
        <v>17</v>
      </c>
    </row>
    <row r="914" spans="1:14" x14ac:dyDescent="0.25">
      <c r="A914" s="11" t="s">
        <v>477</v>
      </c>
      <c r="B914" s="6">
        <v>46015</v>
      </c>
      <c r="C914" s="11" t="s">
        <v>478</v>
      </c>
      <c r="D914" s="11" t="s">
        <v>24</v>
      </c>
      <c r="E914" s="11" t="s">
        <v>479</v>
      </c>
      <c r="F914" s="11" t="s">
        <v>480</v>
      </c>
      <c r="G914" s="7">
        <v>1</v>
      </c>
      <c r="H914" s="8">
        <v>15.46</v>
      </c>
      <c r="I914" s="13">
        <v>0.1</v>
      </c>
      <c r="J914" s="8">
        <f>(Table23[[#This Row],[Quantity]]*Table23[[#This Row],[Unit Price]])-(Table23[[#This Row],[Unit Price]]*Table23[[#This Row],[Dscount]])*Table23[[#This Row],[Quantity]]</f>
        <v>13.914000000000001</v>
      </c>
      <c r="K914" s="8">
        <v>7.5240000000000018</v>
      </c>
      <c r="L914" s="8">
        <f>Table23[[#This Row],[Revenue]]-Table23[[#This Row],[Total Cost]]</f>
        <v>6.39</v>
      </c>
      <c r="M914" s="16">
        <f>(Table23[[#This Row],[Profit]]/Table23[[#This Row],[Revenue]])</f>
        <v>0.4592496765847347</v>
      </c>
      <c r="N914" t="s">
        <v>33</v>
      </c>
    </row>
    <row r="915" spans="1:14" x14ac:dyDescent="0.25">
      <c r="A915" s="11" t="s">
        <v>1473</v>
      </c>
      <c r="B915" s="6">
        <v>45726</v>
      </c>
      <c r="C915" s="11" t="s">
        <v>1474</v>
      </c>
      <c r="D915" s="11" t="s">
        <v>20</v>
      </c>
      <c r="E915" s="11" t="s">
        <v>1426</v>
      </c>
      <c r="F915" s="11" t="s">
        <v>1417</v>
      </c>
      <c r="G915" s="7">
        <v>1</v>
      </c>
      <c r="H915" s="8">
        <v>19.97</v>
      </c>
      <c r="I915" s="13">
        <v>0</v>
      </c>
      <c r="J915" s="8">
        <f>(Table23[[#This Row],[Quantity]]*Table23[[#This Row],[Unit Price]])-(Table23[[#This Row],[Unit Price]]*Table23[[#This Row],[Dscount]])*Table23[[#This Row],[Quantity]]</f>
        <v>19.97</v>
      </c>
      <c r="K915" s="8">
        <v>13.719999999999999</v>
      </c>
      <c r="L915" s="8">
        <f>Table23[[#This Row],[Revenue]]-Table23[[#This Row],[Total Cost]]</f>
        <v>6.25</v>
      </c>
      <c r="M915" s="16">
        <f>(Table23[[#This Row],[Profit]]/Table23[[#This Row],[Revenue]])</f>
        <v>0.31296945418127192</v>
      </c>
      <c r="N915" t="s">
        <v>48</v>
      </c>
    </row>
    <row r="916" spans="1:14" x14ac:dyDescent="0.25">
      <c r="A916" s="11" t="s">
        <v>1475</v>
      </c>
      <c r="B916" s="6">
        <v>45970</v>
      </c>
      <c r="C916" s="11" t="s">
        <v>1058</v>
      </c>
      <c r="D916" s="11" t="s">
        <v>24</v>
      </c>
      <c r="E916" s="11" t="s">
        <v>1457</v>
      </c>
      <c r="F916" s="11" t="s">
        <v>1417</v>
      </c>
      <c r="G916" s="7">
        <v>1</v>
      </c>
      <c r="H916" s="8">
        <v>30.37</v>
      </c>
      <c r="I916" s="13">
        <v>0.1</v>
      </c>
      <c r="J916" s="8">
        <f>(Table23[[#This Row],[Quantity]]*Table23[[#This Row],[Unit Price]])-(Table23[[#This Row],[Unit Price]]*Table23[[#This Row],[Dscount]])*Table23[[#This Row],[Quantity]]</f>
        <v>27.333000000000002</v>
      </c>
      <c r="K916" s="8">
        <v>21.083000000000002</v>
      </c>
      <c r="L916" s="8">
        <f>Table23[[#This Row],[Revenue]]-Table23[[#This Row],[Total Cost]]</f>
        <v>6.25</v>
      </c>
      <c r="M916" s="16">
        <f>(Table23[[#This Row],[Profit]]/Table23[[#This Row],[Revenue]])</f>
        <v>0.22866132513811144</v>
      </c>
      <c r="N916" t="s">
        <v>33</v>
      </c>
    </row>
    <row r="917" spans="1:14" x14ac:dyDescent="0.25">
      <c r="A917" s="11" t="s">
        <v>1143</v>
      </c>
      <c r="B917" s="6">
        <v>45422</v>
      </c>
      <c r="C917" s="11" t="s">
        <v>671</v>
      </c>
      <c r="D917" s="11" t="s">
        <v>24</v>
      </c>
      <c r="E917" s="11" t="s">
        <v>1124</v>
      </c>
      <c r="F917" s="11" t="s">
        <v>1112</v>
      </c>
      <c r="G917" s="7">
        <v>2</v>
      </c>
      <c r="H917" s="8">
        <v>18.32</v>
      </c>
      <c r="I917" s="13">
        <v>0.25</v>
      </c>
      <c r="J917" s="8">
        <f>(Table23[[#This Row],[Quantity]]*Table23[[#This Row],[Unit Price]])-(Table23[[#This Row],[Unit Price]]*Table23[[#This Row],[Dscount]])*Table23[[#This Row],[Quantity]]</f>
        <v>27.48</v>
      </c>
      <c r="K917" s="8">
        <v>21.240000000000002</v>
      </c>
      <c r="L917" s="8">
        <f>Table23[[#This Row],[Revenue]]-Table23[[#This Row],[Total Cost]]</f>
        <v>6.2399999999999984</v>
      </c>
      <c r="M917" s="16">
        <f>(Table23[[#This Row],[Profit]]/Table23[[#This Row],[Revenue]])</f>
        <v>0.22707423580786021</v>
      </c>
      <c r="N917" t="s">
        <v>17</v>
      </c>
    </row>
    <row r="918" spans="1:14" x14ac:dyDescent="0.25">
      <c r="A918" s="11" t="s">
        <v>1141</v>
      </c>
      <c r="B918" s="6">
        <v>45943</v>
      </c>
      <c r="C918" s="11" t="s">
        <v>1142</v>
      </c>
      <c r="D918" s="11" t="s">
        <v>20</v>
      </c>
      <c r="E918" s="11" t="s">
        <v>1114</v>
      </c>
      <c r="F918" s="11" t="s">
        <v>1112</v>
      </c>
      <c r="G918" s="7">
        <v>1</v>
      </c>
      <c r="H918" s="8">
        <v>16.079999999999998</v>
      </c>
      <c r="I918" s="13">
        <v>0</v>
      </c>
      <c r="J918" s="8">
        <f>(Table23[[#This Row],[Quantity]]*Table23[[#This Row],[Unit Price]])-(Table23[[#This Row],[Unit Price]]*Table23[[#This Row],[Dscount]])*Table23[[#This Row],[Quantity]]</f>
        <v>16.079999999999998</v>
      </c>
      <c r="K918" s="8">
        <v>9.8699999999999974</v>
      </c>
      <c r="L918" s="8">
        <f>Table23[[#This Row],[Revenue]]-Table23[[#This Row],[Total Cost]]</f>
        <v>6.2100000000000009</v>
      </c>
      <c r="M918" s="16">
        <f>(Table23[[#This Row],[Profit]]/Table23[[#This Row],[Revenue]])</f>
        <v>0.38619402985074636</v>
      </c>
      <c r="N918" t="s">
        <v>33</v>
      </c>
    </row>
    <row r="919" spans="1:14" x14ac:dyDescent="0.25">
      <c r="A919" s="11" t="s">
        <v>1472</v>
      </c>
      <c r="B919" s="6">
        <v>45831</v>
      </c>
      <c r="C919" s="11" t="s">
        <v>239</v>
      </c>
      <c r="D919" s="11" t="s">
        <v>24</v>
      </c>
      <c r="E919" s="11" t="s">
        <v>1426</v>
      </c>
      <c r="F919" s="11" t="s">
        <v>1417</v>
      </c>
      <c r="G919" s="7">
        <v>1</v>
      </c>
      <c r="H919" s="8">
        <v>18.27</v>
      </c>
      <c r="I919" s="13">
        <v>0</v>
      </c>
      <c r="J919" s="8">
        <f>(Table23[[#This Row],[Quantity]]*Table23[[#This Row],[Unit Price]])-(Table23[[#This Row],[Unit Price]]*Table23[[#This Row],[Dscount]])*Table23[[#This Row],[Quantity]]</f>
        <v>18.27</v>
      </c>
      <c r="K919" s="8">
        <v>12.14</v>
      </c>
      <c r="L919" s="8">
        <f>Table23[[#This Row],[Revenue]]-Table23[[#This Row],[Total Cost]]</f>
        <v>6.129999999999999</v>
      </c>
      <c r="M919" s="16">
        <f>(Table23[[#This Row],[Profit]]/Table23[[#This Row],[Revenue]])</f>
        <v>0.33552271483305962</v>
      </c>
      <c r="N919" t="s">
        <v>17</v>
      </c>
    </row>
    <row r="920" spans="1:14" x14ac:dyDescent="0.25">
      <c r="A920" s="11" t="s">
        <v>56</v>
      </c>
      <c r="B920" s="6">
        <v>45705</v>
      </c>
      <c r="C920" s="11" t="s">
        <v>57</v>
      </c>
      <c r="D920" s="11" t="s">
        <v>14</v>
      </c>
      <c r="E920" s="11" t="s">
        <v>15</v>
      </c>
      <c r="F920" s="11" t="s">
        <v>16</v>
      </c>
      <c r="G920" s="7">
        <v>1</v>
      </c>
      <c r="H920" s="8">
        <v>12.42</v>
      </c>
      <c r="I920" s="13">
        <v>0</v>
      </c>
      <c r="J920" s="8">
        <f>(Table23[[#This Row],[Quantity]]*Table23[[#This Row],[Unit Price]])-(Table23[[#This Row],[Unit Price]]*Table23[[#This Row],[Dscount]])*Table23[[#This Row],[Quantity]]</f>
        <v>12.42</v>
      </c>
      <c r="K920" s="8">
        <v>6.38</v>
      </c>
      <c r="L920" s="8">
        <f>Table23[[#This Row],[Revenue]]-Table23[[#This Row],[Total Cost]]</f>
        <v>6.04</v>
      </c>
      <c r="M920" s="16">
        <f>(Table23[[#This Row],[Profit]]/Table23[[#This Row],[Revenue]])</f>
        <v>0.48631239935587761</v>
      </c>
      <c r="N920" t="s">
        <v>33</v>
      </c>
    </row>
    <row r="921" spans="1:14" x14ac:dyDescent="0.25">
      <c r="A921" s="11" t="s">
        <v>1140</v>
      </c>
      <c r="B921" s="6">
        <v>45699</v>
      </c>
      <c r="C921" s="11" t="s">
        <v>705</v>
      </c>
      <c r="D921" s="11" t="s">
        <v>24</v>
      </c>
      <c r="E921" s="11" t="s">
        <v>1134</v>
      </c>
      <c r="F921" s="11" t="s">
        <v>1112</v>
      </c>
      <c r="G921" s="7">
        <v>1</v>
      </c>
      <c r="H921" s="8">
        <v>21.18</v>
      </c>
      <c r="I921" s="13">
        <v>0.25</v>
      </c>
      <c r="J921" s="8">
        <f>(Table23[[#This Row],[Quantity]]*Table23[[#This Row],[Unit Price]])-(Table23[[#This Row],[Unit Price]]*Table23[[#This Row],[Dscount]])*Table23[[#This Row],[Quantity]]</f>
        <v>15.885</v>
      </c>
      <c r="K921" s="8">
        <v>9.875</v>
      </c>
      <c r="L921" s="8">
        <f>Table23[[#This Row],[Revenue]]-Table23[[#This Row],[Total Cost]]</f>
        <v>6.01</v>
      </c>
      <c r="M921" s="16">
        <f>(Table23[[#This Row],[Profit]]/Table23[[#This Row],[Revenue]])</f>
        <v>0.37834435001573813</v>
      </c>
      <c r="N921" t="s">
        <v>17</v>
      </c>
    </row>
    <row r="922" spans="1:14" x14ac:dyDescent="0.25">
      <c r="A922" s="11" t="s">
        <v>1470</v>
      </c>
      <c r="B922" s="6">
        <v>45409</v>
      </c>
      <c r="C922" s="11" t="s">
        <v>1471</v>
      </c>
      <c r="D922" s="11" t="s">
        <v>36</v>
      </c>
      <c r="E922" s="11" t="s">
        <v>1420</v>
      </c>
      <c r="F922" s="11" t="s">
        <v>1417</v>
      </c>
      <c r="G922" s="7">
        <v>2</v>
      </c>
      <c r="H922" s="8">
        <v>11.27</v>
      </c>
      <c r="I922" s="13">
        <v>0</v>
      </c>
      <c r="J922" s="8">
        <f>(Table23[[#This Row],[Quantity]]*Table23[[#This Row],[Unit Price]])-(Table23[[#This Row],[Unit Price]]*Table23[[#This Row],[Dscount]])*Table23[[#This Row],[Quantity]]</f>
        <v>22.54</v>
      </c>
      <c r="K922" s="8">
        <v>16.57</v>
      </c>
      <c r="L922" s="8">
        <f>Table23[[#This Row],[Revenue]]-Table23[[#This Row],[Total Cost]]</f>
        <v>5.9699999999999989</v>
      </c>
      <c r="M922" s="16">
        <f>(Table23[[#This Row],[Profit]]/Table23[[#This Row],[Revenue]])</f>
        <v>0.2648624667258207</v>
      </c>
      <c r="N922" t="s">
        <v>33</v>
      </c>
    </row>
    <row r="923" spans="1:14" x14ac:dyDescent="0.25">
      <c r="A923" s="11" t="s">
        <v>1468</v>
      </c>
      <c r="B923" s="6">
        <v>45336</v>
      </c>
      <c r="C923" s="11" t="s">
        <v>1469</v>
      </c>
      <c r="D923" s="11" t="s">
        <v>36</v>
      </c>
      <c r="E923" s="11" t="s">
        <v>1436</v>
      </c>
      <c r="F923" s="11" t="s">
        <v>1417</v>
      </c>
      <c r="G923" s="7">
        <v>1</v>
      </c>
      <c r="H923" s="8">
        <v>31.11</v>
      </c>
      <c r="I923" s="13">
        <v>0</v>
      </c>
      <c r="J923" s="8">
        <f>(Table23[[#This Row],[Quantity]]*Table23[[#This Row],[Unit Price]])-(Table23[[#This Row],[Unit Price]]*Table23[[#This Row],[Dscount]])*Table23[[#This Row],[Quantity]]</f>
        <v>31.11</v>
      </c>
      <c r="K923" s="8">
        <v>25.16</v>
      </c>
      <c r="L923" s="8">
        <f>Table23[[#This Row],[Revenue]]-Table23[[#This Row],[Total Cost]]</f>
        <v>5.9499999999999993</v>
      </c>
      <c r="M923" s="16">
        <f>(Table23[[#This Row],[Profit]]/Table23[[#This Row],[Revenue]])</f>
        <v>0.19125683060109289</v>
      </c>
      <c r="N923" t="s">
        <v>17</v>
      </c>
    </row>
    <row r="924" spans="1:14" x14ac:dyDescent="0.25">
      <c r="A924" s="11" t="s">
        <v>1467</v>
      </c>
      <c r="B924" s="6">
        <v>45853</v>
      </c>
      <c r="C924" s="11" t="s">
        <v>788</v>
      </c>
      <c r="D924" s="11" t="s">
        <v>36</v>
      </c>
      <c r="E924" s="11" t="s">
        <v>1429</v>
      </c>
      <c r="F924" s="11" t="s">
        <v>1417</v>
      </c>
      <c r="G924" s="7">
        <v>1</v>
      </c>
      <c r="H924" s="8">
        <v>23.11</v>
      </c>
      <c r="I924" s="13">
        <v>0.15</v>
      </c>
      <c r="J924" s="8">
        <f>(Table23[[#This Row],[Quantity]]*Table23[[#This Row],[Unit Price]])-(Table23[[#This Row],[Unit Price]]*Table23[[#This Row],[Dscount]])*Table23[[#This Row],[Quantity]]</f>
        <v>19.6435</v>
      </c>
      <c r="K924" s="8">
        <v>13.7235</v>
      </c>
      <c r="L924" s="8">
        <f>Table23[[#This Row],[Revenue]]-Table23[[#This Row],[Total Cost]]</f>
        <v>5.92</v>
      </c>
      <c r="M924" s="16">
        <f>(Table23[[#This Row],[Profit]]/Table23[[#This Row],[Revenue]])</f>
        <v>0.30137195509965131</v>
      </c>
      <c r="N924" t="s">
        <v>33</v>
      </c>
    </row>
    <row r="925" spans="1:14" x14ac:dyDescent="0.25">
      <c r="A925" s="11" t="s">
        <v>869</v>
      </c>
      <c r="B925" s="6">
        <v>45939</v>
      </c>
      <c r="C925" s="11" t="s">
        <v>870</v>
      </c>
      <c r="D925" s="11" t="s">
        <v>20</v>
      </c>
      <c r="E925" s="11" t="s">
        <v>835</v>
      </c>
      <c r="F925" s="11" t="s">
        <v>833</v>
      </c>
      <c r="G925" s="7">
        <v>2</v>
      </c>
      <c r="H925" s="8">
        <v>21.71</v>
      </c>
      <c r="I925" s="13">
        <v>0.2</v>
      </c>
      <c r="J925" s="8">
        <f>(Table23[[#This Row],[Quantity]]*Table23[[#This Row],[Unit Price]])-(Table23[[#This Row],[Unit Price]]*Table23[[#This Row],[Dscount]])*Table23[[#This Row],[Quantity]]</f>
        <v>34.736000000000004</v>
      </c>
      <c r="K925" s="8">
        <v>28.826000000000004</v>
      </c>
      <c r="L925" s="8">
        <f>Table23[[#This Row],[Revenue]]-Table23[[#This Row],[Total Cost]]</f>
        <v>5.91</v>
      </c>
      <c r="M925" s="16">
        <f>(Table23[[#This Row],[Profit]]/Table23[[#This Row],[Revenue]])</f>
        <v>0.1701404882542607</v>
      </c>
      <c r="N925" t="s">
        <v>33</v>
      </c>
    </row>
    <row r="926" spans="1:14" x14ac:dyDescent="0.25">
      <c r="A926" s="11" t="s">
        <v>54</v>
      </c>
      <c r="B926" s="6">
        <v>45340</v>
      </c>
      <c r="C926" s="11" t="s">
        <v>55</v>
      </c>
      <c r="D926" s="11" t="s">
        <v>36</v>
      </c>
      <c r="E926" s="11" t="s">
        <v>32</v>
      </c>
      <c r="F926" s="11" t="s">
        <v>16</v>
      </c>
      <c r="G926" s="7">
        <v>1</v>
      </c>
      <c r="H926" s="8">
        <v>15.62</v>
      </c>
      <c r="I926" s="13">
        <v>0.1</v>
      </c>
      <c r="J926" s="8">
        <f>(Table23[[#This Row],[Quantity]]*Table23[[#This Row],[Unit Price]])-(Table23[[#This Row],[Unit Price]]*Table23[[#This Row],[Dscount]])*Table23[[#This Row],[Quantity]]</f>
        <v>14.058</v>
      </c>
      <c r="K926" s="8">
        <v>8.1780000000000008</v>
      </c>
      <c r="L926" s="8">
        <f>Table23[[#This Row],[Revenue]]-Table23[[#This Row],[Total Cost]]</f>
        <v>5.879999999999999</v>
      </c>
      <c r="M926" s="16">
        <f>(Table23[[#This Row],[Profit]]/Table23[[#This Row],[Revenue]])</f>
        <v>0.41826717883055903</v>
      </c>
      <c r="N926" t="s">
        <v>17</v>
      </c>
    </row>
    <row r="927" spans="1:14" x14ac:dyDescent="0.25">
      <c r="A927" s="11" t="s">
        <v>868</v>
      </c>
      <c r="B927" s="6">
        <v>45628</v>
      </c>
      <c r="C927" s="11" t="s">
        <v>823</v>
      </c>
      <c r="D927" s="11" t="s">
        <v>14</v>
      </c>
      <c r="E927" s="11" t="s">
        <v>840</v>
      </c>
      <c r="F927" s="11" t="s">
        <v>833</v>
      </c>
      <c r="G927" s="7">
        <v>1</v>
      </c>
      <c r="H927" s="8">
        <v>23.97</v>
      </c>
      <c r="I927" s="13">
        <v>0</v>
      </c>
      <c r="J927" s="8">
        <f>(Table23[[#This Row],[Quantity]]*Table23[[#This Row],[Unit Price]])-(Table23[[#This Row],[Unit Price]]*Table23[[#This Row],[Dscount]])*Table23[[#This Row],[Quantity]]</f>
        <v>23.97</v>
      </c>
      <c r="K927" s="8">
        <v>18.13</v>
      </c>
      <c r="L927" s="8">
        <f>Table23[[#This Row],[Revenue]]-Table23[[#This Row],[Total Cost]]</f>
        <v>5.84</v>
      </c>
      <c r="M927" s="16">
        <f>(Table23[[#This Row],[Profit]]/Table23[[#This Row],[Revenue]])</f>
        <v>0.24363788068418857</v>
      </c>
      <c r="N927" t="s">
        <v>33</v>
      </c>
    </row>
    <row r="928" spans="1:14" x14ac:dyDescent="0.25">
      <c r="A928" s="11" t="s">
        <v>866</v>
      </c>
      <c r="B928" s="6">
        <v>45914</v>
      </c>
      <c r="C928" s="11" t="s">
        <v>867</v>
      </c>
      <c r="D928" s="11" t="s">
        <v>24</v>
      </c>
      <c r="E928" s="11" t="s">
        <v>848</v>
      </c>
      <c r="F928" s="11" t="s">
        <v>833</v>
      </c>
      <c r="G928" s="7">
        <v>1</v>
      </c>
      <c r="H928" s="8">
        <v>32.770000000000003</v>
      </c>
      <c r="I928" s="13">
        <v>0</v>
      </c>
      <c r="J928" s="8">
        <f>(Table23[[#This Row],[Quantity]]*Table23[[#This Row],[Unit Price]])-(Table23[[#This Row],[Unit Price]]*Table23[[#This Row],[Dscount]])*Table23[[#This Row],[Quantity]]</f>
        <v>32.770000000000003</v>
      </c>
      <c r="K928" s="8">
        <v>27.000000000000004</v>
      </c>
      <c r="L928" s="8">
        <f>Table23[[#This Row],[Revenue]]-Table23[[#This Row],[Total Cost]]</f>
        <v>5.77</v>
      </c>
      <c r="M928" s="16">
        <f>(Table23[[#This Row],[Profit]]/Table23[[#This Row],[Revenue]])</f>
        <v>0.17607567897467194</v>
      </c>
      <c r="N928" t="s">
        <v>48</v>
      </c>
    </row>
    <row r="929" spans="1:14" x14ac:dyDescent="0.25">
      <c r="A929" s="11" t="s">
        <v>1466</v>
      </c>
      <c r="B929" s="6">
        <v>45762</v>
      </c>
      <c r="C929" s="11" t="s">
        <v>388</v>
      </c>
      <c r="D929" s="11" t="s">
        <v>31</v>
      </c>
      <c r="E929" s="11" t="s">
        <v>1443</v>
      </c>
      <c r="F929" s="11" t="s">
        <v>1417</v>
      </c>
      <c r="G929" s="7">
        <v>1</v>
      </c>
      <c r="H929" s="8">
        <v>37.97</v>
      </c>
      <c r="I929" s="13">
        <v>0.1</v>
      </c>
      <c r="J929" s="8">
        <f>(Table23[[#This Row],[Quantity]]*Table23[[#This Row],[Unit Price]])-(Table23[[#This Row],[Unit Price]]*Table23[[#This Row],[Dscount]])*Table23[[#This Row],[Quantity]]</f>
        <v>34.173000000000002</v>
      </c>
      <c r="K929" s="8">
        <v>28.403000000000002</v>
      </c>
      <c r="L929" s="8">
        <f>Table23[[#This Row],[Revenue]]-Table23[[#This Row],[Total Cost]]</f>
        <v>5.77</v>
      </c>
      <c r="M929" s="16">
        <f>(Table23[[#This Row],[Profit]]/Table23[[#This Row],[Revenue]])</f>
        <v>0.1688467503584701</v>
      </c>
      <c r="N929" t="s">
        <v>48</v>
      </c>
    </row>
    <row r="930" spans="1:14" x14ac:dyDescent="0.25">
      <c r="A930" s="11" t="s">
        <v>865</v>
      </c>
      <c r="B930" s="6">
        <v>45619</v>
      </c>
      <c r="C930" s="11" t="s">
        <v>38</v>
      </c>
      <c r="D930" s="11" t="s">
        <v>14</v>
      </c>
      <c r="E930" s="11" t="s">
        <v>835</v>
      </c>
      <c r="F930" s="11" t="s">
        <v>833</v>
      </c>
      <c r="G930" s="7">
        <v>2</v>
      </c>
      <c r="H930" s="8">
        <v>29.03</v>
      </c>
      <c r="I930" s="13">
        <v>0</v>
      </c>
      <c r="J930" s="8">
        <f>(Table23[[#This Row],[Quantity]]*Table23[[#This Row],[Unit Price]])-(Table23[[#This Row],[Unit Price]]*Table23[[#This Row],[Dscount]])*Table23[[#This Row],[Quantity]]</f>
        <v>58.06</v>
      </c>
      <c r="K930" s="8">
        <v>52.35</v>
      </c>
      <c r="L930" s="8">
        <f>Table23[[#This Row],[Revenue]]-Table23[[#This Row],[Total Cost]]</f>
        <v>5.7100000000000009</v>
      </c>
      <c r="M930" s="16">
        <f>(Table23[[#This Row],[Profit]]/Table23[[#This Row],[Revenue]])</f>
        <v>9.8346538064071662E-2</v>
      </c>
      <c r="N930" t="s">
        <v>33</v>
      </c>
    </row>
    <row r="931" spans="1:14" x14ac:dyDescent="0.25">
      <c r="A931" s="11" t="s">
        <v>1138</v>
      </c>
      <c r="B931" s="6">
        <v>45931</v>
      </c>
      <c r="C931" s="11" t="s">
        <v>1139</v>
      </c>
      <c r="D931" s="11" t="s">
        <v>14</v>
      </c>
      <c r="E931" s="11" t="s">
        <v>1120</v>
      </c>
      <c r="F931" s="11" t="s">
        <v>1112</v>
      </c>
      <c r="G931" s="7">
        <v>1</v>
      </c>
      <c r="H931" s="8">
        <v>15.82</v>
      </c>
      <c r="I931" s="13">
        <v>0.05</v>
      </c>
      <c r="J931" s="8">
        <f>(Table23[[#This Row],[Quantity]]*Table23[[#This Row],[Unit Price]])-(Table23[[#This Row],[Unit Price]]*Table23[[#This Row],[Dscount]])*Table23[[#This Row],[Quantity]]</f>
        <v>15.029</v>
      </c>
      <c r="K931" s="8">
        <v>9.3189999999999991</v>
      </c>
      <c r="L931" s="8">
        <f>Table23[[#This Row],[Revenue]]-Table23[[#This Row],[Total Cost]]</f>
        <v>5.7100000000000009</v>
      </c>
      <c r="M931" s="16">
        <f>(Table23[[#This Row],[Profit]]/Table23[[#This Row],[Revenue]])</f>
        <v>0.3799321312129883</v>
      </c>
      <c r="N931" t="s">
        <v>33</v>
      </c>
    </row>
    <row r="932" spans="1:14" x14ac:dyDescent="0.25">
      <c r="A932" s="11" t="s">
        <v>864</v>
      </c>
      <c r="B932" s="6">
        <v>46007</v>
      </c>
      <c r="C932" s="11" t="s">
        <v>138</v>
      </c>
      <c r="D932" s="11" t="s">
        <v>31</v>
      </c>
      <c r="E932" s="11" t="s">
        <v>858</v>
      </c>
      <c r="F932" s="11" t="s">
        <v>833</v>
      </c>
      <c r="G932" s="7">
        <v>1</v>
      </c>
      <c r="H932" s="8">
        <v>67.91</v>
      </c>
      <c r="I932" s="13">
        <v>0.05</v>
      </c>
      <c r="J932" s="8">
        <f>(Table23[[#This Row],[Quantity]]*Table23[[#This Row],[Unit Price]])-(Table23[[#This Row],[Unit Price]]*Table23[[#This Row],[Dscount]])*Table23[[#This Row],[Quantity]]</f>
        <v>64.514499999999998</v>
      </c>
      <c r="K932" s="8">
        <v>58.834499999999998</v>
      </c>
      <c r="L932" s="8">
        <f>Table23[[#This Row],[Revenue]]-Table23[[#This Row],[Total Cost]]</f>
        <v>5.68</v>
      </c>
      <c r="M932" s="16">
        <f>(Table23[[#This Row],[Profit]]/Table23[[#This Row],[Revenue]])</f>
        <v>8.8042223066132422E-2</v>
      </c>
      <c r="N932" t="s">
        <v>33</v>
      </c>
    </row>
    <row r="933" spans="1:14" x14ac:dyDescent="0.25">
      <c r="A933" s="11" t="s">
        <v>1465</v>
      </c>
      <c r="B933" s="6">
        <v>45402</v>
      </c>
      <c r="C933" s="11" t="s">
        <v>575</v>
      </c>
      <c r="D933" s="11" t="s">
        <v>24</v>
      </c>
      <c r="E933" s="11" t="s">
        <v>1426</v>
      </c>
      <c r="F933" s="11" t="s">
        <v>1417</v>
      </c>
      <c r="G933" s="7">
        <v>1</v>
      </c>
      <c r="H933" s="8">
        <v>29.58</v>
      </c>
      <c r="I933" s="13">
        <v>0.1</v>
      </c>
      <c r="J933" s="8">
        <f>(Table23[[#This Row],[Quantity]]*Table23[[#This Row],[Unit Price]])-(Table23[[#This Row],[Unit Price]]*Table23[[#This Row],[Dscount]])*Table23[[#This Row],[Quantity]]</f>
        <v>26.622</v>
      </c>
      <c r="K933" s="8">
        <v>21.001999999999999</v>
      </c>
      <c r="L933" s="8">
        <f>Table23[[#This Row],[Revenue]]-Table23[[#This Row],[Total Cost]]</f>
        <v>5.620000000000001</v>
      </c>
      <c r="M933" s="16">
        <f>(Table23[[#This Row],[Profit]]/Table23[[#This Row],[Revenue]])</f>
        <v>0.21110359852753366</v>
      </c>
      <c r="N933" t="s">
        <v>33</v>
      </c>
    </row>
    <row r="934" spans="1:14" x14ac:dyDescent="0.25">
      <c r="A934" s="11" t="s">
        <v>862</v>
      </c>
      <c r="B934" s="6">
        <v>45936</v>
      </c>
      <c r="C934" s="11" t="s">
        <v>863</v>
      </c>
      <c r="D934" s="11" t="s">
        <v>36</v>
      </c>
      <c r="E934" s="11" t="s">
        <v>860</v>
      </c>
      <c r="F934" s="11" t="s">
        <v>833</v>
      </c>
      <c r="G934" s="7">
        <v>3</v>
      </c>
      <c r="H934" s="8">
        <v>25.01</v>
      </c>
      <c r="I934" s="13">
        <v>0.1</v>
      </c>
      <c r="J934" s="8">
        <f>(Table23[[#This Row],[Quantity]]*Table23[[#This Row],[Unit Price]])-(Table23[[#This Row],[Unit Price]]*Table23[[#This Row],[Dscount]])*Table23[[#This Row],[Quantity]]</f>
        <v>67.527000000000001</v>
      </c>
      <c r="K934" s="8">
        <v>61.907000000000004</v>
      </c>
      <c r="L934" s="8">
        <f>Table23[[#This Row],[Revenue]]-Table23[[#This Row],[Total Cost]]</f>
        <v>5.6199999999999974</v>
      </c>
      <c r="M934" s="16">
        <f>(Table23[[#This Row],[Profit]]/Table23[[#This Row],[Revenue]])</f>
        <v>8.3225968871710534E-2</v>
      </c>
      <c r="N934" t="s">
        <v>33</v>
      </c>
    </row>
    <row r="935" spans="1:14" x14ac:dyDescent="0.25">
      <c r="A935" s="11" t="s">
        <v>1137</v>
      </c>
      <c r="B935" s="6">
        <v>45361</v>
      </c>
      <c r="C935" s="11" t="s">
        <v>274</v>
      </c>
      <c r="D935" s="11" t="s">
        <v>31</v>
      </c>
      <c r="E935" s="11" t="s">
        <v>1114</v>
      </c>
      <c r="F935" s="11" t="s">
        <v>1112</v>
      </c>
      <c r="G935" s="7">
        <v>1</v>
      </c>
      <c r="H935" s="8">
        <v>15.84</v>
      </c>
      <c r="I935" s="13">
        <v>0</v>
      </c>
      <c r="J935" s="8">
        <f>(Table23[[#This Row],[Quantity]]*Table23[[#This Row],[Unit Price]])-(Table23[[#This Row],[Unit Price]]*Table23[[#This Row],[Dscount]])*Table23[[#This Row],[Quantity]]</f>
        <v>15.84</v>
      </c>
      <c r="K935" s="8">
        <v>10.23</v>
      </c>
      <c r="L935" s="8">
        <f>Table23[[#This Row],[Revenue]]-Table23[[#This Row],[Total Cost]]</f>
        <v>5.6099999999999994</v>
      </c>
      <c r="M935" s="16">
        <f>(Table23[[#This Row],[Profit]]/Table23[[#This Row],[Revenue]])</f>
        <v>0.35416666666666663</v>
      </c>
      <c r="N935" t="s">
        <v>33</v>
      </c>
    </row>
    <row r="936" spans="1:14" x14ac:dyDescent="0.25">
      <c r="A936" s="11" t="s">
        <v>1463</v>
      </c>
      <c r="B936" s="6">
        <v>45818</v>
      </c>
      <c r="C936" s="11" t="s">
        <v>1464</v>
      </c>
      <c r="D936" s="11" t="s">
        <v>14</v>
      </c>
      <c r="E936" s="11" t="s">
        <v>1420</v>
      </c>
      <c r="F936" s="11" t="s">
        <v>1417</v>
      </c>
      <c r="G936" s="7">
        <v>2</v>
      </c>
      <c r="H936" s="8">
        <v>16.43</v>
      </c>
      <c r="I936" s="13">
        <v>0</v>
      </c>
      <c r="J936" s="8">
        <f>(Table23[[#This Row],[Quantity]]*Table23[[#This Row],[Unit Price]])-(Table23[[#This Row],[Unit Price]]*Table23[[#This Row],[Dscount]])*Table23[[#This Row],[Quantity]]</f>
        <v>32.86</v>
      </c>
      <c r="K936" s="8">
        <v>27.33</v>
      </c>
      <c r="L936" s="8">
        <f>Table23[[#This Row],[Revenue]]-Table23[[#This Row],[Total Cost]]</f>
        <v>5.5300000000000011</v>
      </c>
      <c r="M936" s="16">
        <f>(Table23[[#This Row],[Profit]]/Table23[[#This Row],[Revenue]])</f>
        <v>0.16828971393791847</v>
      </c>
      <c r="N936" t="s">
        <v>48</v>
      </c>
    </row>
    <row r="937" spans="1:14" x14ac:dyDescent="0.25">
      <c r="A937" s="11" t="s">
        <v>861</v>
      </c>
      <c r="B937" s="6">
        <v>45360</v>
      </c>
      <c r="C937" s="11" t="s">
        <v>272</v>
      </c>
      <c r="D937" s="11" t="s">
        <v>36</v>
      </c>
      <c r="E937" s="11" t="s">
        <v>843</v>
      </c>
      <c r="F937" s="11" t="s">
        <v>833</v>
      </c>
      <c r="G937" s="7">
        <v>2</v>
      </c>
      <c r="H937" s="8">
        <v>22.59</v>
      </c>
      <c r="I937" s="13">
        <v>0.1</v>
      </c>
      <c r="J937" s="8">
        <f>(Table23[[#This Row],[Quantity]]*Table23[[#This Row],[Unit Price]])-(Table23[[#This Row],[Unit Price]]*Table23[[#This Row],[Dscount]])*Table23[[#This Row],[Quantity]]</f>
        <v>40.661999999999999</v>
      </c>
      <c r="K937" s="8">
        <v>35.161999999999999</v>
      </c>
      <c r="L937" s="8">
        <f>Table23[[#This Row],[Revenue]]-Table23[[#This Row],[Total Cost]]</f>
        <v>5.5</v>
      </c>
      <c r="M937" s="16">
        <f>(Table23[[#This Row],[Profit]]/Table23[[#This Row],[Revenue]])</f>
        <v>0.13526142344203435</v>
      </c>
      <c r="N937" t="s">
        <v>17</v>
      </c>
    </row>
    <row r="938" spans="1:14" x14ac:dyDescent="0.25">
      <c r="A938" s="11" t="s">
        <v>1462</v>
      </c>
      <c r="B938" s="6">
        <v>45655</v>
      </c>
      <c r="C938" s="11" t="s">
        <v>1005</v>
      </c>
      <c r="D938" s="11" t="s">
        <v>24</v>
      </c>
      <c r="E938" s="11" t="s">
        <v>1436</v>
      </c>
      <c r="F938" s="11" t="s">
        <v>1417</v>
      </c>
      <c r="G938" s="7">
        <v>2</v>
      </c>
      <c r="H938" s="8">
        <v>15.05</v>
      </c>
      <c r="I938" s="13">
        <v>0</v>
      </c>
      <c r="J938" s="8">
        <f>(Table23[[#This Row],[Quantity]]*Table23[[#This Row],[Unit Price]])-(Table23[[#This Row],[Unit Price]]*Table23[[#This Row],[Dscount]])*Table23[[#This Row],[Quantity]]</f>
        <v>30.1</v>
      </c>
      <c r="K938" s="8">
        <v>24.73</v>
      </c>
      <c r="L938" s="8">
        <f>Table23[[#This Row],[Revenue]]-Table23[[#This Row],[Total Cost]]</f>
        <v>5.370000000000001</v>
      </c>
      <c r="M938" s="16">
        <f>(Table23[[#This Row],[Profit]]/Table23[[#This Row],[Revenue]])</f>
        <v>0.17840531561461798</v>
      </c>
      <c r="N938" t="s">
        <v>48</v>
      </c>
    </row>
    <row r="939" spans="1:14" x14ac:dyDescent="0.25">
      <c r="A939" s="11" t="s">
        <v>51</v>
      </c>
      <c r="B939" s="6">
        <v>45943</v>
      </c>
      <c r="C939" s="11" t="s">
        <v>52</v>
      </c>
      <c r="D939" s="11" t="s">
        <v>14</v>
      </c>
      <c r="E939" s="11" t="s">
        <v>53</v>
      </c>
      <c r="F939" s="11" t="s">
        <v>16</v>
      </c>
      <c r="G939" s="7">
        <v>1</v>
      </c>
      <c r="H939" s="8">
        <v>9.92</v>
      </c>
      <c r="I939" s="13">
        <v>0</v>
      </c>
      <c r="J939" s="8">
        <f>(Table23[[#This Row],[Quantity]]*Table23[[#This Row],[Unit Price]])-(Table23[[#This Row],[Unit Price]]*Table23[[#This Row],[Dscount]])*Table23[[#This Row],[Quantity]]</f>
        <v>9.92</v>
      </c>
      <c r="K939" s="8">
        <v>4.57</v>
      </c>
      <c r="L939" s="8">
        <f>Table23[[#This Row],[Revenue]]-Table23[[#This Row],[Total Cost]]</f>
        <v>5.35</v>
      </c>
      <c r="M939" s="16">
        <f>(Table23[[#This Row],[Profit]]/Table23[[#This Row],[Revenue]])</f>
        <v>0.53931451612903225</v>
      </c>
      <c r="N939" t="s">
        <v>17</v>
      </c>
    </row>
    <row r="940" spans="1:14" x14ac:dyDescent="0.25">
      <c r="A940" s="11" t="s">
        <v>1461</v>
      </c>
      <c r="B940" s="6">
        <v>45620</v>
      </c>
      <c r="C940" s="11" t="s">
        <v>678</v>
      </c>
      <c r="D940" s="11" t="s">
        <v>24</v>
      </c>
      <c r="E940" s="11" t="s">
        <v>1429</v>
      </c>
      <c r="F940" s="11" t="s">
        <v>1417</v>
      </c>
      <c r="G940" s="7">
        <v>2</v>
      </c>
      <c r="H940" s="8">
        <v>9.2200000000000006</v>
      </c>
      <c r="I940" s="13">
        <v>0.05</v>
      </c>
      <c r="J940" s="8">
        <f>(Table23[[#This Row],[Quantity]]*Table23[[#This Row],[Unit Price]])-(Table23[[#This Row],[Unit Price]]*Table23[[#This Row],[Dscount]])*Table23[[#This Row],[Quantity]]</f>
        <v>17.518000000000001</v>
      </c>
      <c r="K940" s="8">
        <v>12.198</v>
      </c>
      <c r="L940" s="8">
        <f>Table23[[#This Row],[Revenue]]-Table23[[#This Row],[Total Cost]]</f>
        <v>5.32</v>
      </c>
      <c r="M940" s="16">
        <f>(Table23[[#This Row],[Profit]]/Table23[[#This Row],[Revenue]])</f>
        <v>0.3036876355748373</v>
      </c>
      <c r="N940" t="s">
        <v>17</v>
      </c>
    </row>
    <row r="941" spans="1:14" x14ac:dyDescent="0.25">
      <c r="A941" s="11" t="s">
        <v>1459</v>
      </c>
      <c r="B941" s="6">
        <v>45962</v>
      </c>
      <c r="C941" s="11" t="s">
        <v>1356</v>
      </c>
      <c r="D941" s="11" t="s">
        <v>31</v>
      </c>
      <c r="E941" s="11" t="s">
        <v>1436</v>
      </c>
      <c r="F941" s="11" t="s">
        <v>1417</v>
      </c>
      <c r="G941" s="7">
        <v>1</v>
      </c>
      <c r="H941" s="8">
        <v>22.9</v>
      </c>
      <c r="I941" s="13">
        <v>0</v>
      </c>
      <c r="J941" s="8">
        <f>(Table23[[#This Row],[Quantity]]*Table23[[#This Row],[Unit Price]])-(Table23[[#This Row],[Unit Price]]*Table23[[#This Row],[Dscount]])*Table23[[#This Row],[Quantity]]</f>
        <v>22.9</v>
      </c>
      <c r="K941" s="8">
        <v>17.599999999999998</v>
      </c>
      <c r="L941" s="8">
        <f>Table23[[#This Row],[Revenue]]-Table23[[#This Row],[Total Cost]]</f>
        <v>5.3000000000000007</v>
      </c>
      <c r="M941" s="16">
        <f>(Table23[[#This Row],[Profit]]/Table23[[#This Row],[Revenue]])</f>
        <v>0.23144104803493454</v>
      </c>
      <c r="N941" t="s">
        <v>17</v>
      </c>
    </row>
    <row r="942" spans="1:14" x14ac:dyDescent="0.25">
      <c r="A942" s="11" t="s">
        <v>1460</v>
      </c>
      <c r="B942" s="6">
        <v>45635</v>
      </c>
      <c r="C942" s="11" t="s">
        <v>971</v>
      </c>
      <c r="D942" s="11" t="s">
        <v>36</v>
      </c>
      <c r="E942" s="11" t="s">
        <v>1429</v>
      </c>
      <c r="F942" s="11" t="s">
        <v>1417</v>
      </c>
      <c r="G942" s="7">
        <v>2</v>
      </c>
      <c r="H942" s="8">
        <v>13.83</v>
      </c>
      <c r="I942" s="13">
        <v>0.05</v>
      </c>
      <c r="J942" s="8">
        <f>(Table23[[#This Row],[Quantity]]*Table23[[#This Row],[Unit Price]])-(Table23[[#This Row],[Unit Price]]*Table23[[#This Row],[Dscount]])*Table23[[#This Row],[Quantity]]</f>
        <v>26.277000000000001</v>
      </c>
      <c r="K942" s="8">
        <v>20.977</v>
      </c>
      <c r="L942" s="8">
        <f>Table23[[#This Row],[Revenue]]-Table23[[#This Row],[Total Cost]]</f>
        <v>5.3000000000000007</v>
      </c>
      <c r="M942" s="16">
        <f>(Table23[[#This Row],[Profit]]/Table23[[#This Row],[Revenue]])</f>
        <v>0.20169730182288695</v>
      </c>
      <c r="N942" t="s">
        <v>33</v>
      </c>
    </row>
    <row r="943" spans="1:14" x14ac:dyDescent="0.25">
      <c r="A943" s="11" t="s">
        <v>859</v>
      </c>
      <c r="B943" s="6">
        <v>45860</v>
      </c>
      <c r="C943" s="11" t="s">
        <v>35</v>
      </c>
      <c r="D943" s="11" t="s">
        <v>24</v>
      </c>
      <c r="E943" s="11" t="s">
        <v>860</v>
      </c>
      <c r="F943" s="11" t="s">
        <v>833</v>
      </c>
      <c r="G943" s="7">
        <v>1</v>
      </c>
      <c r="H943" s="8">
        <v>37.9</v>
      </c>
      <c r="I943" s="13">
        <v>0</v>
      </c>
      <c r="J943" s="8">
        <f>(Table23[[#This Row],[Quantity]]*Table23[[#This Row],[Unit Price]])-(Table23[[#This Row],[Unit Price]]*Table23[[#This Row],[Dscount]])*Table23[[#This Row],[Quantity]]</f>
        <v>37.9</v>
      </c>
      <c r="K943" s="8">
        <v>32.619999999999997</v>
      </c>
      <c r="L943" s="8">
        <f>Table23[[#This Row],[Revenue]]-Table23[[#This Row],[Total Cost]]</f>
        <v>5.2800000000000011</v>
      </c>
      <c r="M943" s="16">
        <f>(Table23[[#This Row],[Profit]]/Table23[[#This Row],[Revenue]])</f>
        <v>0.13931398416886548</v>
      </c>
      <c r="N943" t="s">
        <v>17</v>
      </c>
    </row>
    <row r="944" spans="1:14" x14ac:dyDescent="0.25">
      <c r="A944" s="11" t="s">
        <v>857</v>
      </c>
      <c r="B944" s="6">
        <v>45432</v>
      </c>
      <c r="C944" s="11" t="s">
        <v>746</v>
      </c>
      <c r="D944" s="11" t="s">
        <v>20</v>
      </c>
      <c r="E944" s="11" t="s">
        <v>858</v>
      </c>
      <c r="F944" s="11" t="s">
        <v>833</v>
      </c>
      <c r="G944" s="7">
        <v>2</v>
      </c>
      <c r="H944" s="8">
        <v>24.86</v>
      </c>
      <c r="I944" s="13">
        <v>0.1</v>
      </c>
      <c r="J944" s="8">
        <f>(Table23[[#This Row],[Quantity]]*Table23[[#This Row],[Unit Price]])-(Table23[[#This Row],[Unit Price]]*Table23[[#This Row],[Dscount]])*Table23[[#This Row],[Quantity]]</f>
        <v>44.747999999999998</v>
      </c>
      <c r="K944" s="8">
        <v>39.577999999999996</v>
      </c>
      <c r="L944" s="8">
        <f>Table23[[#This Row],[Revenue]]-Table23[[#This Row],[Total Cost]]</f>
        <v>5.1700000000000017</v>
      </c>
      <c r="M944" s="16">
        <f>(Table23[[#This Row],[Profit]]/Table23[[#This Row],[Revenue]])</f>
        <v>0.1155358898721731</v>
      </c>
      <c r="N944" t="s">
        <v>33</v>
      </c>
    </row>
    <row r="945" spans="1:14" x14ac:dyDescent="0.25">
      <c r="A945" s="11" t="s">
        <v>1135</v>
      </c>
      <c r="B945" s="6">
        <v>45401</v>
      </c>
      <c r="C945" s="11" t="s">
        <v>1136</v>
      </c>
      <c r="D945" s="11" t="s">
        <v>14</v>
      </c>
      <c r="E945" s="11" t="s">
        <v>1134</v>
      </c>
      <c r="F945" s="11" t="s">
        <v>1112</v>
      </c>
      <c r="G945" s="7">
        <v>1</v>
      </c>
      <c r="H945" s="8">
        <v>15.21</v>
      </c>
      <c r="I945" s="13">
        <v>0.1</v>
      </c>
      <c r="J945" s="8">
        <f>(Table23[[#This Row],[Quantity]]*Table23[[#This Row],[Unit Price]])-(Table23[[#This Row],[Unit Price]]*Table23[[#This Row],[Dscount]])*Table23[[#This Row],[Quantity]]</f>
        <v>13.689</v>
      </c>
      <c r="K945" s="8">
        <v>8.5190000000000001</v>
      </c>
      <c r="L945" s="8">
        <f>Table23[[#This Row],[Revenue]]-Table23[[#This Row],[Total Cost]]</f>
        <v>5.17</v>
      </c>
      <c r="M945" s="16">
        <f>(Table23[[#This Row],[Profit]]/Table23[[#This Row],[Revenue]])</f>
        <v>0.37767550588063409</v>
      </c>
      <c r="N945" t="s">
        <v>17</v>
      </c>
    </row>
    <row r="946" spans="1:14" x14ac:dyDescent="0.25">
      <c r="A946" s="11" t="s">
        <v>1458</v>
      </c>
      <c r="B946" s="6">
        <v>45585</v>
      </c>
      <c r="C946" s="11" t="s">
        <v>1119</v>
      </c>
      <c r="D946" s="11" t="s">
        <v>36</v>
      </c>
      <c r="E946" s="11" t="s">
        <v>1429</v>
      </c>
      <c r="F946" s="11" t="s">
        <v>1417</v>
      </c>
      <c r="G946" s="7">
        <v>2</v>
      </c>
      <c r="H946" s="8">
        <v>16.010000000000002</v>
      </c>
      <c r="I946" s="13">
        <v>0</v>
      </c>
      <c r="J946" s="8">
        <f>(Table23[[#This Row],[Quantity]]*Table23[[#This Row],[Unit Price]])-(Table23[[#This Row],[Unit Price]]*Table23[[#This Row],[Dscount]])*Table23[[#This Row],[Quantity]]</f>
        <v>32.020000000000003</v>
      </c>
      <c r="K946" s="8">
        <v>26.900000000000002</v>
      </c>
      <c r="L946" s="8">
        <f>Table23[[#This Row],[Revenue]]-Table23[[#This Row],[Total Cost]]</f>
        <v>5.120000000000001</v>
      </c>
      <c r="M946" s="16">
        <f>(Table23[[#This Row],[Profit]]/Table23[[#This Row],[Revenue]])</f>
        <v>0.15990006246096192</v>
      </c>
      <c r="N946" t="s">
        <v>17</v>
      </c>
    </row>
    <row r="947" spans="1:14" x14ac:dyDescent="0.25">
      <c r="A947" s="11" t="s">
        <v>1133</v>
      </c>
      <c r="B947" s="6">
        <v>45549</v>
      </c>
      <c r="C947" s="11" t="s">
        <v>950</v>
      </c>
      <c r="D947" s="11" t="s">
        <v>36</v>
      </c>
      <c r="E947" s="11" t="s">
        <v>1134</v>
      </c>
      <c r="F947" s="11" t="s">
        <v>1112</v>
      </c>
      <c r="G947" s="7">
        <v>1</v>
      </c>
      <c r="H947" s="8">
        <v>26.83</v>
      </c>
      <c r="I947" s="13">
        <v>0.1</v>
      </c>
      <c r="J947" s="8">
        <f>(Table23[[#This Row],[Quantity]]*Table23[[#This Row],[Unit Price]])-(Table23[[#This Row],[Unit Price]]*Table23[[#This Row],[Dscount]])*Table23[[#This Row],[Quantity]]</f>
        <v>24.146999999999998</v>
      </c>
      <c r="K947" s="8">
        <v>19.166999999999998</v>
      </c>
      <c r="L947" s="8">
        <f>Table23[[#This Row],[Revenue]]-Table23[[#This Row],[Total Cost]]</f>
        <v>4.9800000000000004</v>
      </c>
      <c r="M947" s="16">
        <f>(Table23[[#This Row],[Profit]]/Table23[[#This Row],[Revenue]])</f>
        <v>0.20623679960243513</v>
      </c>
      <c r="N947" t="s">
        <v>17</v>
      </c>
    </row>
    <row r="948" spans="1:14" x14ac:dyDescent="0.25">
      <c r="A948" s="11" t="s">
        <v>854</v>
      </c>
      <c r="B948" s="6">
        <v>45915</v>
      </c>
      <c r="C948" s="11" t="s">
        <v>855</v>
      </c>
      <c r="D948" s="11" t="s">
        <v>36</v>
      </c>
      <c r="E948" s="11" t="s">
        <v>856</v>
      </c>
      <c r="F948" s="11" t="s">
        <v>833</v>
      </c>
      <c r="G948" s="7">
        <v>1</v>
      </c>
      <c r="H948" s="8">
        <v>56.73</v>
      </c>
      <c r="I948" s="13">
        <v>0</v>
      </c>
      <c r="J948" s="8">
        <f>(Table23[[#This Row],[Quantity]]*Table23[[#This Row],[Unit Price]])-(Table23[[#This Row],[Unit Price]]*Table23[[#This Row],[Dscount]])*Table23[[#This Row],[Quantity]]</f>
        <v>56.73</v>
      </c>
      <c r="K948" s="8">
        <v>51.75</v>
      </c>
      <c r="L948" s="8">
        <f>Table23[[#This Row],[Revenue]]-Table23[[#This Row],[Total Cost]]</f>
        <v>4.9799999999999969</v>
      </c>
      <c r="M948" s="16">
        <f>(Table23[[#This Row],[Profit]]/Table23[[#This Row],[Revenue]])</f>
        <v>8.7784241142252722E-2</v>
      </c>
      <c r="N948" t="s">
        <v>33</v>
      </c>
    </row>
    <row r="949" spans="1:14" x14ac:dyDescent="0.25">
      <c r="A949" s="11" t="s">
        <v>1455</v>
      </c>
      <c r="B949" s="6">
        <v>45392</v>
      </c>
      <c r="C949" s="11" t="s">
        <v>1456</v>
      </c>
      <c r="D949" s="11" t="s">
        <v>24</v>
      </c>
      <c r="E949" s="11" t="s">
        <v>1457</v>
      </c>
      <c r="F949" s="11" t="s">
        <v>1417</v>
      </c>
      <c r="G949" s="7">
        <v>1</v>
      </c>
      <c r="H949" s="8">
        <v>16.12</v>
      </c>
      <c r="I949" s="13">
        <v>0</v>
      </c>
      <c r="J949" s="8">
        <f>(Table23[[#This Row],[Quantity]]*Table23[[#This Row],[Unit Price]])-(Table23[[#This Row],[Unit Price]]*Table23[[#This Row],[Dscount]])*Table23[[#This Row],[Quantity]]</f>
        <v>16.12</v>
      </c>
      <c r="K949" s="8">
        <v>11.16</v>
      </c>
      <c r="L949" s="8">
        <f>Table23[[#This Row],[Revenue]]-Table23[[#This Row],[Total Cost]]</f>
        <v>4.9600000000000009</v>
      </c>
      <c r="M949" s="16">
        <f>(Table23[[#This Row],[Profit]]/Table23[[#This Row],[Revenue]])</f>
        <v>0.30769230769230771</v>
      </c>
      <c r="N949" t="s">
        <v>33</v>
      </c>
    </row>
    <row r="950" spans="1:14" x14ac:dyDescent="0.25">
      <c r="A950" s="11" t="s">
        <v>49</v>
      </c>
      <c r="B950" s="6">
        <v>46000</v>
      </c>
      <c r="C950" s="11" t="s">
        <v>50</v>
      </c>
      <c r="D950" s="11" t="s">
        <v>36</v>
      </c>
      <c r="E950" s="11" t="s">
        <v>47</v>
      </c>
      <c r="F950" s="11" t="s">
        <v>16</v>
      </c>
      <c r="G950" s="7">
        <v>1</v>
      </c>
      <c r="H950" s="8">
        <v>10.56</v>
      </c>
      <c r="I950" s="13">
        <v>0.1</v>
      </c>
      <c r="J950" s="8">
        <f>(Table23[[#This Row],[Quantity]]*Table23[[#This Row],[Unit Price]])-(Table23[[#This Row],[Unit Price]]*Table23[[#This Row],[Dscount]])*Table23[[#This Row],[Quantity]]</f>
        <v>9.5040000000000013</v>
      </c>
      <c r="K950" s="8">
        <v>4.6540000000000017</v>
      </c>
      <c r="L950" s="8">
        <f>Table23[[#This Row],[Revenue]]-Table23[[#This Row],[Total Cost]]</f>
        <v>4.8499999999999996</v>
      </c>
      <c r="M950" s="16">
        <f>(Table23[[#This Row],[Profit]]/Table23[[#This Row],[Revenue]])</f>
        <v>0.51031144781144766</v>
      </c>
      <c r="N950" t="s">
        <v>33</v>
      </c>
    </row>
    <row r="951" spans="1:14" x14ac:dyDescent="0.25">
      <c r="A951" s="11" t="s">
        <v>853</v>
      </c>
      <c r="B951" s="6">
        <v>45327</v>
      </c>
      <c r="C951" s="11" t="s">
        <v>190</v>
      </c>
      <c r="D951" s="11" t="s">
        <v>14</v>
      </c>
      <c r="E951" s="11" t="s">
        <v>846</v>
      </c>
      <c r="F951" s="11" t="s">
        <v>833</v>
      </c>
      <c r="G951" s="7">
        <v>1</v>
      </c>
      <c r="H951" s="8">
        <v>32.4</v>
      </c>
      <c r="I951" s="13">
        <v>0</v>
      </c>
      <c r="J951" s="8">
        <f>(Table23[[#This Row],[Quantity]]*Table23[[#This Row],[Unit Price]])-(Table23[[#This Row],[Unit Price]]*Table23[[#This Row],[Dscount]])*Table23[[#This Row],[Quantity]]</f>
        <v>32.4</v>
      </c>
      <c r="K951" s="8">
        <v>27.58</v>
      </c>
      <c r="L951" s="8">
        <f>Table23[[#This Row],[Revenue]]-Table23[[#This Row],[Total Cost]]</f>
        <v>4.82</v>
      </c>
      <c r="M951" s="16">
        <f>(Table23[[#This Row],[Profit]]/Table23[[#This Row],[Revenue]])</f>
        <v>0.14876543209876544</v>
      </c>
      <c r="N951" t="s">
        <v>17</v>
      </c>
    </row>
    <row r="952" spans="1:14" x14ac:dyDescent="0.25">
      <c r="A952" s="11" t="s">
        <v>1131</v>
      </c>
      <c r="B952" s="6">
        <v>45487</v>
      </c>
      <c r="C952" s="11" t="s">
        <v>1085</v>
      </c>
      <c r="D952" s="11" t="s">
        <v>14</v>
      </c>
      <c r="E952" s="11" t="s">
        <v>1132</v>
      </c>
      <c r="F952" s="11" t="s">
        <v>1112</v>
      </c>
      <c r="G952" s="7">
        <v>1</v>
      </c>
      <c r="H952" s="8">
        <v>15.51</v>
      </c>
      <c r="I952" s="13">
        <v>0.2</v>
      </c>
      <c r="J952" s="8">
        <f>(Table23[[#This Row],[Quantity]]*Table23[[#This Row],[Unit Price]])-(Table23[[#This Row],[Unit Price]]*Table23[[#This Row],[Dscount]])*Table23[[#This Row],[Quantity]]</f>
        <v>12.407999999999999</v>
      </c>
      <c r="K952" s="8">
        <v>7.6179999999999994</v>
      </c>
      <c r="L952" s="8">
        <f>Table23[[#This Row],[Revenue]]-Table23[[#This Row],[Total Cost]]</f>
        <v>4.79</v>
      </c>
      <c r="M952" s="16">
        <f>(Table23[[#This Row],[Profit]]/Table23[[#This Row],[Revenue]])</f>
        <v>0.38604126370083819</v>
      </c>
      <c r="N952" t="s">
        <v>48</v>
      </c>
    </row>
    <row r="953" spans="1:14" x14ac:dyDescent="0.25">
      <c r="A953" s="11" t="s">
        <v>45</v>
      </c>
      <c r="B953" s="6">
        <v>45616</v>
      </c>
      <c r="C953" s="11" t="s">
        <v>46</v>
      </c>
      <c r="D953" s="11" t="s">
        <v>31</v>
      </c>
      <c r="E953" s="11" t="s">
        <v>47</v>
      </c>
      <c r="F953" s="11" t="s">
        <v>16</v>
      </c>
      <c r="G953" s="7">
        <v>1</v>
      </c>
      <c r="H953" s="8">
        <v>12.31</v>
      </c>
      <c r="I953" s="13">
        <v>0.1</v>
      </c>
      <c r="J953" s="8">
        <f>(Table23[[#This Row],[Quantity]]*Table23[[#This Row],[Unit Price]])-(Table23[[#This Row],[Unit Price]]*Table23[[#This Row],[Dscount]])*Table23[[#This Row],[Quantity]]</f>
        <v>11.079000000000001</v>
      </c>
      <c r="K953" s="8">
        <v>6.3990000000000009</v>
      </c>
      <c r="L953" s="8">
        <f>Table23[[#This Row],[Revenue]]-Table23[[#This Row],[Total Cost]]</f>
        <v>4.68</v>
      </c>
      <c r="M953" s="16">
        <f>(Table23[[#This Row],[Profit]]/Table23[[#This Row],[Revenue]])</f>
        <v>0.42242079610073108</v>
      </c>
      <c r="N953" t="s">
        <v>48</v>
      </c>
    </row>
    <row r="954" spans="1:14" x14ac:dyDescent="0.25">
      <c r="A954" s="11" t="s">
        <v>1454</v>
      </c>
      <c r="B954" s="6">
        <v>45316</v>
      </c>
      <c r="C954" s="11" t="s">
        <v>446</v>
      </c>
      <c r="D954" s="11" t="s">
        <v>20</v>
      </c>
      <c r="E954" s="11" t="s">
        <v>1436</v>
      </c>
      <c r="F954" s="11" t="s">
        <v>1417</v>
      </c>
      <c r="G954" s="7">
        <v>1</v>
      </c>
      <c r="H954" s="8">
        <v>24.47</v>
      </c>
      <c r="I954" s="13">
        <v>0.2</v>
      </c>
      <c r="J954" s="8">
        <f>(Table23[[#This Row],[Quantity]]*Table23[[#This Row],[Unit Price]])-(Table23[[#This Row],[Unit Price]]*Table23[[#This Row],[Dscount]])*Table23[[#This Row],[Quantity]]</f>
        <v>19.576000000000001</v>
      </c>
      <c r="K954" s="8">
        <v>14.956</v>
      </c>
      <c r="L954" s="8">
        <f>Table23[[#This Row],[Revenue]]-Table23[[#This Row],[Total Cost]]</f>
        <v>4.620000000000001</v>
      </c>
      <c r="M954" s="16">
        <f>(Table23[[#This Row],[Profit]]/Table23[[#This Row],[Revenue]])</f>
        <v>0.23600326930935844</v>
      </c>
      <c r="N954" t="s">
        <v>33</v>
      </c>
    </row>
    <row r="955" spans="1:14" x14ac:dyDescent="0.25">
      <c r="A955" s="11" t="s">
        <v>851</v>
      </c>
      <c r="B955" s="6">
        <v>45744</v>
      </c>
      <c r="C955" s="11" t="s">
        <v>852</v>
      </c>
      <c r="D955" s="11" t="s">
        <v>24</v>
      </c>
      <c r="E955" s="11" t="s">
        <v>840</v>
      </c>
      <c r="F955" s="11" t="s">
        <v>833</v>
      </c>
      <c r="G955" s="7">
        <v>1</v>
      </c>
      <c r="H955" s="8">
        <v>27.08</v>
      </c>
      <c r="I955" s="13">
        <v>0.1</v>
      </c>
      <c r="J955" s="8">
        <f>(Table23[[#This Row],[Quantity]]*Table23[[#This Row],[Unit Price]])-(Table23[[#This Row],[Unit Price]]*Table23[[#This Row],[Dscount]])*Table23[[#This Row],[Quantity]]</f>
        <v>24.372</v>
      </c>
      <c r="K955" s="8">
        <v>19.792000000000002</v>
      </c>
      <c r="L955" s="8">
        <f>Table23[[#This Row],[Revenue]]-Table23[[#This Row],[Total Cost]]</f>
        <v>4.5799999999999983</v>
      </c>
      <c r="M955" s="16">
        <f>(Table23[[#This Row],[Profit]]/Table23[[#This Row],[Revenue]])</f>
        <v>0.18792056458230749</v>
      </c>
      <c r="N955" t="s">
        <v>17</v>
      </c>
    </row>
    <row r="956" spans="1:14" x14ac:dyDescent="0.25">
      <c r="A956" s="11" t="s">
        <v>42</v>
      </c>
      <c r="B956" s="6">
        <v>45568</v>
      </c>
      <c r="C956" s="11" t="s">
        <v>43</v>
      </c>
      <c r="D956" s="11" t="s">
        <v>36</v>
      </c>
      <c r="E956" s="11" t="s">
        <v>44</v>
      </c>
      <c r="F956" s="11" t="s">
        <v>16</v>
      </c>
      <c r="G956" s="7">
        <v>1</v>
      </c>
      <c r="H956" s="8">
        <v>8.17</v>
      </c>
      <c r="I956" s="13">
        <v>0</v>
      </c>
      <c r="J956" s="8">
        <f>(Table23[[#This Row],[Quantity]]*Table23[[#This Row],[Unit Price]])-(Table23[[#This Row],[Unit Price]]*Table23[[#This Row],[Dscount]])*Table23[[#This Row],[Quantity]]</f>
        <v>8.17</v>
      </c>
      <c r="K956" s="8">
        <v>3.5999999999999996</v>
      </c>
      <c r="L956" s="8">
        <f>Table23[[#This Row],[Revenue]]-Table23[[#This Row],[Total Cost]]</f>
        <v>4.57</v>
      </c>
      <c r="M956" s="16">
        <f>(Table23[[#This Row],[Profit]]/Table23[[#This Row],[Revenue]])</f>
        <v>0.55936352509179932</v>
      </c>
      <c r="N956" t="s">
        <v>33</v>
      </c>
    </row>
    <row r="957" spans="1:14" x14ac:dyDescent="0.25">
      <c r="A957" s="11" t="s">
        <v>40</v>
      </c>
      <c r="B957" s="6">
        <v>45765</v>
      </c>
      <c r="C957" s="11" t="s">
        <v>41</v>
      </c>
      <c r="D957" s="11" t="s">
        <v>14</v>
      </c>
      <c r="E957" s="11" t="s">
        <v>21</v>
      </c>
      <c r="F957" s="11" t="s">
        <v>16</v>
      </c>
      <c r="G957" s="7">
        <v>1</v>
      </c>
      <c r="H957" s="8">
        <v>12.75</v>
      </c>
      <c r="I957" s="13">
        <v>0.15</v>
      </c>
      <c r="J957" s="8">
        <f>(Table23[[#This Row],[Quantity]]*Table23[[#This Row],[Unit Price]])-(Table23[[#This Row],[Unit Price]]*Table23[[#This Row],[Dscount]])*Table23[[#This Row],[Quantity]]</f>
        <v>10.8375</v>
      </c>
      <c r="K957" s="8">
        <v>6.2775000000000007</v>
      </c>
      <c r="L957" s="8">
        <f>Table23[[#This Row],[Revenue]]-Table23[[#This Row],[Total Cost]]</f>
        <v>4.5599999999999996</v>
      </c>
      <c r="M957" s="16">
        <f>(Table23[[#This Row],[Profit]]/Table23[[#This Row],[Revenue]])</f>
        <v>0.42076124567474044</v>
      </c>
      <c r="N957" t="s">
        <v>33</v>
      </c>
    </row>
    <row r="958" spans="1:14" x14ac:dyDescent="0.25">
      <c r="A958" s="11" t="s">
        <v>1453</v>
      </c>
      <c r="B958" s="6">
        <v>45295</v>
      </c>
      <c r="C958" s="11" t="s">
        <v>571</v>
      </c>
      <c r="D958" s="11" t="s">
        <v>36</v>
      </c>
      <c r="E958" s="11" t="s">
        <v>1429</v>
      </c>
      <c r="F958" s="11" t="s">
        <v>1417</v>
      </c>
      <c r="G958" s="7">
        <v>3</v>
      </c>
      <c r="H958" s="8">
        <v>10.66</v>
      </c>
      <c r="I958" s="13">
        <v>0.1</v>
      </c>
      <c r="J958" s="8">
        <f>(Table23[[#This Row],[Quantity]]*Table23[[#This Row],[Unit Price]])-(Table23[[#This Row],[Unit Price]]*Table23[[#This Row],[Dscount]])*Table23[[#This Row],[Quantity]]</f>
        <v>28.782</v>
      </c>
      <c r="K958" s="8">
        <v>24.341999999999999</v>
      </c>
      <c r="L958" s="8">
        <f>Table23[[#This Row],[Revenue]]-Table23[[#This Row],[Total Cost]]</f>
        <v>4.4400000000000013</v>
      </c>
      <c r="M958" s="16">
        <f>(Table23[[#This Row],[Profit]]/Table23[[#This Row],[Revenue]])</f>
        <v>0.15426308109234943</v>
      </c>
      <c r="N958" t="s">
        <v>33</v>
      </c>
    </row>
    <row r="959" spans="1:14" x14ac:dyDescent="0.25">
      <c r="A959" s="11" t="s">
        <v>1451</v>
      </c>
      <c r="B959" s="6">
        <v>45866</v>
      </c>
      <c r="C959" s="11" t="s">
        <v>1452</v>
      </c>
      <c r="D959" s="11" t="s">
        <v>20</v>
      </c>
      <c r="E959" s="11" t="s">
        <v>1416</v>
      </c>
      <c r="F959" s="11" t="s">
        <v>1417</v>
      </c>
      <c r="G959" s="7">
        <v>1</v>
      </c>
      <c r="H959" s="8">
        <v>26.83</v>
      </c>
      <c r="I959" s="13">
        <v>0.05</v>
      </c>
      <c r="J959" s="8">
        <f>(Table23[[#This Row],[Quantity]]*Table23[[#This Row],[Unit Price]])-(Table23[[#This Row],[Unit Price]]*Table23[[#This Row],[Dscount]])*Table23[[#This Row],[Quantity]]</f>
        <v>25.488499999999998</v>
      </c>
      <c r="K959" s="8">
        <v>21.088499999999996</v>
      </c>
      <c r="L959" s="8">
        <f>Table23[[#This Row],[Revenue]]-Table23[[#This Row],[Total Cost]]</f>
        <v>4.4000000000000021</v>
      </c>
      <c r="M959" s="16">
        <f>(Table23[[#This Row],[Profit]]/Table23[[#This Row],[Revenue]])</f>
        <v>0.17262687094179738</v>
      </c>
      <c r="N959" t="s">
        <v>48</v>
      </c>
    </row>
    <row r="960" spans="1:14" x14ac:dyDescent="0.25">
      <c r="A960" s="11" t="s">
        <v>1129</v>
      </c>
      <c r="B960" s="6">
        <v>45422</v>
      </c>
      <c r="C960" s="11" t="s">
        <v>1130</v>
      </c>
      <c r="D960" s="11" t="s">
        <v>20</v>
      </c>
      <c r="E960" s="11" t="s">
        <v>1117</v>
      </c>
      <c r="F960" s="11" t="s">
        <v>1112</v>
      </c>
      <c r="G960" s="7">
        <v>1</v>
      </c>
      <c r="H960" s="8">
        <v>21.57</v>
      </c>
      <c r="I960" s="13">
        <v>0.1</v>
      </c>
      <c r="J960" s="8">
        <f>(Table23[[#This Row],[Quantity]]*Table23[[#This Row],[Unit Price]])-(Table23[[#This Row],[Unit Price]]*Table23[[#This Row],[Dscount]])*Table23[[#This Row],[Quantity]]</f>
        <v>19.413</v>
      </c>
      <c r="K960" s="8">
        <v>15.063000000000001</v>
      </c>
      <c r="L960" s="8">
        <f>Table23[[#This Row],[Revenue]]-Table23[[#This Row],[Total Cost]]</f>
        <v>4.3499999999999996</v>
      </c>
      <c r="M960" s="16">
        <f>(Table23[[#This Row],[Profit]]/Table23[[#This Row],[Revenue]])</f>
        <v>0.2240766496677484</v>
      </c>
      <c r="N960" t="s">
        <v>17</v>
      </c>
    </row>
    <row r="961" spans="1:14" x14ac:dyDescent="0.25">
      <c r="A961" s="11" t="s">
        <v>1450</v>
      </c>
      <c r="B961" s="6">
        <v>45917</v>
      </c>
      <c r="C961" s="11" t="s">
        <v>598</v>
      </c>
      <c r="D961" s="11" t="s">
        <v>20</v>
      </c>
      <c r="E961" s="11" t="s">
        <v>1443</v>
      </c>
      <c r="F961" s="11" t="s">
        <v>1417</v>
      </c>
      <c r="G961" s="7">
        <v>1</v>
      </c>
      <c r="H961" s="8">
        <v>15.93</v>
      </c>
      <c r="I961" s="13">
        <v>0</v>
      </c>
      <c r="J961" s="8">
        <f>(Table23[[#This Row],[Quantity]]*Table23[[#This Row],[Unit Price]])-(Table23[[#This Row],[Unit Price]]*Table23[[#This Row],[Dscount]])*Table23[[#This Row],[Quantity]]</f>
        <v>15.93</v>
      </c>
      <c r="K961" s="8">
        <v>11.69</v>
      </c>
      <c r="L961" s="8">
        <f>Table23[[#This Row],[Revenue]]-Table23[[#This Row],[Total Cost]]</f>
        <v>4.24</v>
      </c>
      <c r="M961" s="16">
        <f>(Table23[[#This Row],[Profit]]/Table23[[#This Row],[Revenue]])</f>
        <v>0.26616446955430006</v>
      </c>
      <c r="N961" t="s">
        <v>17</v>
      </c>
    </row>
    <row r="962" spans="1:14" x14ac:dyDescent="0.25">
      <c r="A962" s="11" t="s">
        <v>849</v>
      </c>
      <c r="B962" s="6">
        <v>45763</v>
      </c>
      <c r="C962" s="11" t="s">
        <v>850</v>
      </c>
      <c r="D962" s="11" t="s">
        <v>20</v>
      </c>
      <c r="E962" s="11" t="s">
        <v>843</v>
      </c>
      <c r="F962" s="11" t="s">
        <v>833</v>
      </c>
      <c r="G962" s="7">
        <v>1</v>
      </c>
      <c r="H962" s="8">
        <v>25.46</v>
      </c>
      <c r="I962" s="13">
        <v>0.2</v>
      </c>
      <c r="J962" s="8">
        <f>(Table23[[#This Row],[Quantity]]*Table23[[#This Row],[Unit Price]])-(Table23[[#This Row],[Unit Price]]*Table23[[#This Row],[Dscount]])*Table23[[#This Row],[Quantity]]</f>
        <v>20.368000000000002</v>
      </c>
      <c r="K962" s="8">
        <v>16.178000000000001</v>
      </c>
      <c r="L962" s="8">
        <f>Table23[[#This Row],[Revenue]]-Table23[[#This Row],[Total Cost]]</f>
        <v>4.1900000000000013</v>
      </c>
      <c r="M962" s="16">
        <f>(Table23[[#This Row],[Profit]]/Table23[[#This Row],[Revenue]])</f>
        <v>0.20571484681853894</v>
      </c>
      <c r="N962" t="s">
        <v>33</v>
      </c>
    </row>
    <row r="963" spans="1:14" x14ac:dyDescent="0.25">
      <c r="A963" s="11" t="s">
        <v>37</v>
      </c>
      <c r="B963" s="6">
        <v>45964</v>
      </c>
      <c r="C963" s="11" t="s">
        <v>38</v>
      </c>
      <c r="D963" s="11" t="s">
        <v>20</v>
      </c>
      <c r="E963" s="11" t="s">
        <v>39</v>
      </c>
      <c r="F963" s="11" t="s">
        <v>16</v>
      </c>
      <c r="G963" s="7">
        <v>1</v>
      </c>
      <c r="H963" s="8">
        <v>7.53</v>
      </c>
      <c r="I963" s="13">
        <v>0.1</v>
      </c>
      <c r="J963" s="8">
        <f>(Table23[[#This Row],[Quantity]]*Table23[[#This Row],[Unit Price]])-(Table23[[#This Row],[Unit Price]]*Table23[[#This Row],[Dscount]])*Table23[[#This Row],[Quantity]]</f>
        <v>6.7770000000000001</v>
      </c>
      <c r="K963" s="8">
        <v>2.6370000000000005</v>
      </c>
      <c r="L963" s="8">
        <f>Table23[[#This Row],[Revenue]]-Table23[[#This Row],[Total Cost]]</f>
        <v>4.1399999999999997</v>
      </c>
      <c r="M963" s="16">
        <f>(Table23[[#This Row],[Profit]]/Table23[[#This Row],[Revenue]])</f>
        <v>0.61088977423638768</v>
      </c>
      <c r="N963" t="s">
        <v>33</v>
      </c>
    </row>
    <row r="964" spans="1:14" x14ac:dyDescent="0.25">
      <c r="A964" s="11" t="s">
        <v>1127</v>
      </c>
      <c r="B964" s="6">
        <v>46007</v>
      </c>
      <c r="C964" s="11" t="s">
        <v>1122</v>
      </c>
      <c r="D964" s="11" t="s">
        <v>36</v>
      </c>
      <c r="E964" s="11" t="s">
        <v>1128</v>
      </c>
      <c r="F964" s="11" t="s">
        <v>1112</v>
      </c>
      <c r="G964" s="7">
        <v>1</v>
      </c>
      <c r="H964" s="8">
        <v>19.309999999999999</v>
      </c>
      <c r="I964" s="13">
        <v>0.25</v>
      </c>
      <c r="J964" s="8">
        <f>(Table23[[#This Row],[Quantity]]*Table23[[#This Row],[Unit Price]])-(Table23[[#This Row],[Unit Price]]*Table23[[#This Row],[Dscount]])*Table23[[#This Row],[Quantity]]</f>
        <v>14.482499999999998</v>
      </c>
      <c r="K964" s="8">
        <v>10.402499999999998</v>
      </c>
      <c r="L964" s="8">
        <f>Table23[[#This Row],[Revenue]]-Table23[[#This Row],[Total Cost]]</f>
        <v>4.08</v>
      </c>
      <c r="M964" s="16">
        <f>(Table23[[#This Row],[Profit]]/Table23[[#This Row],[Revenue]])</f>
        <v>0.28171931641636461</v>
      </c>
      <c r="N964" t="s">
        <v>33</v>
      </c>
    </row>
    <row r="965" spans="1:14" x14ac:dyDescent="0.25">
      <c r="A965" s="11" t="s">
        <v>847</v>
      </c>
      <c r="B965" s="6">
        <v>45420</v>
      </c>
      <c r="C965" s="11" t="s">
        <v>495</v>
      </c>
      <c r="D965" s="11" t="s">
        <v>31</v>
      </c>
      <c r="E965" s="11" t="s">
        <v>848</v>
      </c>
      <c r="F965" s="11" t="s">
        <v>833</v>
      </c>
      <c r="G965" s="7">
        <v>1</v>
      </c>
      <c r="H965" s="8">
        <v>24.59</v>
      </c>
      <c r="I965" s="13">
        <v>0</v>
      </c>
      <c r="J965" s="8">
        <f>(Table23[[#This Row],[Quantity]]*Table23[[#This Row],[Unit Price]])-(Table23[[#This Row],[Unit Price]]*Table23[[#This Row],[Dscount]])*Table23[[#This Row],[Quantity]]</f>
        <v>24.59</v>
      </c>
      <c r="K965" s="8">
        <v>20.52</v>
      </c>
      <c r="L965" s="8">
        <f>Table23[[#This Row],[Revenue]]-Table23[[#This Row],[Total Cost]]</f>
        <v>4.07</v>
      </c>
      <c r="M965" s="16">
        <f>(Table23[[#This Row],[Profit]]/Table23[[#This Row],[Revenue]])</f>
        <v>0.16551443676291178</v>
      </c>
      <c r="N965" t="s">
        <v>48</v>
      </c>
    </row>
    <row r="966" spans="1:14" x14ac:dyDescent="0.25">
      <c r="A966" s="11" t="s">
        <v>844</v>
      </c>
      <c r="B966" s="6">
        <v>45772</v>
      </c>
      <c r="C966" s="11" t="s">
        <v>845</v>
      </c>
      <c r="D966" s="11" t="s">
        <v>36</v>
      </c>
      <c r="E966" s="11" t="s">
        <v>846</v>
      </c>
      <c r="F966" s="11" t="s">
        <v>833</v>
      </c>
      <c r="G966" s="7">
        <v>1</v>
      </c>
      <c r="H966" s="8">
        <v>29.41</v>
      </c>
      <c r="I966" s="13">
        <v>0.05</v>
      </c>
      <c r="J966" s="8">
        <f>(Table23[[#This Row],[Quantity]]*Table23[[#This Row],[Unit Price]])-(Table23[[#This Row],[Unit Price]]*Table23[[#This Row],[Dscount]])*Table23[[#This Row],[Quantity]]</f>
        <v>27.939499999999999</v>
      </c>
      <c r="K966" s="8">
        <v>23.929499999999997</v>
      </c>
      <c r="L966" s="8">
        <f>Table23[[#This Row],[Revenue]]-Table23[[#This Row],[Total Cost]]</f>
        <v>4.0100000000000016</v>
      </c>
      <c r="M966" s="16">
        <f>(Table23[[#This Row],[Profit]]/Table23[[#This Row],[Revenue]])</f>
        <v>0.14352440093774055</v>
      </c>
      <c r="N966" t="s">
        <v>17</v>
      </c>
    </row>
    <row r="967" spans="1:14" x14ac:dyDescent="0.25">
      <c r="A967" s="11" t="s">
        <v>34</v>
      </c>
      <c r="B967" s="6">
        <v>45902</v>
      </c>
      <c r="C967" s="11" t="s">
        <v>35</v>
      </c>
      <c r="D967" s="11" t="s">
        <v>36</v>
      </c>
      <c r="E967" s="11" t="s">
        <v>32</v>
      </c>
      <c r="F967" s="11" t="s">
        <v>16</v>
      </c>
      <c r="G967" s="7">
        <v>1</v>
      </c>
      <c r="H967" s="8">
        <v>9.5</v>
      </c>
      <c r="I967" s="13">
        <v>0</v>
      </c>
      <c r="J967" s="8">
        <f>(Table23[[#This Row],[Quantity]]*Table23[[#This Row],[Unit Price]])-(Table23[[#This Row],[Unit Price]]*Table23[[#This Row],[Dscount]])*Table23[[#This Row],[Quantity]]</f>
        <v>9.5</v>
      </c>
      <c r="K967" s="8">
        <v>5.49</v>
      </c>
      <c r="L967" s="8">
        <f>Table23[[#This Row],[Revenue]]-Table23[[#This Row],[Total Cost]]</f>
        <v>4.01</v>
      </c>
      <c r="M967" s="16">
        <f>(Table23[[#This Row],[Profit]]/Table23[[#This Row],[Revenue]])</f>
        <v>0.42210526315789471</v>
      </c>
      <c r="N967" t="s">
        <v>33</v>
      </c>
    </row>
    <row r="968" spans="1:14" x14ac:dyDescent="0.25">
      <c r="A968" s="11" t="s">
        <v>1448</v>
      </c>
      <c r="B968" s="6">
        <v>45777</v>
      </c>
      <c r="C968" s="11" t="s">
        <v>1449</v>
      </c>
      <c r="D968" s="11" t="s">
        <v>24</v>
      </c>
      <c r="E968" s="11" t="s">
        <v>1436</v>
      </c>
      <c r="F968" s="11" t="s">
        <v>1417</v>
      </c>
      <c r="G968" s="7">
        <v>1</v>
      </c>
      <c r="H968" s="8">
        <v>19.149999999999999</v>
      </c>
      <c r="I968" s="13">
        <v>0</v>
      </c>
      <c r="J968" s="8">
        <f>(Table23[[#This Row],[Quantity]]*Table23[[#This Row],[Unit Price]])-(Table23[[#This Row],[Unit Price]]*Table23[[#This Row],[Dscount]])*Table23[[#This Row],[Quantity]]</f>
        <v>19.149999999999999</v>
      </c>
      <c r="K968" s="8">
        <v>15.189999999999998</v>
      </c>
      <c r="L968" s="8">
        <f>Table23[[#This Row],[Revenue]]-Table23[[#This Row],[Total Cost]]</f>
        <v>3.9600000000000009</v>
      </c>
      <c r="M968" s="16">
        <f>(Table23[[#This Row],[Profit]]/Table23[[#This Row],[Revenue]])</f>
        <v>0.20678851174934731</v>
      </c>
      <c r="N968" t="s">
        <v>33</v>
      </c>
    </row>
    <row r="969" spans="1:14" x14ac:dyDescent="0.25">
      <c r="A969" s="11" t="s">
        <v>29</v>
      </c>
      <c r="B969" s="6">
        <v>45293</v>
      </c>
      <c r="C969" s="11" t="s">
        <v>30</v>
      </c>
      <c r="D969" s="11" t="s">
        <v>31</v>
      </c>
      <c r="E969" s="11" t="s">
        <v>32</v>
      </c>
      <c r="F969" s="11" t="s">
        <v>16</v>
      </c>
      <c r="G969" s="7">
        <v>1</v>
      </c>
      <c r="H969" s="8">
        <v>8.67</v>
      </c>
      <c r="I969" s="13">
        <v>0</v>
      </c>
      <c r="J969" s="8">
        <f>(Table23[[#This Row],[Quantity]]*Table23[[#This Row],[Unit Price]])-(Table23[[#This Row],[Unit Price]]*Table23[[#This Row],[Dscount]])*Table23[[#This Row],[Quantity]]</f>
        <v>8.67</v>
      </c>
      <c r="K969" s="8">
        <v>4.76</v>
      </c>
      <c r="L969" s="8">
        <f>Table23[[#This Row],[Revenue]]-Table23[[#This Row],[Total Cost]]</f>
        <v>3.91</v>
      </c>
      <c r="M969" s="16">
        <f>(Table23[[#This Row],[Profit]]/Table23[[#This Row],[Revenue]])</f>
        <v>0.45098039215686275</v>
      </c>
      <c r="N969" t="s">
        <v>33</v>
      </c>
    </row>
    <row r="970" spans="1:14" x14ac:dyDescent="0.25">
      <c r="A970" s="11" t="s">
        <v>26</v>
      </c>
      <c r="B970" s="6">
        <v>46006</v>
      </c>
      <c r="C970" s="11" t="s">
        <v>27</v>
      </c>
      <c r="D970" s="11" t="s">
        <v>20</v>
      </c>
      <c r="E970" s="11" t="s">
        <v>28</v>
      </c>
      <c r="F970" s="11" t="s">
        <v>16</v>
      </c>
      <c r="G970" s="7">
        <v>1</v>
      </c>
      <c r="H970" s="8">
        <v>7.63</v>
      </c>
      <c r="I970" s="13">
        <v>0.1</v>
      </c>
      <c r="J970" s="8">
        <f>(Table23[[#This Row],[Quantity]]*Table23[[#This Row],[Unit Price]])-(Table23[[#This Row],[Unit Price]]*Table23[[#This Row],[Dscount]])*Table23[[#This Row],[Quantity]]</f>
        <v>6.867</v>
      </c>
      <c r="K970" s="8">
        <v>2.9969999999999999</v>
      </c>
      <c r="L970" s="8">
        <f>Table23[[#This Row],[Revenue]]-Table23[[#This Row],[Total Cost]]</f>
        <v>3.87</v>
      </c>
      <c r="M970" s="16">
        <f>(Table23[[#This Row],[Profit]]/Table23[[#This Row],[Revenue]])</f>
        <v>0.56356487549148104</v>
      </c>
      <c r="N970" t="s">
        <v>17</v>
      </c>
    </row>
    <row r="971" spans="1:14" x14ac:dyDescent="0.25">
      <c r="A971" s="11" t="s">
        <v>1446</v>
      </c>
      <c r="B971" s="6">
        <v>46010</v>
      </c>
      <c r="C971" s="11" t="s">
        <v>1447</v>
      </c>
      <c r="D971" s="11" t="s">
        <v>24</v>
      </c>
      <c r="E971" s="11" t="s">
        <v>1426</v>
      </c>
      <c r="F971" s="11" t="s">
        <v>1417</v>
      </c>
      <c r="G971" s="7">
        <v>1</v>
      </c>
      <c r="H971" s="8">
        <v>13.69</v>
      </c>
      <c r="I971" s="13">
        <v>0.15</v>
      </c>
      <c r="J971" s="8">
        <f>(Table23[[#This Row],[Quantity]]*Table23[[#This Row],[Unit Price]])-(Table23[[#This Row],[Unit Price]]*Table23[[#This Row],[Dscount]])*Table23[[#This Row],[Quantity]]</f>
        <v>11.6365</v>
      </c>
      <c r="K971" s="8">
        <v>7.7765000000000004</v>
      </c>
      <c r="L971" s="8">
        <f>Table23[[#This Row],[Revenue]]-Table23[[#This Row],[Total Cost]]</f>
        <v>3.8599999999999994</v>
      </c>
      <c r="M971" s="16">
        <f>(Table23[[#This Row],[Profit]]/Table23[[#This Row],[Revenue]])</f>
        <v>0.33171486271645251</v>
      </c>
      <c r="N971" t="s">
        <v>17</v>
      </c>
    </row>
    <row r="972" spans="1:14" x14ac:dyDescent="0.25">
      <c r="A972" s="11" t="s">
        <v>1445</v>
      </c>
      <c r="B972" s="6">
        <v>45615</v>
      </c>
      <c r="C972" s="11" t="s">
        <v>382</v>
      </c>
      <c r="D972" s="11" t="s">
        <v>14</v>
      </c>
      <c r="E972" s="11" t="s">
        <v>1416</v>
      </c>
      <c r="F972" s="11" t="s">
        <v>1417</v>
      </c>
      <c r="G972" s="7">
        <v>1</v>
      </c>
      <c r="H972" s="8">
        <v>21.59</v>
      </c>
      <c r="I972" s="13">
        <v>0</v>
      </c>
      <c r="J972" s="8">
        <f>(Table23[[#This Row],[Quantity]]*Table23[[#This Row],[Unit Price]])-(Table23[[#This Row],[Unit Price]]*Table23[[#This Row],[Dscount]])*Table23[[#This Row],[Quantity]]</f>
        <v>21.59</v>
      </c>
      <c r="K972" s="8">
        <v>17.829999999999998</v>
      </c>
      <c r="L972" s="8">
        <f>Table23[[#This Row],[Revenue]]-Table23[[#This Row],[Total Cost]]</f>
        <v>3.7600000000000016</v>
      </c>
      <c r="M972" s="16">
        <f>(Table23[[#This Row],[Profit]]/Table23[[#This Row],[Revenue]])</f>
        <v>0.17415470125057905</v>
      </c>
      <c r="N972" t="s">
        <v>33</v>
      </c>
    </row>
    <row r="973" spans="1:14" x14ac:dyDescent="0.25">
      <c r="A973" s="11" t="s">
        <v>1125</v>
      </c>
      <c r="B973" s="6">
        <v>45977</v>
      </c>
      <c r="C973" s="11" t="s">
        <v>1126</v>
      </c>
      <c r="D973" s="11" t="s">
        <v>14</v>
      </c>
      <c r="E973" s="11" t="s">
        <v>1124</v>
      </c>
      <c r="F973" s="11" t="s">
        <v>1112</v>
      </c>
      <c r="G973" s="7">
        <v>1</v>
      </c>
      <c r="H973" s="8">
        <v>12.26</v>
      </c>
      <c r="I973" s="13">
        <v>0.2</v>
      </c>
      <c r="J973" s="8">
        <f>(Table23[[#This Row],[Quantity]]*Table23[[#This Row],[Unit Price]])-(Table23[[#This Row],[Unit Price]]*Table23[[#This Row],[Dscount]])*Table23[[#This Row],[Quantity]]</f>
        <v>9.8079999999999998</v>
      </c>
      <c r="K973" s="8">
        <v>6.2679999999999998</v>
      </c>
      <c r="L973" s="8">
        <f>Table23[[#This Row],[Revenue]]-Table23[[#This Row],[Total Cost]]</f>
        <v>3.54</v>
      </c>
      <c r="M973" s="16">
        <f>(Table23[[#This Row],[Profit]]/Table23[[#This Row],[Revenue]])</f>
        <v>0.36092985318107668</v>
      </c>
      <c r="N973" t="s">
        <v>33</v>
      </c>
    </row>
    <row r="974" spans="1:14" x14ac:dyDescent="0.25">
      <c r="A974" s="11" t="s">
        <v>1444</v>
      </c>
      <c r="B974" s="6">
        <v>45351</v>
      </c>
      <c r="C974" s="11" t="s">
        <v>724</v>
      </c>
      <c r="D974" s="11" t="s">
        <v>24</v>
      </c>
      <c r="E974" s="11" t="s">
        <v>1426</v>
      </c>
      <c r="F974" s="11" t="s">
        <v>1417</v>
      </c>
      <c r="G974" s="7">
        <v>1</v>
      </c>
      <c r="H974" s="8">
        <v>19.97</v>
      </c>
      <c r="I974" s="13">
        <v>0</v>
      </c>
      <c r="J974" s="8">
        <f>(Table23[[#This Row],[Quantity]]*Table23[[#This Row],[Unit Price]])-(Table23[[#This Row],[Unit Price]]*Table23[[#This Row],[Dscount]])*Table23[[#This Row],[Quantity]]</f>
        <v>19.97</v>
      </c>
      <c r="K974" s="8">
        <v>16.43</v>
      </c>
      <c r="L974" s="8">
        <f>Table23[[#This Row],[Revenue]]-Table23[[#This Row],[Total Cost]]</f>
        <v>3.5399999999999991</v>
      </c>
      <c r="M974" s="16">
        <f>(Table23[[#This Row],[Profit]]/Table23[[#This Row],[Revenue]])</f>
        <v>0.17726589884827237</v>
      </c>
      <c r="N974" t="s">
        <v>33</v>
      </c>
    </row>
    <row r="975" spans="1:14" x14ac:dyDescent="0.25">
      <c r="A975" s="11" t="s">
        <v>1123</v>
      </c>
      <c r="B975" s="6">
        <v>45643</v>
      </c>
      <c r="C975" s="11" t="s">
        <v>776</v>
      </c>
      <c r="D975" s="11" t="s">
        <v>36</v>
      </c>
      <c r="E975" s="11" t="s">
        <v>1124</v>
      </c>
      <c r="F975" s="11" t="s">
        <v>1112</v>
      </c>
      <c r="G975" s="7">
        <v>1</v>
      </c>
      <c r="H975" s="8">
        <v>17.149999999999999</v>
      </c>
      <c r="I975" s="13">
        <v>0.15</v>
      </c>
      <c r="J975" s="8">
        <f>(Table23[[#This Row],[Quantity]]*Table23[[#This Row],[Unit Price]])-(Table23[[#This Row],[Unit Price]]*Table23[[#This Row],[Dscount]])*Table23[[#This Row],[Quantity]]</f>
        <v>14.577499999999999</v>
      </c>
      <c r="K975" s="8">
        <v>11.127499999999998</v>
      </c>
      <c r="L975" s="8">
        <f>Table23[[#This Row],[Revenue]]-Table23[[#This Row],[Total Cost]]</f>
        <v>3.4500000000000011</v>
      </c>
      <c r="M975" s="16">
        <f>(Table23[[#This Row],[Profit]]/Table23[[#This Row],[Revenue]])</f>
        <v>0.23666609500943245</v>
      </c>
      <c r="N975" t="s">
        <v>17</v>
      </c>
    </row>
    <row r="976" spans="1:14" x14ac:dyDescent="0.25">
      <c r="A976" s="11" t="s">
        <v>22</v>
      </c>
      <c r="B976" s="6">
        <v>45499</v>
      </c>
      <c r="C976" s="11" t="s">
        <v>23</v>
      </c>
      <c r="D976" s="11" t="s">
        <v>24</v>
      </c>
      <c r="E976" s="11" t="s">
        <v>25</v>
      </c>
      <c r="F976" s="11" t="s">
        <v>16</v>
      </c>
      <c r="G976" s="7">
        <v>1</v>
      </c>
      <c r="H976" s="8">
        <v>7.57</v>
      </c>
      <c r="I976" s="13">
        <v>0.15</v>
      </c>
      <c r="J976" s="8">
        <f>(Table23[[#This Row],[Quantity]]*Table23[[#This Row],[Unit Price]])-(Table23[[#This Row],[Unit Price]]*Table23[[#This Row],[Dscount]])*Table23[[#This Row],[Quantity]]</f>
        <v>6.4344999999999999</v>
      </c>
      <c r="K976" s="8">
        <v>2.9944999999999999</v>
      </c>
      <c r="L976" s="8">
        <f>Table23[[#This Row],[Revenue]]-Table23[[#This Row],[Total Cost]]</f>
        <v>3.44</v>
      </c>
      <c r="M976" s="16">
        <f>(Table23[[#This Row],[Profit]]/Table23[[#This Row],[Revenue]])</f>
        <v>0.53461807444245857</v>
      </c>
      <c r="N976" t="s">
        <v>17</v>
      </c>
    </row>
    <row r="977" spans="1:14" x14ac:dyDescent="0.25">
      <c r="A977" s="11" t="s">
        <v>1442</v>
      </c>
      <c r="B977" s="6">
        <v>45515</v>
      </c>
      <c r="C977" s="11" t="s">
        <v>1241</v>
      </c>
      <c r="D977" s="11" t="s">
        <v>36</v>
      </c>
      <c r="E977" s="11" t="s">
        <v>1443</v>
      </c>
      <c r="F977" s="11" t="s">
        <v>1417</v>
      </c>
      <c r="G977" s="7">
        <v>1</v>
      </c>
      <c r="H977" s="8">
        <v>10.93</v>
      </c>
      <c r="I977" s="13">
        <v>0.1</v>
      </c>
      <c r="J977" s="8">
        <f>(Table23[[#This Row],[Quantity]]*Table23[[#This Row],[Unit Price]])-(Table23[[#This Row],[Unit Price]]*Table23[[#This Row],[Dscount]])*Table23[[#This Row],[Quantity]]</f>
        <v>9.8369999999999997</v>
      </c>
      <c r="K977" s="8">
        <v>6.4569999999999999</v>
      </c>
      <c r="L977" s="8">
        <f>Table23[[#This Row],[Revenue]]-Table23[[#This Row],[Total Cost]]</f>
        <v>3.38</v>
      </c>
      <c r="M977" s="16">
        <f>(Table23[[#This Row],[Profit]]/Table23[[#This Row],[Revenue]])</f>
        <v>0.34360069126766291</v>
      </c>
      <c r="N977" t="s">
        <v>17</v>
      </c>
    </row>
    <row r="978" spans="1:14" x14ac:dyDescent="0.25">
      <c r="A978" s="11" t="s">
        <v>1118</v>
      </c>
      <c r="B978" s="6">
        <v>45725</v>
      </c>
      <c r="C978" s="11" t="s">
        <v>1119</v>
      </c>
      <c r="D978" s="11" t="s">
        <v>24</v>
      </c>
      <c r="E978" s="11" t="s">
        <v>1120</v>
      </c>
      <c r="F978" s="11" t="s">
        <v>1112</v>
      </c>
      <c r="G978" s="7">
        <v>1</v>
      </c>
      <c r="H978" s="8">
        <v>12.14</v>
      </c>
      <c r="I978" s="13">
        <v>0.15</v>
      </c>
      <c r="J978" s="8">
        <f>(Table23[[#This Row],[Quantity]]*Table23[[#This Row],[Unit Price]])-(Table23[[#This Row],[Unit Price]]*Table23[[#This Row],[Dscount]])*Table23[[#This Row],[Quantity]]</f>
        <v>10.319000000000001</v>
      </c>
      <c r="K978" s="8">
        <v>6.9990000000000006</v>
      </c>
      <c r="L978" s="8">
        <f>Table23[[#This Row],[Revenue]]-Table23[[#This Row],[Total Cost]]</f>
        <v>3.3200000000000003</v>
      </c>
      <c r="M978" s="16">
        <f>(Table23[[#This Row],[Profit]]/Table23[[#This Row],[Revenue]])</f>
        <v>0.32173660238395191</v>
      </c>
      <c r="N978" t="s">
        <v>17</v>
      </c>
    </row>
    <row r="979" spans="1:14" x14ac:dyDescent="0.25">
      <c r="A979" s="11" t="s">
        <v>1121</v>
      </c>
      <c r="B979" s="6">
        <v>45976</v>
      </c>
      <c r="C979" s="11" t="s">
        <v>1122</v>
      </c>
      <c r="D979" s="11" t="s">
        <v>24</v>
      </c>
      <c r="E979" s="11" t="s">
        <v>1120</v>
      </c>
      <c r="F979" s="11" t="s">
        <v>1112</v>
      </c>
      <c r="G979" s="7">
        <v>1</v>
      </c>
      <c r="H979" s="8">
        <v>18.829999999999998</v>
      </c>
      <c r="I979" s="13">
        <v>0.15</v>
      </c>
      <c r="J979" s="8">
        <f>(Table23[[#This Row],[Quantity]]*Table23[[#This Row],[Unit Price]])-(Table23[[#This Row],[Unit Price]]*Table23[[#This Row],[Dscount]])*Table23[[#This Row],[Quantity]]</f>
        <v>16.005499999999998</v>
      </c>
      <c r="K979" s="8">
        <v>12.685499999999998</v>
      </c>
      <c r="L979" s="8">
        <f>Table23[[#This Row],[Revenue]]-Table23[[#This Row],[Total Cost]]</f>
        <v>3.3200000000000003</v>
      </c>
      <c r="M979" s="16">
        <f>(Table23[[#This Row],[Profit]]/Table23[[#This Row],[Revenue]])</f>
        <v>0.20742869638561748</v>
      </c>
      <c r="N979" t="s">
        <v>17</v>
      </c>
    </row>
    <row r="980" spans="1:14" x14ac:dyDescent="0.25">
      <c r="A980" s="11" t="s">
        <v>18</v>
      </c>
      <c r="B980" s="6">
        <v>45891</v>
      </c>
      <c r="C980" s="11" t="s">
        <v>19</v>
      </c>
      <c r="D980" s="11" t="s">
        <v>20</v>
      </c>
      <c r="E980" s="11" t="s">
        <v>21</v>
      </c>
      <c r="F980" s="11" t="s">
        <v>16</v>
      </c>
      <c r="G980" s="7">
        <v>1</v>
      </c>
      <c r="H980" s="8">
        <v>10.09</v>
      </c>
      <c r="I980" s="13">
        <v>0.25</v>
      </c>
      <c r="J980" s="8">
        <f>(Table23[[#This Row],[Quantity]]*Table23[[#This Row],[Unit Price]])-(Table23[[#This Row],[Unit Price]]*Table23[[#This Row],[Dscount]])*Table23[[#This Row],[Quantity]]</f>
        <v>7.5674999999999999</v>
      </c>
      <c r="K980" s="8">
        <v>4.2575000000000003</v>
      </c>
      <c r="L980" s="8">
        <f>Table23[[#This Row],[Revenue]]-Table23[[#This Row],[Total Cost]]</f>
        <v>3.3099999999999996</v>
      </c>
      <c r="M980" s="16">
        <f>(Table23[[#This Row],[Profit]]/Table23[[#This Row],[Revenue]])</f>
        <v>0.43739676247109344</v>
      </c>
      <c r="N980" t="s">
        <v>17</v>
      </c>
    </row>
    <row r="981" spans="1:14" x14ac:dyDescent="0.25">
      <c r="A981" s="11" t="s">
        <v>1440</v>
      </c>
      <c r="B981" s="6">
        <v>45377</v>
      </c>
      <c r="C981" s="11" t="s">
        <v>1441</v>
      </c>
      <c r="D981" s="11" t="s">
        <v>36</v>
      </c>
      <c r="E981" s="11" t="s">
        <v>1416</v>
      </c>
      <c r="F981" s="11" t="s">
        <v>1417</v>
      </c>
      <c r="G981" s="7">
        <v>1</v>
      </c>
      <c r="H981" s="8">
        <v>19.78</v>
      </c>
      <c r="I981" s="13">
        <v>0</v>
      </c>
      <c r="J981" s="8">
        <f>(Table23[[#This Row],[Quantity]]*Table23[[#This Row],[Unit Price]])-(Table23[[#This Row],[Unit Price]]*Table23[[#This Row],[Dscount]])*Table23[[#This Row],[Quantity]]</f>
        <v>19.78</v>
      </c>
      <c r="K981" s="8">
        <v>16.510000000000002</v>
      </c>
      <c r="L981" s="8">
        <f>Table23[[#This Row],[Revenue]]-Table23[[#This Row],[Total Cost]]</f>
        <v>3.2699999999999996</v>
      </c>
      <c r="M981" s="16">
        <f>(Table23[[#This Row],[Profit]]/Table23[[#This Row],[Revenue]])</f>
        <v>0.16531850353892819</v>
      </c>
      <c r="N981" t="s">
        <v>17</v>
      </c>
    </row>
    <row r="982" spans="1:14" x14ac:dyDescent="0.25">
      <c r="A982" s="11" t="s">
        <v>1115</v>
      </c>
      <c r="B982" s="6">
        <v>45849</v>
      </c>
      <c r="C982" s="11" t="s">
        <v>1116</v>
      </c>
      <c r="D982" s="11" t="s">
        <v>20</v>
      </c>
      <c r="E982" s="11" t="s">
        <v>1117</v>
      </c>
      <c r="F982" s="11" t="s">
        <v>1112</v>
      </c>
      <c r="G982" s="7">
        <v>1</v>
      </c>
      <c r="H982" s="8">
        <v>16.28</v>
      </c>
      <c r="I982" s="13">
        <v>0.2</v>
      </c>
      <c r="J982" s="8">
        <f>(Table23[[#This Row],[Quantity]]*Table23[[#This Row],[Unit Price]])-(Table23[[#This Row],[Unit Price]]*Table23[[#This Row],[Dscount]])*Table23[[#This Row],[Quantity]]</f>
        <v>13.024000000000001</v>
      </c>
      <c r="K982" s="8">
        <v>9.8140000000000001</v>
      </c>
      <c r="L982" s="8">
        <f>Table23[[#This Row],[Revenue]]-Table23[[#This Row],[Total Cost]]</f>
        <v>3.2100000000000009</v>
      </c>
      <c r="M982" s="16">
        <f>(Table23[[#This Row],[Profit]]/Table23[[#This Row],[Revenue]])</f>
        <v>0.24646805896805901</v>
      </c>
      <c r="N982" t="s">
        <v>17</v>
      </c>
    </row>
    <row r="983" spans="1:14" x14ac:dyDescent="0.25">
      <c r="A983" s="11" t="s">
        <v>1437</v>
      </c>
      <c r="B983" s="6">
        <v>45500</v>
      </c>
      <c r="C983" s="11" t="s">
        <v>1438</v>
      </c>
      <c r="D983" s="11" t="s">
        <v>36</v>
      </c>
      <c r="E983" s="11" t="s">
        <v>1439</v>
      </c>
      <c r="F983" s="11" t="s">
        <v>1417</v>
      </c>
      <c r="G983" s="7">
        <v>1</v>
      </c>
      <c r="H983" s="8">
        <v>11.71</v>
      </c>
      <c r="I983" s="13">
        <v>0.05</v>
      </c>
      <c r="J983" s="8">
        <f>(Table23[[#This Row],[Quantity]]*Table23[[#This Row],[Unit Price]])-(Table23[[#This Row],[Unit Price]]*Table23[[#This Row],[Dscount]])*Table23[[#This Row],[Quantity]]</f>
        <v>11.124500000000001</v>
      </c>
      <c r="K983" s="8">
        <v>8.0245000000000015</v>
      </c>
      <c r="L983" s="8">
        <f>Table23[[#This Row],[Revenue]]-Table23[[#This Row],[Total Cost]]</f>
        <v>3.0999999999999996</v>
      </c>
      <c r="M983" s="16">
        <f>(Table23[[#This Row],[Profit]]/Table23[[#This Row],[Revenue]])</f>
        <v>0.27866420962739891</v>
      </c>
      <c r="N983" t="s">
        <v>48</v>
      </c>
    </row>
    <row r="984" spans="1:14" x14ac:dyDescent="0.25">
      <c r="A984" s="11" t="s">
        <v>841</v>
      </c>
      <c r="B984" s="6">
        <v>45709</v>
      </c>
      <c r="C984" s="11" t="s">
        <v>842</v>
      </c>
      <c r="D984" s="11" t="s">
        <v>24</v>
      </c>
      <c r="E984" s="11" t="s">
        <v>843</v>
      </c>
      <c r="F984" s="11" t="s">
        <v>833</v>
      </c>
      <c r="G984" s="7">
        <v>1</v>
      </c>
      <c r="H984" s="8">
        <v>27.06</v>
      </c>
      <c r="I984" s="13">
        <v>0.15</v>
      </c>
      <c r="J984" s="8">
        <f>(Table23[[#This Row],[Quantity]]*Table23[[#This Row],[Unit Price]])-(Table23[[#This Row],[Unit Price]]*Table23[[#This Row],[Dscount]])*Table23[[#This Row],[Quantity]]</f>
        <v>23.000999999999998</v>
      </c>
      <c r="K984" s="8">
        <v>20.040999999999997</v>
      </c>
      <c r="L984" s="8">
        <f>Table23[[#This Row],[Revenue]]-Table23[[#This Row],[Total Cost]]</f>
        <v>2.9600000000000009</v>
      </c>
      <c r="M984" s="16">
        <f>(Table23[[#This Row],[Profit]]/Table23[[#This Row],[Revenue]])</f>
        <v>0.12869005695404553</v>
      </c>
      <c r="N984" t="s">
        <v>33</v>
      </c>
    </row>
    <row r="985" spans="1:14" x14ac:dyDescent="0.25">
      <c r="A985" s="11" t="s">
        <v>1434</v>
      </c>
      <c r="B985" s="6">
        <v>45768</v>
      </c>
      <c r="C985" s="11" t="s">
        <v>1435</v>
      </c>
      <c r="D985" s="11" t="s">
        <v>36</v>
      </c>
      <c r="E985" s="11" t="s">
        <v>1436</v>
      </c>
      <c r="F985" s="11" t="s">
        <v>1417</v>
      </c>
      <c r="G985" s="7">
        <v>1</v>
      </c>
      <c r="H985" s="8">
        <v>10.45</v>
      </c>
      <c r="I985" s="13">
        <v>0.05</v>
      </c>
      <c r="J985" s="8">
        <f>(Table23[[#This Row],[Quantity]]*Table23[[#This Row],[Unit Price]])-(Table23[[#This Row],[Unit Price]]*Table23[[#This Row],[Dscount]])*Table23[[#This Row],[Quantity]]</f>
        <v>9.9274999999999984</v>
      </c>
      <c r="K985" s="8">
        <v>7.0274999999999981</v>
      </c>
      <c r="L985" s="8">
        <f>Table23[[#This Row],[Revenue]]-Table23[[#This Row],[Total Cost]]</f>
        <v>2.9000000000000004</v>
      </c>
      <c r="M985" s="16">
        <f>(Table23[[#This Row],[Profit]]/Table23[[#This Row],[Revenue]])</f>
        <v>0.29211785444472432</v>
      </c>
      <c r="N985" t="s">
        <v>33</v>
      </c>
    </row>
    <row r="986" spans="1:14" x14ac:dyDescent="0.25">
      <c r="A986" s="11" t="s">
        <v>838</v>
      </c>
      <c r="B986" s="6">
        <v>45946</v>
      </c>
      <c r="C986" s="11" t="s">
        <v>839</v>
      </c>
      <c r="D986" s="11" t="s">
        <v>31</v>
      </c>
      <c r="E986" s="11" t="s">
        <v>840</v>
      </c>
      <c r="F986" s="11" t="s">
        <v>833</v>
      </c>
      <c r="G986" s="7">
        <v>1</v>
      </c>
      <c r="H986" s="8">
        <v>31.51</v>
      </c>
      <c r="I986" s="13">
        <v>0.2</v>
      </c>
      <c r="J986" s="8">
        <f>(Table23[[#This Row],[Quantity]]*Table23[[#This Row],[Unit Price]])-(Table23[[#This Row],[Unit Price]]*Table23[[#This Row],[Dscount]])*Table23[[#This Row],[Quantity]]</f>
        <v>25.208000000000002</v>
      </c>
      <c r="K986" s="8">
        <v>22.318000000000001</v>
      </c>
      <c r="L986" s="8">
        <f>Table23[[#This Row],[Revenue]]-Table23[[#This Row],[Total Cost]]</f>
        <v>2.8900000000000006</v>
      </c>
      <c r="M986" s="16">
        <f>(Table23[[#This Row],[Profit]]/Table23[[#This Row],[Revenue]])</f>
        <v>0.11464614408124406</v>
      </c>
      <c r="N986" t="s">
        <v>33</v>
      </c>
    </row>
    <row r="987" spans="1:14" x14ac:dyDescent="0.25">
      <c r="A987" s="11" t="s">
        <v>836</v>
      </c>
      <c r="B987" s="6">
        <v>45378</v>
      </c>
      <c r="C987" s="11" t="s">
        <v>488</v>
      </c>
      <c r="D987" s="11" t="s">
        <v>31</v>
      </c>
      <c r="E987" s="11" t="s">
        <v>837</v>
      </c>
      <c r="F987" s="11" t="s">
        <v>833</v>
      </c>
      <c r="G987" s="7">
        <v>1</v>
      </c>
      <c r="H987" s="8">
        <v>32.61</v>
      </c>
      <c r="I987" s="13">
        <v>0</v>
      </c>
      <c r="J987" s="8">
        <f>(Table23[[#This Row],[Quantity]]*Table23[[#This Row],[Unit Price]])-(Table23[[#This Row],[Unit Price]]*Table23[[#This Row],[Dscount]])*Table23[[#This Row],[Quantity]]</f>
        <v>32.61</v>
      </c>
      <c r="K987" s="8">
        <v>29.74</v>
      </c>
      <c r="L987" s="8">
        <f>Table23[[#This Row],[Revenue]]-Table23[[#This Row],[Total Cost]]</f>
        <v>2.870000000000001</v>
      </c>
      <c r="M987" s="16">
        <f>(Table23[[#This Row],[Profit]]/Table23[[#This Row],[Revenue]])</f>
        <v>8.8009812940815738E-2</v>
      </c>
      <c r="N987" t="s">
        <v>33</v>
      </c>
    </row>
    <row r="988" spans="1:14" x14ac:dyDescent="0.25">
      <c r="A988" s="11" t="s">
        <v>1113</v>
      </c>
      <c r="B988" s="6">
        <v>45340</v>
      </c>
      <c r="C988" s="11" t="s">
        <v>911</v>
      </c>
      <c r="D988" s="11" t="s">
        <v>36</v>
      </c>
      <c r="E988" s="11" t="s">
        <v>1114</v>
      </c>
      <c r="F988" s="11" t="s">
        <v>1112</v>
      </c>
      <c r="G988" s="7">
        <v>1</v>
      </c>
      <c r="H988" s="8">
        <v>11.18</v>
      </c>
      <c r="I988" s="13">
        <v>0.05</v>
      </c>
      <c r="J988" s="8">
        <f>(Table23[[#This Row],[Quantity]]*Table23[[#This Row],[Unit Price]])-(Table23[[#This Row],[Unit Price]]*Table23[[#This Row],[Dscount]])*Table23[[#This Row],[Quantity]]</f>
        <v>10.621</v>
      </c>
      <c r="K988" s="8">
        <v>7.8210000000000006</v>
      </c>
      <c r="L988" s="8">
        <f>Table23[[#This Row],[Revenue]]-Table23[[#This Row],[Total Cost]]</f>
        <v>2.8</v>
      </c>
      <c r="M988" s="16">
        <f>(Table23[[#This Row],[Profit]]/Table23[[#This Row],[Revenue]])</f>
        <v>0.26362866020148756</v>
      </c>
      <c r="N988" t="s">
        <v>33</v>
      </c>
    </row>
    <row r="989" spans="1:14" x14ac:dyDescent="0.25">
      <c r="A989" s="11" t="s">
        <v>1432</v>
      </c>
      <c r="B989" s="6">
        <v>45577</v>
      </c>
      <c r="C989" s="11" t="s">
        <v>1433</v>
      </c>
      <c r="D989" s="11" t="s">
        <v>20</v>
      </c>
      <c r="E989" s="11" t="s">
        <v>1426</v>
      </c>
      <c r="F989" s="11" t="s">
        <v>1417</v>
      </c>
      <c r="G989" s="7">
        <v>1</v>
      </c>
      <c r="H989" s="8">
        <v>15.81</v>
      </c>
      <c r="I989" s="13">
        <v>0</v>
      </c>
      <c r="J989" s="8">
        <f>(Table23[[#This Row],[Quantity]]*Table23[[#This Row],[Unit Price]])-(Table23[[#This Row],[Unit Price]]*Table23[[#This Row],[Dscount]])*Table23[[#This Row],[Quantity]]</f>
        <v>15.81</v>
      </c>
      <c r="K989" s="8">
        <v>13.02</v>
      </c>
      <c r="L989" s="8">
        <f>Table23[[#This Row],[Revenue]]-Table23[[#This Row],[Total Cost]]</f>
        <v>2.7900000000000009</v>
      </c>
      <c r="M989" s="16">
        <f>(Table23[[#This Row],[Profit]]/Table23[[#This Row],[Revenue]])</f>
        <v>0.17647058823529416</v>
      </c>
      <c r="N989" t="s">
        <v>33</v>
      </c>
    </row>
    <row r="990" spans="1:14" x14ac:dyDescent="0.25">
      <c r="A990" s="11" t="s">
        <v>12</v>
      </c>
      <c r="B990" s="6">
        <v>46007</v>
      </c>
      <c r="C990" s="11" t="s">
        <v>13</v>
      </c>
      <c r="D990" s="11" t="s">
        <v>14</v>
      </c>
      <c r="E990" s="11" t="s">
        <v>15</v>
      </c>
      <c r="F990" s="11" t="s">
        <v>16</v>
      </c>
      <c r="G990" s="7">
        <v>1</v>
      </c>
      <c r="H990" s="8">
        <v>7.17</v>
      </c>
      <c r="I990" s="13">
        <v>0.05</v>
      </c>
      <c r="J990" s="8">
        <f>(Table23[[#This Row],[Quantity]]*Table23[[#This Row],[Unit Price]])-(Table23[[#This Row],[Unit Price]]*Table23[[#This Row],[Dscount]])*Table23[[#This Row],[Quantity]]</f>
        <v>6.8114999999999997</v>
      </c>
      <c r="K990" s="8">
        <v>4.0214999999999996</v>
      </c>
      <c r="L990" s="8">
        <f>Table23[[#This Row],[Revenue]]-Table23[[#This Row],[Total Cost]]</f>
        <v>2.79</v>
      </c>
      <c r="M990" s="16">
        <f>(Table23[[#This Row],[Profit]]/Table23[[#This Row],[Revenue]])</f>
        <v>0.4096014093811936</v>
      </c>
      <c r="N990" t="s">
        <v>17</v>
      </c>
    </row>
    <row r="991" spans="1:14" x14ac:dyDescent="0.25">
      <c r="A991" s="11" t="s">
        <v>1430</v>
      </c>
      <c r="B991" s="6">
        <v>45507</v>
      </c>
      <c r="C991" s="11" t="s">
        <v>1431</v>
      </c>
      <c r="D991" s="11" t="s">
        <v>31</v>
      </c>
      <c r="E991" s="11" t="s">
        <v>1426</v>
      </c>
      <c r="F991" s="11" t="s">
        <v>1417</v>
      </c>
      <c r="G991" s="7">
        <v>1</v>
      </c>
      <c r="H991" s="8">
        <v>16.11</v>
      </c>
      <c r="I991" s="13">
        <v>0.1</v>
      </c>
      <c r="J991" s="8">
        <f>(Table23[[#This Row],[Quantity]]*Table23[[#This Row],[Unit Price]])-(Table23[[#This Row],[Unit Price]]*Table23[[#This Row],[Dscount]])*Table23[[#This Row],[Quantity]]</f>
        <v>14.498999999999999</v>
      </c>
      <c r="K991" s="8">
        <v>11.728999999999999</v>
      </c>
      <c r="L991" s="8">
        <f>Table23[[#This Row],[Revenue]]-Table23[[#This Row],[Total Cost]]</f>
        <v>2.7699999999999996</v>
      </c>
      <c r="M991" s="16">
        <f>(Table23[[#This Row],[Profit]]/Table23[[#This Row],[Revenue]])</f>
        <v>0.19104765845920407</v>
      </c>
      <c r="N991" t="s">
        <v>17</v>
      </c>
    </row>
    <row r="992" spans="1:14" x14ac:dyDescent="0.25">
      <c r="A992" s="11" t="s">
        <v>834</v>
      </c>
      <c r="B992" s="6">
        <v>45735</v>
      </c>
      <c r="C992" s="11" t="s">
        <v>794</v>
      </c>
      <c r="D992" s="11" t="s">
        <v>36</v>
      </c>
      <c r="E992" s="11" t="s">
        <v>835</v>
      </c>
      <c r="F992" s="11" t="s">
        <v>833</v>
      </c>
      <c r="G992" s="7">
        <v>1</v>
      </c>
      <c r="H992" s="8">
        <v>28.5</v>
      </c>
      <c r="I992" s="13">
        <v>0.05</v>
      </c>
      <c r="J992" s="8">
        <f>(Table23[[#This Row],[Quantity]]*Table23[[#This Row],[Unit Price]])-(Table23[[#This Row],[Unit Price]]*Table23[[#This Row],[Dscount]])*Table23[[#This Row],[Quantity]]</f>
        <v>27.074999999999999</v>
      </c>
      <c r="K992" s="8">
        <v>24.314999999999998</v>
      </c>
      <c r="L992" s="8">
        <f>Table23[[#This Row],[Revenue]]-Table23[[#This Row],[Total Cost]]</f>
        <v>2.7600000000000016</v>
      </c>
      <c r="M992" s="16">
        <f>(Table23[[#This Row],[Profit]]/Table23[[#This Row],[Revenue]])</f>
        <v>0.10193905817174521</v>
      </c>
      <c r="N992" t="s">
        <v>33</v>
      </c>
    </row>
    <row r="993" spans="1:14" x14ac:dyDescent="0.25">
      <c r="A993" s="11" t="s">
        <v>1428</v>
      </c>
      <c r="B993" s="6">
        <v>45949</v>
      </c>
      <c r="C993" s="11" t="s">
        <v>1122</v>
      </c>
      <c r="D993" s="11" t="s">
        <v>20</v>
      </c>
      <c r="E993" s="11" t="s">
        <v>1429</v>
      </c>
      <c r="F993" s="11" t="s">
        <v>1417</v>
      </c>
      <c r="G993" s="7">
        <v>1</v>
      </c>
      <c r="H993" s="8">
        <v>15.42</v>
      </c>
      <c r="I993" s="13">
        <v>0.2</v>
      </c>
      <c r="J993" s="8">
        <f>(Table23[[#This Row],[Quantity]]*Table23[[#This Row],[Unit Price]])-(Table23[[#This Row],[Unit Price]]*Table23[[#This Row],[Dscount]])*Table23[[#This Row],[Quantity]]</f>
        <v>12.336</v>
      </c>
      <c r="K993" s="8">
        <v>9.5960000000000001</v>
      </c>
      <c r="L993" s="8">
        <f>Table23[[#This Row],[Revenue]]-Table23[[#This Row],[Total Cost]]</f>
        <v>2.74</v>
      </c>
      <c r="M993" s="16">
        <f>(Table23[[#This Row],[Profit]]/Table23[[#This Row],[Revenue]])</f>
        <v>0.22211413748378731</v>
      </c>
      <c r="N993" t="s">
        <v>33</v>
      </c>
    </row>
    <row r="994" spans="1:14" x14ac:dyDescent="0.25">
      <c r="A994" s="11" t="s">
        <v>1427</v>
      </c>
      <c r="B994" s="6">
        <v>45873</v>
      </c>
      <c r="C994" s="11" t="s">
        <v>863</v>
      </c>
      <c r="D994" s="11" t="s">
        <v>36</v>
      </c>
      <c r="E994" s="11" t="s">
        <v>1422</v>
      </c>
      <c r="F994" s="11" t="s">
        <v>1417</v>
      </c>
      <c r="G994" s="7">
        <v>1</v>
      </c>
      <c r="H994" s="8">
        <v>14.46</v>
      </c>
      <c r="I994" s="13">
        <v>0</v>
      </c>
      <c r="J994" s="8">
        <f>(Table23[[#This Row],[Quantity]]*Table23[[#This Row],[Unit Price]])-(Table23[[#This Row],[Unit Price]]*Table23[[#This Row],[Dscount]])*Table23[[#This Row],[Quantity]]</f>
        <v>14.46</v>
      </c>
      <c r="K994" s="8">
        <v>11.73</v>
      </c>
      <c r="L994" s="8">
        <f>Table23[[#This Row],[Revenue]]-Table23[[#This Row],[Total Cost]]</f>
        <v>2.7300000000000004</v>
      </c>
      <c r="M994" s="16">
        <f>(Table23[[#This Row],[Profit]]/Table23[[#This Row],[Revenue]])</f>
        <v>0.18879668049792533</v>
      </c>
      <c r="N994" t="s">
        <v>17</v>
      </c>
    </row>
    <row r="995" spans="1:14" x14ac:dyDescent="0.25">
      <c r="A995" s="11" t="s">
        <v>1425</v>
      </c>
      <c r="B995" s="6">
        <v>45836</v>
      </c>
      <c r="C995" s="11" t="s">
        <v>755</v>
      </c>
      <c r="D995" s="11" t="s">
        <v>24</v>
      </c>
      <c r="E995" s="11" t="s">
        <v>1426</v>
      </c>
      <c r="F995" s="11" t="s">
        <v>1417</v>
      </c>
      <c r="G995" s="7">
        <v>1</v>
      </c>
      <c r="H995" s="8">
        <v>16.489999999999998</v>
      </c>
      <c r="I995" s="13">
        <v>0</v>
      </c>
      <c r="J995" s="8">
        <f>(Table23[[#This Row],[Quantity]]*Table23[[#This Row],[Unit Price]])-(Table23[[#This Row],[Unit Price]]*Table23[[#This Row],[Dscount]])*Table23[[#This Row],[Quantity]]</f>
        <v>16.489999999999998</v>
      </c>
      <c r="K995" s="8">
        <v>13.839999999999998</v>
      </c>
      <c r="L995" s="8">
        <f>Table23[[#This Row],[Revenue]]-Table23[[#This Row],[Total Cost]]</f>
        <v>2.6500000000000004</v>
      </c>
      <c r="M995" s="16">
        <f>(Table23[[#This Row],[Profit]]/Table23[[#This Row],[Revenue]])</f>
        <v>0.16070345664038815</v>
      </c>
      <c r="N995" t="s">
        <v>17</v>
      </c>
    </row>
    <row r="996" spans="1:14" x14ac:dyDescent="0.25">
      <c r="A996" s="11" t="s">
        <v>1423</v>
      </c>
      <c r="B996" s="6">
        <v>45997</v>
      </c>
      <c r="C996" s="11" t="s">
        <v>1424</v>
      </c>
      <c r="D996" s="11" t="s">
        <v>36</v>
      </c>
      <c r="E996" s="11" t="s">
        <v>1416</v>
      </c>
      <c r="F996" s="11" t="s">
        <v>1417</v>
      </c>
      <c r="G996" s="7">
        <v>1</v>
      </c>
      <c r="H996" s="8">
        <v>8.75</v>
      </c>
      <c r="I996" s="13">
        <v>0</v>
      </c>
      <c r="J996" s="8">
        <f>(Table23[[#This Row],[Quantity]]*Table23[[#This Row],[Unit Price]])-(Table23[[#This Row],[Unit Price]]*Table23[[#This Row],[Dscount]])*Table23[[#This Row],[Quantity]]</f>
        <v>8.75</v>
      </c>
      <c r="K996" s="8">
        <v>6.26</v>
      </c>
      <c r="L996" s="8">
        <f>Table23[[#This Row],[Revenue]]-Table23[[#This Row],[Total Cost]]</f>
        <v>2.4900000000000002</v>
      </c>
      <c r="M996" s="16">
        <f>(Table23[[#This Row],[Profit]]/Table23[[#This Row],[Revenue]])</f>
        <v>0.28457142857142859</v>
      </c>
      <c r="N996" t="s">
        <v>33</v>
      </c>
    </row>
    <row r="997" spans="1:14" x14ac:dyDescent="0.25">
      <c r="A997" s="11" t="s">
        <v>1421</v>
      </c>
      <c r="B997" s="6">
        <v>45647</v>
      </c>
      <c r="C997" s="11" t="s">
        <v>222</v>
      </c>
      <c r="D997" s="11" t="s">
        <v>36</v>
      </c>
      <c r="E997" s="11" t="s">
        <v>1422</v>
      </c>
      <c r="F997" s="11" t="s">
        <v>1417</v>
      </c>
      <c r="G997" s="7">
        <v>1</v>
      </c>
      <c r="H997" s="8">
        <v>11.77</v>
      </c>
      <c r="I997" s="13">
        <v>0</v>
      </c>
      <c r="J997" s="8">
        <f>(Table23[[#This Row],[Quantity]]*Table23[[#This Row],[Unit Price]])-(Table23[[#This Row],[Unit Price]]*Table23[[#This Row],[Dscount]])*Table23[[#This Row],[Quantity]]</f>
        <v>11.77</v>
      </c>
      <c r="K997" s="8">
        <v>9.2899999999999991</v>
      </c>
      <c r="L997" s="8">
        <f>Table23[[#This Row],[Revenue]]-Table23[[#This Row],[Total Cost]]</f>
        <v>2.4800000000000004</v>
      </c>
      <c r="M997" s="16">
        <f>(Table23[[#This Row],[Profit]]/Table23[[#This Row],[Revenue]])</f>
        <v>0.21070518266779953</v>
      </c>
      <c r="N997" t="s">
        <v>17</v>
      </c>
    </row>
    <row r="998" spans="1:14" x14ac:dyDescent="0.25">
      <c r="A998" s="11" t="s">
        <v>1110</v>
      </c>
      <c r="B998" s="6">
        <v>45941</v>
      </c>
      <c r="C998" s="11" t="s">
        <v>1097</v>
      </c>
      <c r="D998" s="11" t="s">
        <v>14</v>
      </c>
      <c r="E998" s="11" t="s">
        <v>1111</v>
      </c>
      <c r="F998" s="11" t="s">
        <v>1112</v>
      </c>
      <c r="G998" s="7">
        <v>1</v>
      </c>
      <c r="H998" s="8">
        <v>10.18</v>
      </c>
      <c r="I998" s="13">
        <v>0</v>
      </c>
      <c r="J998" s="8">
        <f>(Table23[[#This Row],[Quantity]]*Table23[[#This Row],[Unit Price]])-(Table23[[#This Row],[Unit Price]]*Table23[[#This Row],[Dscount]])*Table23[[#This Row],[Quantity]]</f>
        <v>10.18</v>
      </c>
      <c r="K998" s="8">
        <v>7.8599999999999994</v>
      </c>
      <c r="L998" s="8">
        <f>Table23[[#This Row],[Revenue]]-Table23[[#This Row],[Total Cost]]</f>
        <v>2.3200000000000003</v>
      </c>
      <c r="M998" s="16">
        <f>(Table23[[#This Row],[Profit]]/Table23[[#This Row],[Revenue]])</f>
        <v>0.22789783889980358</v>
      </c>
      <c r="N998" t="s">
        <v>33</v>
      </c>
    </row>
    <row r="999" spans="1:14" x14ac:dyDescent="0.25">
      <c r="A999" s="11" t="s">
        <v>830</v>
      </c>
      <c r="B999" s="6">
        <v>45942</v>
      </c>
      <c r="C999" s="11" t="s">
        <v>831</v>
      </c>
      <c r="D999" s="11" t="s">
        <v>20</v>
      </c>
      <c r="E999" s="11" t="s">
        <v>832</v>
      </c>
      <c r="F999" s="11" t="s">
        <v>833</v>
      </c>
      <c r="G999" s="7">
        <v>1</v>
      </c>
      <c r="H999" s="8">
        <v>25.83</v>
      </c>
      <c r="I999" s="13">
        <v>0</v>
      </c>
      <c r="J999" s="8">
        <f>(Table23[[#This Row],[Quantity]]*Table23[[#This Row],[Unit Price]])-(Table23[[#This Row],[Unit Price]]*Table23[[#This Row],[Dscount]])*Table23[[#This Row],[Quantity]]</f>
        <v>25.83</v>
      </c>
      <c r="K999" s="8">
        <v>23.56</v>
      </c>
      <c r="L999" s="8">
        <f>Table23[[#This Row],[Revenue]]-Table23[[#This Row],[Total Cost]]</f>
        <v>2.2699999999999996</v>
      </c>
      <c r="M999" s="16">
        <f>(Table23[[#This Row],[Profit]]/Table23[[#This Row],[Revenue]])</f>
        <v>8.7882307394502507E-2</v>
      </c>
      <c r="N999" t="s">
        <v>17</v>
      </c>
    </row>
    <row r="1000" spans="1:14" x14ac:dyDescent="0.25">
      <c r="A1000" s="11" t="s">
        <v>1418</v>
      </c>
      <c r="B1000" s="6">
        <v>45896</v>
      </c>
      <c r="C1000" s="11" t="s">
        <v>1419</v>
      </c>
      <c r="D1000" s="11" t="s">
        <v>20</v>
      </c>
      <c r="E1000" s="11" t="s">
        <v>1420</v>
      </c>
      <c r="F1000" s="11" t="s">
        <v>1417</v>
      </c>
      <c r="G1000" s="7">
        <v>1</v>
      </c>
      <c r="H1000" s="8">
        <v>8.6199999999999992</v>
      </c>
      <c r="I1000" s="13">
        <v>0.05</v>
      </c>
      <c r="J1000" s="8">
        <f>(Table23[[#This Row],[Quantity]]*Table23[[#This Row],[Unit Price]])-(Table23[[#This Row],[Unit Price]]*Table23[[#This Row],[Dscount]])*Table23[[#This Row],[Quantity]]</f>
        <v>8.1890000000000001</v>
      </c>
      <c r="K1000" s="8">
        <v>6.2690000000000001</v>
      </c>
      <c r="L1000" s="8">
        <f>Table23[[#This Row],[Revenue]]-Table23[[#This Row],[Total Cost]]</f>
        <v>1.92</v>
      </c>
      <c r="M1000" s="16">
        <f>(Table23[[#This Row],[Profit]]/Table23[[#This Row],[Revenue]])</f>
        <v>0.23446086213212847</v>
      </c>
      <c r="N1000" t="s">
        <v>17</v>
      </c>
    </row>
    <row r="1001" spans="1:14" x14ac:dyDescent="0.25">
      <c r="A1001" s="11" t="s">
        <v>1415</v>
      </c>
      <c r="B1001" s="6">
        <v>45555</v>
      </c>
      <c r="C1001" s="11" t="s">
        <v>1312</v>
      </c>
      <c r="D1001" s="11" t="s">
        <v>31</v>
      </c>
      <c r="E1001" s="11" t="s">
        <v>1416</v>
      </c>
      <c r="F1001" s="11" t="s">
        <v>1417</v>
      </c>
      <c r="G1001" s="7">
        <v>1</v>
      </c>
      <c r="H1001" s="8">
        <v>10.93</v>
      </c>
      <c r="I1001" s="13">
        <v>0.15</v>
      </c>
      <c r="J1001" s="8">
        <f>(Table23[[#This Row],[Quantity]]*Table23[[#This Row],[Unit Price]])-(Table23[[#This Row],[Unit Price]]*Table23[[#This Row],[Dscount]])*Table23[[#This Row],[Quantity]]</f>
        <v>9.2904999999999998</v>
      </c>
      <c r="K1001" s="8">
        <v>7.4604999999999997</v>
      </c>
      <c r="L1001" s="8">
        <f>Table23[[#This Row],[Revenue]]-Table23[[#This Row],[Total Cost]]</f>
        <v>1.83</v>
      </c>
      <c r="M1001" s="16">
        <f>(Table23[[#This Row],[Profit]]/Table23[[#This Row],[Revenue]])</f>
        <v>0.1969754049835854</v>
      </c>
      <c r="N1001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E767-A7B9-4515-861B-900D7FE41F7F}">
  <dimension ref="C1:BF12"/>
  <sheetViews>
    <sheetView showGridLines="0" tabSelected="1" topLeftCell="AM1" workbookViewId="0">
      <selection activeCell="AV2" sqref="AV2"/>
    </sheetView>
  </sheetViews>
  <sheetFormatPr defaultRowHeight="15" x14ac:dyDescent="0.25"/>
  <cols>
    <col min="3" max="3" width="13.42578125" bestFit="1" customWidth="1"/>
    <col min="4" max="4" width="16.85546875" bestFit="1" customWidth="1"/>
    <col min="5" max="5" width="10.140625" bestFit="1" customWidth="1"/>
    <col min="6" max="6" width="11.28515625" bestFit="1" customWidth="1"/>
    <col min="12" max="12" width="20.42578125" bestFit="1" customWidth="1"/>
    <col min="13" max="13" width="15.85546875" bestFit="1" customWidth="1"/>
    <col min="14" max="14" width="13.140625" customWidth="1"/>
    <col min="15" max="15" width="12.7109375" bestFit="1" customWidth="1"/>
    <col min="16" max="17" width="9.140625" bestFit="1" customWidth="1"/>
    <col min="18" max="18" width="11.28515625" bestFit="1" customWidth="1"/>
    <col min="21" max="21" width="11.28515625" bestFit="1" customWidth="1"/>
    <col min="22" max="22" width="10.140625" bestFit="1" customWidth="1"/>
    <col min="28" max="28" width="12.7109375" bestFit="1" customWidth="1"/>
    <col min="29" max="29" width="15.5703125" bestFit="1" customWidth="1"/>
    <col min="30" max="30" width="12.7109375" bestFit="1" customWidth="1"/>
    <col min="36" max="36" width="15.85546875" bestFit="1" customWidth="1"/>
    <col min="37" max="37" width="16.85546875" bestFit="1" customWidth="1"/>
    <col min="38" max="38" width="10.140625" bestFit="1" customWidth="1"/>
    <col min="39" max="39" width="11.28515625" bestFit="1" customWidth="1"/>
    <col min="40" max="40" width="12.7109375" bestFit="1" customWidth="1"/>
    <col min="41" max="41" width="24.42578125" bestFit="1" customWidth="1"/>
    <col min="44" max="44" width="13" bestFit="1" customWidth="1"/>
    <col min="45" max="45" width="10.140625" bestFit="1" customWidth="1"/>
    <col min="46" max="46" width="13.42578125" bestFit="1" customWidth="1"/>
    <col min="47" max="47" width="19.85546875" bestFit="1" customWidth="1"/>
    <col min="48" max="48" width="14.42578125" bestFit="1" customWidth="1"/>
    <col min="49" max="49" width="10.42578125" bestFit="1" customWidth="1"/>
    <col min="50" max="50" width="11.28515625" bestFit="1" customWidth="1"/>
    <col min="51" max="51" width="10.42578125" customWidth="1"/>
    <col min="52" max="52" width="20.85546875" bestFit="1" customWidth="1"/>
    <col min="53" max="53" width="10.42578125" bestFit="1" customWidth="1"/>
    <col min="54" max="54" width="14" bestFit="1" customWidth="1"/>
    <col min="55" max="55" width="10.42578125" bestFit="1" customWidth="1"/>
    <col min="56" max="56" width="14.140625" style="14" bestFit="1" customWidth="1"/>
    <col min="57" max="57" width="10.42578125" bestFit="1" customWidth="1"/>
    <col min="58" max="58" width="15.7109375" customWidth="1"/>
    <col min="59" max="572" width="10.42578125" bestFit="1" customWidth="1"/>
    <col min="573" max="573" width="11.28515625" bestFit="1" customWidth="1"/>
  </cols>
  <sheetData>
    <row r="1" spans="3:58" x14ac:dyDescent="0.25">
      <c r="C1" s="20" t="s">
        <v>1755</v>
      </c>
      <c r="D1" s="20" t="s">
        <v>1754</v>
      </c>
      <c r="L1" s="20" t="s">
        <v>1766</v>
      </c>
      <c r="M1" t="s">
        <v>1765</v>
      </c>
      <c r="U1" s="20" t="s">
        <v>3</v>
      </c>
      <c r="V1" t="s">
        <v>1756</v>
      </c>
      <c r="AB1" s="20" t="s">
        <v>11</v>
      </c>
      <c r="AC1" t="s">
        <v>1771</v>
      </c>
      <c r="AJ1" s="20" t="s">
        <v>1765</v>
      </c>
      <c r="AK1" s="20" t="s">
        <v>1754</v>
      </c>
      <c r="AR1" s="20" t="s">
        <v>5</v>
      </c>
      <c r="AS1" t="s">
        <v>1753</v>
      </c>
      <c r="AT1" t="s">
        <v>1773</v>
      </c>
      <c r="AV1" s="18" t="s">
        <v>1763</v>
      </c>
      <c r="AX1" s="18" t="s">
        <v>1764</v>
      </c>
      <c r="AZ1" s="19" t="s">
        <v>1770</v>
      </c>
      <c r="BB1" s="23" t="s">
        <v>1762</v>
      </c>
      <c r="BD1" s="24" t="s">
        <v>1761</v>
      </c>
      <c r="BF1" t="s">
        <v>1772</v>
      </c>
    </row>
    <row r="2" spans="3:58" x14ac:dyDescent="0.25">
      <c r="C2" s="20" t="s">
        <v>1766</v>
      </c>
      <c r="D2" t="s">
        <v>1767</v>
      </c>
      <c r="E2" t="s">
        <v>1768</v>
      </c>
      <c r="F2" t="s">
        <v>1752</v>
      </c>
      <c r="L2" s="21" t="s">
        <v>546</v>
      </c>
      <c r="M2" s="8">
        <v>2333.4214999999999</v>
      </c>
      <c r="U2" s="21" t="s">
        <v>31</v>
      </c>
      <c r="V2" s="8">
        <v>4735.340000000002</v>
      </c>
      <c r="AB2" s="21" t="s">
        <v>17</v>
      </c>
      <c r="AC2" s="7">
        <v>711</v>
      </c>
      <c r="AJ2" s="20" t="s">
        <v>1766</v>
      </c>
      <c r="AK2" t="s">
        <v>1767</v>
      </c>
      <c r="AL2" t="s">
        <v>1768</v>
      </c>
      <c r="AM2" t="s">
        <v>1752</v>
      </c>
      <c r="AR2" s="21" t="s">
        <v>16</v>
      </c>
      <c r="AS2" s="8">
        <v>12901.034</v>
      </c>
      <c r="AT2" s="16">
        <v>0.52970150667438343</v>
      </c>
      <c r="AV2" s="8">
        <v>90202.428500000053</v>
      </c>
      <c r="AX2" s="8">
        <v>28148.129999999997</v>
      </c>
      <c r="AZ2" s="16">
        <v>0.31205512388172546</v>
      </c>
      <c r="BB2" s="22">
        <v>2029</v>
      </c>
      <c r="BD2" s="14">
        <v>13.872907836372596</v>
      </c>
      <c r="BF2" s="8">
        <v>62054.29849999999</v>
      </c>
    </row>
    <row r="3" spans="3:58" x14ac:dyDescent="0.25">
      <c r="C3" s="21" t="s">
        <v>1757</v>
      </c>
      <c r="D3" s="8">
        <v>3162.2000000000003</v>
      </c>
      <c r="E3" s="8">
        <v>3061.8599999999988</v>
      </c>
      <c r="F3" s="8">
        <v>6224.0599999999995</v>
      </c>
      <c r="L3" s="21" t="s">
        <v>843</v>
      </c>
      <c r="M3" s="8">
        <v>2336.0625</v>
      </c>
      <c r="U3" s="21" t="s">
        <v>24</v>
      </c>
      <c r="V3" s="8">
        <v>5321.12</v>
      </c>
      <c r="AB3" s="21" t="s">
        <v>48</v>
      </c>
      <c r="AC3" s="7">
        <v>182</v>
      </c>
      <c r="AJ3" s="21" t="s">
        <v>1757</v>
      </c>
      <c r="AK3" s="8">
        <v>10528.03</v>
      </c>
      <c r="AL3" s="8">
        <v>9113.334499999999</v>
      </c>
      <c r="AM3" s="8">
        <v>19641.3645</v>
      </c>
      <c r="AR3" s="21" t="s">
        <v>1417</v>
      </c>
      <c r="AS3" s="8">
        <v>14687.895000000004</v>
      </c>
      <c r="AT3" s="16">
        <v>0.25053305629350842</v>
      </c>
    </row>
    <row r="4" spans="3:58" x14ac:dyDescent="0.25">
      <c r="C4" s="21" t="s">
        <v>1758</v>
      </c>
      <c r="D4" s="8">
        <v>3380.03</v>
      </c>
      <c r="E4" s="8">
        <v>3141.5400000000009</v>
      </c>
      <c r="F4" s="8">
        <v>6521.5700000000015</v>
      </c>
      <c r="L4" s="21" t="s">
        <v>848</v>
      </c>
      <c r="M4" s="8">
        <v>2342.8765000000003</v>
      </c>
      <c r="U4" s="21" t="s">
        <v>20</v>
      </c>
      <c r="V4" s="8">
        <v>5358.8499999999967</v>
      </c>
      <c r="AB4" s="21" t="s">
        <v>33</v>
      </c>
      <c r="AC4" s="7">
        <v>1136</v>
      </c>
      <c r="AJ4" s="21" t="s">
        <v>1758</v>
      </c>
      <c r="AK4" s="8">
        <v>11154.848000000002</v>
      </c>
      <c r="AL4" s="8">
        <v>9955.739000000005</v>
      </c>
      <c r="AM4" s="8">
        <v>21110.587000000007</v>
      </c>
      <c r="AR4" s="21" t="s">
        <v>1112</v>
      </c>
      <c r="AS4" s="8">
        <v>16124.6245</v>
      </c>
      <c r="AT4" s="16">
        <v>0.30742813039320521</v>
      </c>
    </row>
    <row r="5" spans="3:58" x14ac:dyDescent="0.25">
      <c r="C5" s="21" t="s">
        <v>1759</v>
      </c>
      <c r="D5" s="8">
        <v>3389.4399999999987</v>
      </c>
      <c r="E5" s="8">
        <v>2864.1299999999992</v>
      </c>
      <c r="F5" s="8">
        <v>6253.5699999999979</v>
      </c>
      <c r="L5" s="21" t="s">
        <v>486</v>
      </c>
      <c r="M5" s="8">
        <v>2449.9310000000005</v>
      </c>
      <c r="U5" s="21" t="s">
        <v>36</v>
      </c>
      <c r="V5" s="8">
        <v>6052.41</v>
      </c>
      <c r="AB5" s="21" t="s">
        <v>1752</v>
      </c>
      <c r="AC5" s="22">
        <v>2029</v>
      </c>
      <c r="AJ5" s="21" t="s">
        <v>1759</v>
      </c>
      <c r="AK5" s="8">
        <v>11124.947000000002</v>
      </c>
      <c r="AL5" s="8">
        <v>8968.716499999995</v>
      </c>
      <c r="AM5" s="8">
        <v>20093.663499999995</v>
      </c>
      <c r="AR5" s="21" t="s">
        <v>480</v>
      </c>
      <c r="AS5" s="8">
        <v>18819.651499999996</v>
      </c>
      <c r="AT5" s="16">
        <v>0.42776017527085952</v>
      </c>
    </row>
    <row r="6" spans="3:58" x14ac:dyDescent="0.25">
      <c r="C6" s="21" t="s">
        <v>1760</v>
      </c>
      <c r="D6" s="8">
        <v>4644.09</v>
      </c>
      <c r="E6" s="8">
        <v>4504.840000000002</v>
      </c>
      <c r="F6" s="8">
        <v>9148.9300000000021</v>
      </c>
      <c r="L6" s="21" t="s">
        <v>835</v>
      </c>
      <c r="M6" s="8">
        <v>2623.7049999999995</v>
      </c>
      <c r="U6" s="21" t="s">
        <v>14</v>
      </c>
      <c r="V6" s="8">
        <v>6680.4099999999962</v>
      </c>
      <c r="AJ6" s="21" t="s">
        <v>1760</v>
      </c>
      <c r="AK6" s="8">
        <v>14191.426499999994</v>
      </c>
      <c r="AL6" s="8">
        <v>15165.386999999992</v>
      </c>
      <c r="AM6" s="8">
        <v>29356.813499999986</v>
      </c>
      <c r="AR6" s="21" t="s">
        <v>833</v>
      </c>
      <c r="AS6" s="8">
        <v>27669.223500000004</v>
      </c>
      <c r="AT6" s="16">
        <v>0.16625843433997159</v>
      </c>
    </row>
    <row r="7" spans="3:58" x14ac:dyDescent="0.25">
      <c r="C7" s="21" t="s">
        <v>1752</v>
      </c>
      <c r="D7" s="8">
        <v>14575.759999999998</v>
      </c>
      <c r="E7" s="8">
        <v>13572.37</v>
      </c>
      <c r="F7" s="8">
        <v>28148.129999999997</v>
      </c>
      <c r="L7" s="21" t="s">
        <v>840</v>
      </c>
      <c r="M7" s="8">
        <v>2725.0809999999997</v>
      </c>
      <c r="U7" s="21" t="s">
        <v>1752</v>
      </c>
      <c r="V7" s="8">
        <v>28148.12999999999</v>
      </c>
      <c r="AJ7" s="21" t="s">
        <v>1752</v>
      </c>
      <c r="AK7" s="8">
        <v>46999.251499999998</v>
      </c>
      <c r="AL7" s="8">
        <v>43203.176999999996</v>
      </c>
      <c r="AM7" s="8">
        <v>90202.428499999995</v>
      </c>
      <c r="AR7" s="21" t="s">
        <v>1752</v>
      </c>
      <c r="AS7" s="8">
        <v>90202.428500000053</v>
      </c>
      <c r="AT7" s="16">
        <v>0.34640531628282245</v>
      </c>
    </row>
    <row r="8" spans="3:58" x14ac:dyDescent="0.25">
      <c r="L8" s="21" t="s">
        <v>837</v>
      </c>
      <c r="M8" s="8">
        <v>2852.2645000000007</v>
      </c>
    </row>
    <row r="9" spans="3:58" x14ac:dyDescent="0.25">
      <c r="L9" s="21" t="s">
        <v>858</v>
      </c>
      <c r="M9" s="8">
        <v>3187.895</v>
      </c>
    </row>
    <row r="10" spans="3:58" x14ac:dyDescent="0.25">
      <c r="L10" s="21" t="s">
        <v>832</v>
      </c>
      <c r="M10" s="8">
        <v>3399.7469999999998</v>
      </c>
    </row>
    <row r="11" spans="3:58" x14ac:dyDescent="0.25">
      <c r="L11" s="21" t="s">
        <v>860</v>
      </c>
      <c r="M11" s="8">
        <v>3794.0089999999996</v>
      </c>
    </row>
    <row r="12" spans="3:58" x14ac:dyDescent="0.25">
      <c r="L12" s="21" t="s">
        <v>1752</v>
      </c>
      <c r="M12" s="8">
        <v>28044.993000000002</v>
      </c>
    </row>
  </sheetData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E-Commerce-Orders</vt:lpstr>
      <vt:lpstr>Worksheet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fraga</dc:creator>
  <cp:lastModifiedBy>rachelle fraga</cp:lastModifiedBy>
  <dcterms:created xsi:type="dcterms:W3CDTF">2026-05-04T14:11:37Z</dcterms:created>
  <dcterms:modified xsi:type="dcterms:W3CDTF">2026-05-06T15:14:44Z</dcterms:modified>
</cp:coreProperties>
</file>